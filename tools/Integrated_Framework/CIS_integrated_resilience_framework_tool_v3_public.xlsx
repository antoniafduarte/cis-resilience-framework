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Backup_words\Revison_30_05_26_P5\3_REV_21_07_26\GITUB\UP_23\"/>
    </mc:Choice>
  </mc:AlternateContent>
  <xr:revisionPtr revIDLastSave="0" documentId="13_ncr:1_{747E64C7-6122-4C80-AA32-14A5A4A6DDC9}" xr6:coauthVersionLast="47" xr6:coauthVersionMax="47" xr10:uidLastSave="{00000000-0000-0000-0000-000000000000}"/>
  <bookViews>
    <workbookView xWindow="-120" yWindow="-120" windowWidth="29040" windowHeight="15720" tabRatio="853" activeTab="7" xr2:uid="{00000000-000D-0000-FFFF-FFFF00000000}"/>
  </bookViews>
  <sheets>
    <sheet name="00_README" sheetId="1" r:id="rId1"/>
    <sheet name="01_CONTROL" sheetId="2" r:id="rId2"/>
    <sheet name="02_SOURCE_REGISTER" sheetId="3" r:id="rId3"/>
    <sheet name="03_CATALOG" sheetId="4" r:id="rId4"/>
    <sheet name="04_THRESHOLDS_WEIGHTS" sheetId="5" r:id="rId5"/>
    <sheet name="05_IMPORT_BASELINE" sheetId="6" r:id="rId6"/>
    <sheet name="06_IMPORT_ANNUAL" sheetId="7" r:id="rId7"/>
    <sheet name="07_IMPORT_ENSEMBLE" sheetId="8" r:id="rId8"/>
    <sheet name="08_NORMALISATION" sheetId="9" r:id="rId9"/>
    <sheet name="09_BASELINE_RESULTS" sheetId="10" r:id="rId10"/>
    <sheet name="10_ENSEMBLE_ANALYSIS" sheetId="11" r:id="rId11"/>
    <sheet name="11_PRE_POST" sheetId="12" r:id="rId12"/>
    <sheet name="12_WEIGHTING_COMPARISON" sheetId="13" r:id="rId13"/>
    <sheet name="13_THRESHOLD_SENSITIVITY" sheetId="14" r:id="rId14"/>
    <sheet name="14_LEAVE_ONE_OUT" sheetId="15" r:id="rId15"/>
    <sheet name="15_FORMULA_MAP" sheetId="16" r:id="rId16"/>
    <sheet name="16_OUTPUT_PUBLICATION" sheetId="17" r:id="rId17"/>
    <sheet name="17_DASHBOARD" sheetId="18" r:id="rId18"/>
    <sheet name="18_QC" sheetId="19" r:id="rId19"/>
    <sheet name="19_CHANGE_LOG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8" l="1"/>
  <c r="J4" i="8"/>
  <c r="I8" i="11"/>
  <c r="C13" i="19"/>
  <c r="D13" i="19" s="1"/>
  <c r="C12" i="19"/>
  <c r="D12" i="19" s="1"/>
  <c r="D7" i="19"/>
  <c r="C7" i="19"/>
  <c r="C6" i="19"/>
  <c r="D6" i="19" s="1"/>
  <c r="C5" i="19"/>
  <c r="D5" i="19" s="1"/>
  <c r="C4" i="19"/>
  <c r="D4" i="19" s="1"/>
  <c r="O41" i="14"/>
  <c r="N41" i="14"/>
  <c r="M41" i="14"/>
  <c r="L41" i="14"/>
  <c r="J41" i="14"/>
  <c r="I41" i="14"/>
  <c r="H41" i="14"/>
  <c r="G41" i="14"/>
  <c r="E41" i="14"/>
  <c r="O40" i="14"/>
  <c r="N40" i="14"/>
  <c r="M40" i="14"/>
  <c r="L40" i="14"/>
  <c r="P40" i="14" s="1"/>
  <c r="J40" i="14"/>
  <c r="I40" i="14"/>
  <c r="H40" i="14"/>
  <c r="G40" i="14"/>
  <c r="E40" i="14"/>
  <c r="O39" i="14"/>
  <c r="N39" i="14"/>
  <c r="M39" i="14"/>
  <c r="L39" i="14"/>
  <c r="P39" i="14" s="1"/>
  <c r="J39" i="14"/>
  <c r="I39" i="14"/>
  <c r="H39" i="14"/>
  <c r="G39" i="14"/>
  <c r="E39" i="14"/>
  <c r="P38" i="14"/>
  <c r="O38" i="14"/>
  <c r="N38" i="14"/>
  <c r="M38" i="14"/>
  <c r="L38" i="14"/>
  <c r="J38" i="14"/>
  <c r="I38" i="14"/>
  <c r="H38" i="14"/>
  <c r="G38" i="14"/>
  <c r="E38" i="14"/>
  <c r="O37" i="14"/>
  <c r="N37" i="14"/>
  <c r="M37" i="14"/>
  <c r="L37" i="14"/>
  <c r="J37" i="14"/>
  <c r="I37" i="14"/>
  <c r="H37" i="14"/>
  <c r="G37" i="14"/>
  <c r="E37" i="14"/>
  <c r="P36" i="14"/>
  <c r="O36" i="14"/>
  <c r="N36" i="14"/>
  <c r="M36" i="14"/>
  <c r="L36" i="14"/>
  <c r="J36" i="14"/>
  <c r="I36" i="14"/>
  <c r="H36" i="14"/>
  <c r="G36" i="14"/>
  <c r="E36" i="14"/>
  <c r="O35" i="14"/>
  <c r="N35" i="14"/>
  <c r="M35" i="14"/>
  <c r="L35" i="14"/>
  <c r="J35" i="14"/>
  <c r="I35" i="14"/>
  <c r="H35" i="14"/>
  <c r="G35" i="14"/>
  <c r="E35" i="14"/>
  <c r="O34" i="14"/>
  <c r="N34" i="14"/>
  <c r="M34" i="14"/>
  <c r="L34" i="14"/>
  <c r="J34" i="14"/>
  <c r="I34" i="14"/>
  <c r="H34" i="14"/>
  <c r="G34" i="14"/>
  <c r="E34" i="14"/>
  <c r="O33" i="14"/>
  <c r="N33" i="14"/>
  <c r="M33" i="14"/>
  <c r="L33" i="14"/>
  <c r="J33" i="14"/>
  <c r="I33" i="14"/>
  <c r="H33" i="14"/>
  <c r="G33" i="14"/>
  <c r="K33" i="14" s="1"/>
  <c r="E33" i="14"/>
  <c r="O32" i="14"/>
  <c r="N32" i="14"/>
  <c r="M32" i="14"/>
  <c r="L32" i="14"/>
  <c r="P32" i="14" s="1"/>
  <c r="J32" i="14"/>
  <c r="I32" i="14"/>
  <c r="H32" i="14"/>
  <c r="G32" i="14"/>
  <c r="E32" i="14"/>
  <c r="O31" i="14"/>
  <c r="N31" i="14"/>
  <c r="M31" i="14"/>
  <c r="L31" i="14"/>
  <c r="P31" i="14" s="1"/>
  <c r="J31" i="14"/>
  <c r="I31" i="14"/>
  <c r="H31" i="14"/>
  <c r="G31" i="14"/>
  <c r="K31" i="14" s="1"/>
  <c r="E31" i="14"/>
  <c r="O30" i="14"/>
  <c r="N30" i="14"/>
  <c r="M30" i="14"/>
  <c r="L30" i="14"/>
  <c r="J30" i="14"/>
  <c r="I30" i="14"/>
  <c r="H30" i="14"/>
  <c r="G30" i="14"/>
  <c r="E30" i="14"/>
  <c r="O29" i="14"/>
  <c r="N29" i="14"/>
  <c r="M29" i="14"/>
  <c r="L29" i="14"/>
  <c r="P29" i="14" s="1"/>
  <c r="J29" i="14"/>
  <c r="I29" i="14"/>
  <c r="H29" i="14"/>
  <c r="G29" i="14"/>
  <c r="E29" i="14"/>
  <c r="O28" i="14"/>
  <c r="N28" i="14"/>
  <c r="M28" i="14"/>
  <c r="L28" i="14"/>
  <c r="P28" i="14" s="1"/>
  <c r="J28" i="14"/>
  <c r="I28" i="14"/>
  <c r="H28" i="14"/>
  <c r="G28" i="14"/>
  <c r="E28" i="14"/>
  <c r="O27" i="14"/>
  <c r="N27" i="14"/>
  <c r="M27" i="14"/>
  <c r="L27" i="14"/>
  <c r="J27" i="14"/>
  <c r="I27" i="14"/>
  <c r="H27" i="14"/>
  <c r="G27" i="14"/>
  <c r="E27" i="14"/>
  <c r="P27" i="14" s="1"/>
  <c r="O26" i="14"/>
  <c r="N26" i="14"/>
  <c r="M26" i="14"/>
  <c r="L26" i="14"/>
  <c r="J26" i="14"/>
  <c r="I26" i="14"/>
  <c r="H26" i="14"/>
  <c r="G26" i="14"/>
  <c r="E26" i="14"/>
  <c r="O25" i="14"/>
  <c r="N25" i="14"/>
  <c r="M25" i="14"/>
  <c r="L25" i="14"/>
  <c r="J25" i="14"/>
  <c r="I25" i="14"/>
  <c r="H25" i="14"/>
  <c r="G25" i="14"/>
  <c r="E25" i="14"/>
  <c r="O24" i="14"/>
  <c r="N24" i="14"/>
  <c r="M24" i="14"/>
  <c r="L24" i="14"/>
  <c r="J24" i="14"/>
  <c r="I24" i="14"/>
  <c r="H24" i="14"/>
  <c r="G24" i="14"/>
  <c r="E24" i="14"/>
  <c r="O23" i="14"/>
  <c r="N23" i="14"/>
  <c r="M23" i="14"/>
  <c r="L23" i="14"/>
  <c r="J23" i="14"/>
  <c r="I23" i="14"/>
  <c r="H23" i="14"/>
  <c r="G23" i="14"/>
  <c r="E23" i="14"/>
  <c r="O22" i="14"/>
  <c r="N22" i="14"/>
  <c r="M22" i="14"/>
  <c r="L22" i="14"/>
  <c r="P22" i="14" s="1"/>
  <c r="J22" i="14"/>
  <c r="I22" i="14"/>
  <c r="H22" i="14"/>
  <c r="G22" i="14"/>
  <c r="K22" i="14" s="1"/>
  <c r="E22" i="14"/>
  <c r="O21" i="14"/>
  <c r="N21" i="14"/>
  <c r="M21" i="14"/>
  <c r="L21" i="14"/>
  <c r="J21" i="14"/>
  <c r="I21" i="14"/>
  <c r="H21" i="14"/>
  <c r="G21" i="14"/>
  <c r="E21" i="14"/>
  <c r="O20" i="14"/>
  <c r="N20" i="14"/>
  <c r="M20" i="14"/>
  <c r="L20" i="14"/>
  <c r="J20" i="14"/>
  <c r="I20" i="14"/>
  <c r="H20" i="14"/>
  <c r="G20" i="14"/>
  <c r="E20" i="14"/>
  <c r="K20" i="14" s="1"/>
  <c r="O19" i="14"/>
  <c r="N19" i="14"/>
  <c r="M19" i="14"/>
  <c r="L19" i="14"/>
  <c r="P19" i="14" s="1"/>
  <c r="J19" i="14"/>
  <c r="I19" i="14"/>
  <c r="H19" i="14"/>
  <c r="G19" i="14"/>
  <c r="E19" i="14"/>
  <c r="O18" i="14"/>
  <c r="N18" i="14"/>
  <c r="M18" i="14"/>
  <c r="L18" i="14"/>
  <c r="J18" i="14"/>
  <c r="I18" i="14"/>
  <c r="H18" i="14"/>
  <c r="G18" i="14"/>
  <c r="E18" i="14"/>
  <c r="O17" i="14"/>
  <c r="N17" i="14"/>
  <c r="M17" i="14"/>
  <c r="L17" i="14"/>
  <c r="J17" i="14"/>
  <c r="I17" i="14"/>
  <c r="H17" i="14"/>
  <c r="G17" i="14"/>
  <c r="E17" i="14"/>
  <c r="O16" i="14"/>
  <c r="N16" i="14"/>
  <c r="M16" i="14"/>
  <c r="L16" i="14"/>
  <c r="J16" i="14"/>
  <c r="I16" i="14"/>
  <c r="H16" i="14"/>
  <c r="G16" i="14"/>
  <c r="E16" i="14"/>
  <c r="K16" i="14" s="1"/>
  <c r="O15" i="14"/>
  <c r="N15" i="14"/>
  <c r="M15" i="14"/>
  <c r="L15" i="14"/>
  <c r="J15" i="14"/>
  <c r="I15" i="14"/>
  <c r="H15" i="14"/>
  <c r="G15" i="14"/>
  <c r="E15" i="14"/>
  <c r="O14" i="14"/>
  <c r="N14" i="14"/>
  <c r="M14" i="14"/>
  <c r="L14" i="14"/>
  <c r="J14" i="14"/>
  <c r="I14" i="14"/>
  <c r="H14" i="14"/>
  <c r="G14" i="14"/>
  <c r="E14" i="14"/>
  <c r="O13" i="14"/>
  <c r="N13" i="14"/>
  <c r="M13" i="14"/>
  <c r="L13" i="14"/>
  <c r="J13" i="14"/>
  <c r="I13" i="14"/>
  <c r="H13" i="14"/>
  <c r="G13" i="14"/>
  <c r="K13" i="14" s="1"/>
  <c r="E13" i="14"/>
  <c r="O12" i="14"/>
  <c r="N12" i="14"/>
  <c r="M12" i="14"/>
  <c r="L12" i="14"/>
  <c r="P12" i="14" s="1"/>
  <c r="J12" i="14"/>
  <c r="I12" i="14"/>
  <c r="H12" i="14"/>
  <c r="G12" i="14"/>
  <c r="E12" i="14"/>
  <c r="O11" i="14"/>
  <c r="N11" i="14"/>
  <c r="M11" i="14"/>
  <c r="L11" i="14"/>
  <c r="J11" i="14"/>
  <c r="I11" i="14"/>
  <c r="H11" i="14"/>
  <c r="G11" i="14"/>
  <c r="E11" i="14"/>
  <c r="O10" i="14"/>
  <c r="N10" i="14"/>
  <c r="M10" i="14"/>
  <c r="L10" i="14"/>
  <c r="J10" i="14"/>
  <c r="I10" i="14"/>
  <c r="H10" i="14"/>
  <c r="G10" i="14"/>
  <c r="E10" i="14"/>
  <c r="O9" i="14"/>
  <c r="N9" i="14"/>
  <c r="M9" i="14"/>
  <c r="L9" i="14"/>
  <c r="P9" i="14" s="1"/>
  <c r="J9" i="14"/>
  <c r="I9" i="14"/>
  <c r="H9" i="14"/>
  <c r="G9" i="14"/>
  <c r="E9" i="14"/>
  <c r="K9" i="14" s="1"/>
  <c r="O8" i="14"/>
  <c r="N8" i="14"/>
  <c r="M8" i="14"/>
  <c r="L8" i="14"/>
  <c r="P8" i="14" s="1"/>
  <c r="J8" i="14"/>
  <c r="I8" i="14"/>
  <c r="H8" i="14"/>
  <c r="G8" i="14"/>
  <c r="E8" i="14"/>
  <c r="O7" i="14"/>
  <c r="N7" i="14"/>
  <c r="M7" i="14"/>
  <c r="L7" i="14"/>
  <c r="J7" i="14"/>
  <c r="I7" i="14"/>
  <c r="H7" i="14"/>
  <c r="G7" i="14"/>
  <c r="E7" i="14"/>
  <c r="O6" i="14"/>
  <c r="N6" i="14"/>
  <c r="M6" i="14"/>
  <c r="L6" i="14"/>
  <c r="J6" i="14"/>
  <c r="I6" i="14"/>
  <c r="H6" i="14"/>
  <c r="G6" i="14"/>
  <c r="E6" i="14"/>
  <c r="O5" i="14"/>
  <c r="N5" i="14"/>
  <c r="M5" i="14"/>
  <c r="L5" i="14"/>
  <c r="J5" i="14"/>
  <c r="I5" i="14"/>
  <c r="H5" i="14"/>
  <c r="G5" i="14"/>
  <c r="E5" i="14"/>
  <c r="O4" i="14"/>
  <c r="N4" i="14"/>
  <c r="M4" i="14"/>
  <c r="L4" i="14"/>
  <c r="J4" i="14"/>
  <c r="I4" i="14"/>
  <c r="H4" i="14"/>
  <c r="G4" i="14"/>
  <c r="E4" i="14"/>
  <c r="J37" i="12"/>
  <c r="H37" i="12"/>
  <c r="K37" i="12" s="1"/>
  <c r="G37" i="12"/>
  <c r="F37" i="12"/>
  <c r="I37" i="12" s="1"/>
  <c r="J36" i="12"/>
  <c r="H36" i="12"/>
  <c r="K36" i="12" s="1"/>
  <c r="G36" i="12"/>
  <c r="F36" i="12"/>
  <c r="I36" i="12" s="1"/>
  <c r="K35" i="12"/>
  <c r="H35" i="12"/>
  <c r="G35" i="12"/>
  <c r="J35" i="12" s="1"/>
  <c r="F35" i="12"/>
  <c r="I35" i="12" s="1"/>
  <c r="I34" i="12"/>
  <c r="H34" i="12"/>
  <c r="K34" i="12" s="1"/>
  <c r="G34" i="12"/>
  <c r="J34" i="12" s="1"/>
  <c r="F34" i="12"/>
  <c r="K33" i="12"/>
  <c r="H33" i="12"/>
  <c r="G33" i="12"/>
  <c r="J33" i="12" s="1"/>
  <c r="F33" i="12"/>
  <c r="I33" i="12" s="1"/>
  <c r="H32" i="12"/>
  <c r="K32" i="12" s="1"/>
  <c r="G32" i="12"/>
  <c r="J32" i="12" s="1"/>
  <c r="F32" i="12"/>
  <c r="I32" i="12" s="1"/>
  <c r="J31" i="12"/>
  <c r="I31" i="12"/>
  <c r="H31" i="12"/>
  <c r="K31" i="12" s="1"/>
  <c r="G31" i="12"/>
  <c r="F31" i="12"/>
  <c r="H30" i="12"/>
  <c r="K30" i="12" s="1"/>
  <c r="L30" i="12" s="1"/>
  <c r="G30" i="12"/>
  <c r="J30" i="12" s="1"/>
  <c r="F30" i="12"/>
  <c r="I30" i="12" s="1"/>
  <c r="I29" i="12"/>
  <c r="H29" i="12"/>
  <c r="K29" i="12" s="1"/>
  <c r="G29" i="12"/>
  <c r="J29" i="12" s="1"/>
  <c r="F29" i="12"/>
  <c r="K28" i="12"/>
  <c r="J28" i="12"/>
  <c r="H28" i="12"/>
  <c r="G28" i="12"/>
  <c r="F28" i="12"/>
  <c r="I28" i="12" s="1"/>
  <c r="H27" i="12"/>
  <c r="K27" i="12" s="1"/>
  <c r="G27" i="12"/>
  <c r="J27" i="12" s="1"/>
  <c r="F27" i="12"/>
  <c r="I27" i="12" s="1"/>
  <c r="J26" i="12"/>
  <c r="I26" i="12"/>
  <c r="H26" i="12"/>
  <c r="K26" i="12" s="1"/>
  <c r="G26" i="12"/>
  <c r="F26" i="12"/>
  <c r="I25" i="12"/>
  <c r="L25" i="12" s="1"/>
  <c r="H25" i="12"/>
  <c r="K25" i="12" s="1"/>
  <c r="G25" i="12"/>
  <c r="J25" i="12" s="1"/>
  <c r="F25" i="12"/>
  <c r="I24" i="12"/>
  <c r="H24" i="12"/>
  <c r="K24" i="12" s="1"/>
  <c r="G24" i="12"/>
  <c r="J24" i="12" s="1"/>
  <c r="F24" i="12"/>
  <c r="K23" i="12"/>
  <c r="J23" i="12"/>
  <c r="H23" i="12"/>
  <c r="G23" i="12"/>
  <c r="F23" i="12"/>
  <c r="I23" i="12" s="1"/>
  <c r="K22" i="12"/>
  <c r="J22" i="12"/>
  <c r="I22" i="12"/>
  <c r="L22" i="12" s="1"/>
  <c r="H22" i="12"/>
  <c r="G22" i="12"/>
  <c r="F22" i="12"/>
  <c r="J21" i="12"/>
  <c r="I21" i="12"/>
  <c r="H21" i="12"/>
  <c r="K21" i="12" s="1"/>
  <c r="G21" i="12"/>
  <c r="F21" i="12"/>
  <c r="K20" i="12"/>
  <c r="I20" i="12"/>
  <c r="L20" i="12" s="1"/>
  <c r="H20" i="12"/>
  <c r="G20" i="12"/>
  <c r="J20" i="12" s="1"/>
  <c r="F20" i="12"/>
  <c r="K19" i="12"/>
  <c r="J19" i="12"/>
  <c r="I19" i="12"/>
  <c r="H19" i="12"/>
  <c r="G19" i="12"/>
  <c r="F19" i="12"/>
  <c r="J18" i="12"/>
  <c r="H18" i="12"/>
  <c r="K18" i="12" s="1"/>
  <c r="G18" i="12"/>
  <c r="F18" i="12"/>
  <c r="I18" i="12" s="1"/>
  <c r="J17" i="12"/>
  <c r="H17" i="12"/>
  <c r="K17" i="12" s="1"/>
  <c r="G17" i="12"/>
  <c r="F17" i="12"/>
  <c r="I17" i="12" s="1"/>
  <c r="K16" i="12"/>
  <c r="J16" i="12"/>
  <c r="H16" i="12"/>
  <c r="G16" i="12"/>
  <c r="F16" i="12"/>
  <c r="I16" i="12" s="1"/>
  <c r="K15" i="12"/>
  <c r="J15" i="12"/>
  <c r="H15" i="12"/>
  <c r="G15" i="12"/>
  <c r="F15" i="12"/>
  <c r="I15" i="12" s="1"/>
  <c r="I14" i="12"/>
  <c r="H14" i="12"/>
  <c r="K14" i="12" s="1"/>
  <c r="G14" i="12"/>
  <c r="J14" i="12" s="1"/>
  <c r="F14" i="12"/>
  <c r="K13" i="12"/>
  <c r="H13" i="12"/>
  <c r="G13" i="12"/>
  <c r="J13" i="12" s="1"/>
  <c r="F13" i="12"/>
  <c r="I13" i="12" s="1"/>
  <c r="H12" i="12"/>
  <c r="K12" i="12" s="1"/>
  <c r="G12" i="12"/>
  <c r="J12" i="12" s="1"/>
  <c r="F12" i="12"/>
  <c r="I12" i="12" s="1"/>
  <c r="J11" i="12"/>
  <c r="I11" i="12"/>
  <c r="H11" i="12"/>
  <c r="K11" i="12" s="1"/>
  <c r="G11" i="12"/>
  <c r="F11" i="12"/>
  <c r="H10" i="12"/>
  <c r="K10" i="12" s="1"/>
  <c r="G10" i="12"/>
  <c r="J10" i="12" s="1"/>
  <c r="F10" i="12"/>
  <c r="I10" i="12" s="1"/>
  <c r="I9" i="12"/>
  <c r="L9" i="12" s="1"/>
  <c r="H9" i="12"/>
  <c r="K9" i="12" s="1"/>
  <c r="G9" i="12"/>
  <c r="J9" i="12" s="1"/>
  <c r="F9" i="12"/>
  <c r="J8" i="12"/>
  <c r="H8" i="12"/>
  <c r="K8" i="12" s="1"/>
  <c r="G8" i="12"/>
  <c r="F8" i="12"/>
  <c r="I8" i="12" s="1"/>
  <c r="L8" i="12" s="1"/>
  <c r="H7" i="12"/>
  <c r="K7" i="12" s="1"/>
  <c r="G7" i="12"/>
  <c r="J7" i="12" s="1"/>
  <c r="F7" i="12"/>
  <c r="I7" i="12" s="1"/>
  <c r="J6" i="12"/>
  <c r="I6" i="12"/>
  <c r="H6" i="12"/>
  <c r="K6" i="12" s="1"/>
  <c r="G6" i="12"/>
  <c r="F6" i="12"/>
  <c r="I5" i="12"/>
  <c r="H5" i="12"/>
  <c r="K5" i="12" s="1"/>
  <c r="G5" i="12"/>
  <c r="J5" i="12" s="1"/>
  <c r="F5" i="12"/>
  <c r="I4" i="12"/>
  <c r="H4" i="12"/>
  <c r="K4" i="12" s="1"/>
  <c r="G4" i="12"/>
  <c r="J4" i="12" s="1"/>
  <c r="F4" i="12"/>
  <c r="P41" i="11"/>
  <c r="N41" i="11"/>
  <c r="L41" i="11"/>
  <c r="J41" i="11"/>
  <c r="U41" i="11" s="1"/>
  <c r="I41" i="11"/>
  <c r="H41" i="11"/>
  <c r="G41" i="11"/>
  <c r="F41" i="11"/>
  <c r="M41" i="11" s="1"/>
  <c r="U40" i="11"/>
  <c r="T40" i="11"/>
  <c r="R40" i="11"/>
  <c r="P40" i="11"/>
  <c r="N40" i="11"/>
  <c r="L40" i="11"/>
  <c r="J40" i="11"/>
  <c r="I40" i="11"/>
  <c r="H40" i="11"/>
  <c r="G40" i="11"/>
  <c r="F40" i="11"/>
  <c r="P39" i="11"/>
  <c r="N39" i="11"/>
  <c r="L39" i="11"/>
  <c r="R39" i="11" s="1"/>
  <c r="J39" i="11"/>
  <c r="I39" i="11"/>
  <c r="H39" i="11"/>
  <c r="G39" i="11"/>
  <c r="F39" i="11"/>
  <c r="K39" i="11" s="1"/>
  <c r="P38" i="11"/>
  <c r="N38" i="11"/>
  <c r="L38" i="11"/>
  <c r="U38" i="11" s="1"/>
  <c r="J38" i="11"/>
  <c r="R38" i="11" s="1"/>
  <c r="I38" i="11"/>
  <c r="H38" i="11"/>
  <c r="G38" i="11"/>
  <c r="F38" i="11"/>
  <c r="R37" i="11"/>
  <c r="P37" i="11"/>
  <c r="N37" i="11"/>
  <c r="L37" i="11"/>
  <c r="J37" i="11"/>
  <c r="I37" i="11"/>
  <c r="H37" i="11"/>
  <c r="G37" i="11"/>
  <c r="F37" i="11"/>
  <c r="Q37" i="11" s="1"/>
  <c r="U36" i="11"/>
  <c r="P36" i="11"/>
  <c r="N36" i="11"/>
  <c r="L36" i="11"/>
  <c r="J36" i="11"/>
  <c r="I36" i="11"/>
  <c r="H36" i="11"/>
  <c r="G36" i="11"/>
  <c r="F36" i="11"/>
  <c r="M36" i="11" s="1"/>
  <c r="U35" i="11"/>
  <c r="R35" i="11"/>
  <c r="P35" i="11"/>
  <c r="N35" i="11"/>
  <c r="L35" i="11"/>
  <c r="J35" i="11"/>
  <c r="I35" i="11"/>
  <c r="H35" i="11"/>
  <c r="G35" i="11"/>
  <c r="F35" i="11"/>
  <c r="P34" i="11"/>
  <c r="N34" i="11"/>
  <c r="U34" i="11" s="1"/>
  <c r="L34" i="11"/>
  <c r="J34" i="11"/>
  <c r="I34" i="11"/>
  <c r="H34" i="11"/>
  <c r="G34" i="11"/>
  <c r="F34" i="11"/>
  <c r="M34" i="11" s="1"/>
  <c r="P33" i="11"/>
  <c r="N33" i="11"/>
  <c r="L33" i="11"/>
  <c r="J33" i="11"/>
  <c r="T33" i="11" s="1"/>
  <c r="I33" i="11"/>
  <c r="O33" i="11" s="1"/>
  <c r="H33" i="11"/>
  <c r="G33" i="11"/>
  <c r="F33" i="11"/>
  <c r="P32" i="11"/>
  <c r="N32" i="11"/>
  <c r="L32" i="11"/>
  <c r="T32" i="11" s="1"/>
  <c r="J32" i="11"/>
  <c r="I32" i="11"/>
  <c r="H32" i="11"/>
  <c r="G32" i="11"/>
  <c r="F32" i="11"/>
  <c r="Q32" i="11" s="1"/>
  <c r="P31" i="11"/>
  <c r="N31" i="11"/>
  <c r="L31" i="11"/>
  <c r="J31" i="11"/>
  <c r="I31" i="11"/>
  <c r="H31" i="11"/>
  <c r="G31" i="11"/>
  <c r="F31" i="11"/>
  <c r="P30" i="11"/>
  <c r="N30" i="11"/>
  <c r="L30" i="11"/>
  <c r="R30" i="11" s="1"/>
  <c r="J30" i="11"/>
  <c r="U30" i="11" s="1"/>
  <c r="I30" i="11"/>
  <c r="H30" i="11"/>
  <c r="G30" i="11"/>
  <c r="F30" i="11"/>
  <c r="U29" i="11"/>
  <c r="T29" i="11"/>
  <c r="P29" i="11"/>
  <c r="N29" i="11"/>
  <c r="L29" i="11"/>
  <c r="J29" i="11"/>
  <c r="I29" i="11"/>
  <c r="H29" i="11"/>
  <c r="G29" i="11"/>
  <c r="F29" i="11"/>
  <c r="M29" i="11" s="1"/>
  <c r="Q28" i="11"/>
  <c r="P28" i="11"/>
  <c r="N28" i="11"/>
  <c r="L28" i="11"/>
  <c r="J28" i="11"/>
  <c r="T28" i="11" s="1"/>
  <c r="I28" i="11"/>
  <c r="H28" i="11"/>
  <c r="G28" i="11"/>
  <c r="F28" i="11"/>
  <c r="O28" i="11" s="1"/>
  <c r="P27" i="11"/>
  <c r="N27" i="11"/>
  <c r="L27" i="11"/>
  <c r="T27" i="11" s="1"/>
  <c r="J27" i="11"/>
  <c r="I27" i="11"/>
  <c r="H27" i="11"/>
  <c r="G27" i="11"/>
  <c r="F27" i="11"/>
  <c r="K27" i="11" s="1"/>
  <c r="U26" i="11"/>
  <c r="P26" i="11"/>
  <c r="N26" i="11"/>
  <c r="L26" i="11"/>
  <c r="J26" i="11"/>
  <c r="I26" i="11"/>
  <c r="H26" i="11"/>
  <c r="G26" i="11"/>
  <c r="F26" i="11"/>
  <c r="P25" i="11"/>
  <c r="N25" i="11"/>
  <c r="L25" i="11"/>
  <c r="J25" i="11"/>
  <c r="U25" i="11" s="1"/>
  <c r="I25" i="11"/>
  <c r="H25" i="11"/>
  <c r="G25" i="11"/>
  <c r="F25" i="11"/>
  <c r="P24" i="11"/>
  <c r="N24" i="11"/>
  <c r="L24" i="11"/>
  <c r="R24" i="11" s="1"/>
  <c r="J24" i="11"/>
  <c r="I24" i="11"/>
  <c r="H24" i="11"/>
  <c r="G24" i="11"/>
  <c r="F24" i="11"/>
  <c r="U23" i="11"/>
  <c r="R23" i="11"/>
  <c r="P23" i="11"/>
  <c r="N23" i="11"/>
  <c r="L23" i="11"/>
  <c r="J23" i="11"/>
  <c r="I23" i="11"/>
  <c r="H23" i="11"/>
  <c r="G23" i="11"/>
  <c r="F23" i="11"/>
  <c r="Q23" i="11" s="1"/>
  <c r="P22" i="11"/>
  <c r="N22" i="11"/>
  <c r="T22" i="11" s="1"/>
  <c r="L22" i="11"/>
  <c r="R22" i="11" s="1"/>
  <c r="J22" i="11"/>
  <c r="U22" i="11" s="1"/>
  <c r="I22" i="11"/>
  <c r="H22" i="11"/>
  <c r="G22" i="11"/>
  <c r="F22" i="11"/>
  <c r="T21" i="11"/>
  <c r="P21" i="11"/>
  <c r="N21" i="11"/>
  <c r="L21" i="11"/>
  <c r="J21" i="11"/>
  <c r="I21" i="11"/>
  <c r="H21" i="11"/>
  <c r="G21" i="11"/>
  <c r="F21" i="11"/>
  <c r="P20" i="11"/>
  <c r="N20" i="11"/>
  <c r="L20" i="11"/>
  <c r="J20" i="11"/>
  <c r="I20" i="11"/>
  <c r="H20" i="11"/>
  <c r="G20" i="11"/>
  <c r="F20" i="11"/>
  <c r="P19" i="11"/>
  <c r="N19" i="11"/>
  <c r="L19" i="11"/>
  <c r="R19" i="11" s="1"/>
  <c r="J19" i="11"/>
  <c r="I19" i="11"/>
  <c r="H19" i="11"/>
  <c r="G19" i="11"/>
  <c r="F19" i="11"/>
  <c r="U18" i="11"/>
  <c r="P18" i="11"/>
  <c r="N18" i="11"/>
  <c r="L18" i="11"/>
  <c r="J18" i="11"/>
  <c r="T18" i="11" s="1"/>
  <c r="I18" i="11"/>
  <c r="H18" i="11"/>
  <c r="G18" i="11"/>
  <c r="F18" i="11"/>
  <c r="Q17" i="11"/>
  <c r="P17" i="11"/>
  <c r="N17" i="11"/>
  <c r="M17" i="11"/>
  <c r="L17" i="11"/>
  <c r="T17" i="11" s="1"/>
  <c r="J17" i="11"/>
  <c r="I17" i="11"/>
  <c r="H17" i="11"/>
  <c r="G17" i="11"/>
  <c r="F17" i="11"/>
  <c r="P16" i="11"/>
  <c r="N16" i="11"/>
  <c r="L16" i="11"/>
  <c r="J16" i="11"/>
  <c r="U16" i="11" s="1"/>
  <c r="I16" i="11"/>
  <c r="H16" i="11"/>
  <c r="G16" i="11"/>
  <c r="F16" i="11"/>
  <c r="U15" i="11"/>
  <c r="T15" i="11"/>
  <c r="P15" i="11"/>
  <c r="N15" i="11"/>
  <c r="L15" i="11"/>
  <c r="J15" i="11"/>
  <c r="I15" i="11"/>
  <c r="H15" i="11"/>
  <c r="G15" i="11"/>
  <c r="F15" i="11"/>
  <c r="P14" i="11"/>
  <c r="N14" i="11"/>
  <c r="L14" i="11"/>
  <c r="R14" i="11" s="1"/>
  <c r="J14" i="11"/>
  <c r="I14" i="11"/>
  <c r="H14" i="11"/>
  <c r="G14" i="11"/>
  <c r="F14" i="11"/>
  <c r="P13" i="11"/>
  <c r="N13" i="11"/>
  <c r="L13" i="11"/>
  <c r="J13" i="11"/>
  <c r="T13" i="11" s="1"/>
  <c r="I13" i="11"/>
  <c r="H13" i="11"/>
  <c r="G13" i="11"/>
  <c r="F13" i="11"/>
  <c r="K13" i="11" s="1"/>
  <c r="T12" i="11"/>
  <c r="R12" i="11"/>
  <c r="P12" i="11"/>
  <c r="N12" i="11"/>
  <c r="L12" i="11"/>
  <c r="J12" i="11"/>
  <c r="U12" i="11" s="1"/>
  <c r="I12" i="11"/>
  <c r="H12" i="11"/>
  <c r="G12" i="11"/>
  <c r="F12" i="11"/>
  <c r="Q12" i="11" s="1"/>
  <c r="T11" i="11"/>
  <c r="P11" i="11"/>
  <c r="N11" i="11"/>
  <c r="L11" i="11"/>
  <c r="J11" i="11"/>
  <c r="I11" i="11"/>
  <c r="H11" i="11"/>
  <c r="G11" i="11"/>
  <c r="F11" i="11"/>
  <c r="P10" i="11"/>
  <c r="N10" i="11"/>
  <c r="L10" i="11"/>
  <c r="J10" i="11"/>
  <c r="U10" i="11" s="1"/>
  <c r="I10" i="11"/>
  <c r="H10" i="11"/>
  <c r="G10" i="11"/>
  <c r="F10" i="11"/>
  <c r="T9" i="11"/>
  <c r="P9" i="11"/>
  <c r="U9" i="11" s="1"/>
  <c r="N9" i="11"/>
  <c r="L9" i="11"/>
  <c r="J9" i="11"/>
  <c r="I9" i="11"/>
  <c r="H9" i="11"/>
  <c r="G9" i="11"/>
  <c r="F9" i="11"/>
  <c r="Q9" i="11" s="1"/>
  <c r="P8" i="11"/>
  <c r="N8" i="11"/>
  <c r="L8" i="11"/>
  <c r="J8" i="11"/>
  <c r="T8" i="11" s="1"/>
  <c r="H8" i="11"/>
  <c r="G8" i="11"/>
  <c r="F8" i="11"/>
  <c r="P7" i="11"/>
  <c r="N7" i="11"/>
  <c r="L7" i="11"/>
  <c r="T7" i="11" s="1"/>
  <c r="J7" i="11"/>
  <c r="I7" i="11"/>
  <c r="H7" i="11"/>
  <c r="G7" i="11"/>
  <c r="F7" i="11"/>
  <c r="K7" i="11" s="1"/>
  <c r="P6" i="11"/>
  <c r="N6" i="11"/>
  <c r="L6" i="11"/>
  <c r="J6" i="11"/>
  <c r="I6" i="11"/>
  <c r="H6" i="11"/>
  <c r="G6" i="11"/>
  <c r="F6" i="11"/>
  <c r="P5" i="11"/>
  <c r="N5" i="11"/>
  <c r="L5" i="11"/>
  <c r="J5" i="11"/>
  <c r="T5" i="11" s="1"/>
  <c r="I5" i="11"/>
  <c r="H5" i="11"/>
  <c r="G5" i="11"/>
  <c r="F5" i="11"/>
  <c r="P4" i="11"/>
  <c r="N4" i="11"/>
  <c r="L4" i="11"/>
  <c r="R4" i="11" s="1"/>
  <c r="J4" i="11"/>
  <c r="I4" i="11"/>
  <c r="H4" i="11"/>
  <c r="G4" i="11"/>
  <c r="F4" i="11"/>
  <c r="G13" i="10"/>
  <c r="N41" i="9"/>
  <c r="K41" i="9"/>
  <c r="J41" i="9"/>
  <c r="I41" i="9"/>
  <c r="H41" i="9"/>
  <c r="G41" i="9"/>
  <c r="K40" i="9"/>
  <c r="J40" i="9"/>
  <c r="I40" i="9"/>
  <c r="H40" i="9"/>
  <c r="G40" i="9"/>
  <c r="K39" i="9"/>
  <c r="J39" i="9"/>
  <c r="I39" i="9"/>
  <c r="H39" i="9"/>
  <c r="L39" i="9" s="1"/>
  <c r="G39" i="9"/>
  <c r="K38" i="9"/>
  <c r="J38" i="9"/>
  <c r="I38" i="9"/>
  <c r="H38" i="9"/>
  <c r="G38" i="9"/>
  <c r="K37" i="9"/>
  <c r="J37" i="9"/>
  <c r="I37" i="9"/>
  <c r="H37" i="9"/>
  <c r="G37" i="9"/>
  <c r="K36" i="9"/>
  <c r="J36" i="9"/>
  <c r="I36" i="9"/>
  <c r="H36" i="9"/>
  <c r="G36" i="9"/>
  <c r="K35" i="9"/>
  <c r="J35" i="9"/>
  <c r="I35" i="9"/>
  <c r="H35" i="9"/>
  <c r="G35" i="9"/>
  <c r="K34" i="9"/>
  <c r="J34" i="9"/>
  <c r="I34" i="9"/>
  <c r="H34" i="9"/>
  <c r="G34" i="9"/>
  <c r="K33" i="9"/>
  <c r="J33" i="9"/>
  <c r="I33" i="9"/>
  <c r="H33" i="9"/>
  <c r="G33" i="9"/>
  <c r="K32" i="9"/>
  <c r="J32" i="9"/>
  <c r="I32" i="9"/>
  <c r="H32" i="9"/>
  <c r="G32" i="9"/>
  <c r="K31" i="9"/>
  <c r="J31" i="9"/>
  <c r="I31" i="9"/>
  <c r="H31" i="9"/>
  <c r="G31" i="9"/>
  <c r="K30" i="9"/>
  <c r="J30" i="9"/>
  <c r="I30" i="9"/>
  <c r="H30" i="9"/>
  <c r="G30" i="9"/>
  <c r="K29" i="9"/>
  <c r="J29" i="9"/>
  <c r="I29" i="9"/>
  <c r="H29" i="9"/>
  <c r="G29" i="9"/>
  <c r="K28" i="9"/>
  <c r="J28" i="9"/>
  <c r="I28" i="9"/>
  <c r="H28" i="9"/>
  <c r="L28" i="9" s="1"/>
  <c r="G28" i="9"/>
  <c r="K27" i="9"/>
  <c r="J27" i="9"/>
  <c r="I27" i="9"/>
  <c r="H27" i="9"/>
  <c r="L27" i="9" s="1"/>
  <c r="G27" i="9"/>
  <c r="K26" i="9"/>
  <c r="J26" i="9"/>
  <c r="I26" i="9"/>
  <c r="H26" i="9"/>
  <c r="L26" i="9" s="1"/>
  <c r="P26" i="9" s="1"/>
  <c r="G26" i="9"/>
  <c r="K25" i="9"/>
  <c r="J25" i="9"/>
  <c r="I25" i="9"/>
  <c r="H25" i="9"/>
  <c r="G25" i="9"/>
  <c r="K24" i="9"/>
  <c r="J24" i="9"/>
  <c r="I24" i="9"/>
  <c r="H24" i="9"/>
  <c r="L24" i="9" s="1"/>
  <c r="G24" i="9"/>
  <c r="K23" i="9"/>
  <c r="J23" i="9"/>
  <c r="I23" i="9"/>
  <c r="H23" i="9"/>
  <c r="G23" i="9"/>
  <c r="L23" i="9" s="1"/>
  <c r="K22" i="9"/>
  <c r="J22" i="9"/>
  <c r="I22" i="9"/>
  <c r="H22" i="9"/>
  <c r="G22" i="9"/>
  <c r="L22" i="9" s="1"/>
  <c r="K21" i="9"/>
  <c r="J21" i="9"/>
  <c r="I21" i="9"/>
  <c r="H21" i="9"/>
  <c r="G21" i="9"/>
  <c r="K20" i="9"/>
  <c r="J20" i="9"/>
  <c r="I20" i="9"/>
  <c r="H20" i="9"/>
  <c r="G20" i="9"/>
  <c r="K19" i="9"/>
  <c r="J19" i="9"/>
  <c r="I19" i="9"/>
  <c r="H19" i="9"/>
  <c r="G19" i="9"/>
  <c r="K18" i="9"/>
  <c r="J18" i="9"/>
  <c r="I18" i="9"/>
  <c r="H18" i="9"/>
  <c r="G18" i="9"/>
  <c r="K17" i="9"/>
  <c r="J17" i="9"/>
  <c r="I17" i="9"/>
  <c r="H17" i="9"/>
  <c r="G17" i="9"/>
  <c r="K16" i="9"/>
  <c r="J16" i="9"/>
  <c r="I16" i="9"/>
  <c r="H16" i="9"/>
  <c r="G16" i="9"/>
  <c r="K15" i="9"/>
  <c r="J15" i="9"/>
  <c r="I15" i="9"/>
  <c r="H15" i="9"/>
  <c r="G15" i="9"/>
  <c r="K14" i="9"/>
  <c r="J14" i="9"/>
  <c r="I14" i="9"/>
  <c r="H14" i="9"/>
  <c r="G14" i="9"/>
  <c r="K13" i="9"/>
  <c r="J13" i="9"/>
  <c r="I13" i="9"/>
  <c r="H13" i="9"/>
  <c r="G13" i="9"/>
  <c r="L13" i="9" s="1"/>
  <c r="F13" i="14" s="1"/>
  <c r="K12" i="9"/>
  <c r="J12" i="9"/>
  <c r="I12" i="9"/>
  <c r="H12" i="9"/>
  <c r="G12" i="9"/>
  <c r="K11" i="9"/>
  <c r="J11" i="9"/>
  <c r="I11" i="9"/>
  <c r="H11" i="9"/>
  <c r="G11" i="9"/>
  <c r="K10" i="9"/>
  <c r="J10" i="9"/>
  <c r="I10" i="9"/>
  <c r="H10" i="9"/>
  <c r="G10" i="9"/>
  <c r="K9" i="9"/>
  <c r="J9" i="9"/>
  <c r="I9" i="9"/>
  <c r="H9" i="9"/>
  <c r="G9" i="9"/>
  <c r="L9" i="9" s="1"/>
  <c r="F9" i="14" s="1"/>
  <c r="K8" i="9"/>
  <c r="J8" i="9"/>
  <c r="I8" i="9"/>
  <c r="H8" i="9"/>
  <c r="G8" i="9"/>
  <c r="K7" i="9"/>
  <c r="J7" i="9"/>
  <c r="I7" i="9"/>
  <c r="H7" i="9"/>
  <c r="G7" i="9"/>
  <c r="K6" i="9"/>
  <c r="J6" i="9"/>
  <c r="I6" i="9"/>
  <c r="H6" i="9"/>
  <c r="G6" i="9"/>
  <c r="K5" i="9"/>
  <c r="J5" i="9"/>
  <c r="I5" i="9"/>
  <c r="H5" i="9"/>
  <c r="G5" i="9"/>
  <c r="K4" i="9"/>
  <c r="J4" i="9"/>
  <c r="I4" i="9"/>
  <c r="H4" i="9"/>
  <c r="L4" i="9" s="1"/>
  <c r="M4" i="9" s="1"/>
  <c r="G4" i="9"/>
  <c r="K41" i="8"/>
  <c r="J41" i="8"/>
  <c r="I41" i="8"/>
  <c r="K40" i="8"/>
  <c r="J40" i="8"/>
  <c r="I40" i="8"/>
  <c r="K39" i="8"/>
  <c r="J39" i="8"/>
  <c r="I39" i="8"/>
  <c r="K38" i="8"/>
  <c r="J38" i="8"/>
  <c r="I38" i="8"/>
  <c r="K37" i="8"/>
  <c r="J37" i="8"/>
  <c r="I37" i="8"/>
  <c r="K36" i="8"/>
  <c r="J36" i="8"/>
  <c r="I36" i="8"/>
  <c r="K35" i="8"/>
  <c r="J35" i="8"/>
  <c r="I35" i="8"/>
  <c r="K34" i="8"/>
  <c r="J34" i="8"/>
  <c r="I34" i="8"/>
  <c r="K33" i="8"/>
  <c r="J33" i="8"/>
  <c r="I33" i="8"/>
  <c r="K32" i="8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K6" i="8"/>
  <c r="J6" i="8"/>
  <c r="I6" i="8"/>
  <c r="K5" i="8"/>
  <c r="J5" i="8"/>
  <c r="I5" i="8"/>
  <c r="K4" i="8"/>
  <c r="L41" i="5"/>
  <c r="Q41" i="14" s="1"/>
  <c r="K41" i="5"/>
  <c r="L40" i="5"/>
  <c r="Q40" i="14" s="1"/>
  <c r="K40" i="5"/>
  <c r="N40" i="9" s="1"/>
  <c r="L39" i="5"/>
  <c r="Q39" i="14" s="1"/>
  <c r="K39" i="5"/>
  <c r="N39" i="9" s="1"/>
  <c r="L38" i="5"/>
  <c r="K38" i="5"/>
  <c r="N38" i="9" s="1"/>
  <c r="L37" i="5"/>
  <c r="K37" i="5"/>
  <c r="N37" i="9" s="1"/>
  <c r="L36" i="5"/>
  <c r="K36" i="5"/>
  <c r="N36" i="9" s="1"/>
  <c r="L35" i="5"/>
  <c r="Q35" i="14" s="1"/>
  <c r="K35" i="5"/>
  <c r="N35" i="9" s="1"/>
  <c r="L34" i="5"/>
  <c r="Q34" i="14" s="1"/>
  <c r="K34" i="5"/>
  <c r="N34" i="9" s="1"/>
  <c r="L33" i="5"/>
  <c r="Q33" i="14" s="1"/>
  <c r="K33" i="5"/>
  <c r="N33" i="9" s="1"/>
  <c r="L32" i="5"/>
  <c r="O32" i="9" s="1"/>
  <c r="K32" i="5"/>
  <c r="N32" i="9" s="1"/>
  <c r="L31" i="5"/>
  <c r="O31" i="9" s="1"/>
  <c r="K31" i="5"/>
  <c r="N31" i="9" s="1"/>
  <c r="L30" i="5"/>
  <c r="Q30" i="14" s="1"/>
  <c r="K30" i="5"/>
  <c r="N30" i="9" s="1"/>
  <c r="L29" i="5"/>
  <c r="K29" i="5"/>
  <c r="N29" i="9" s="1"/>
  <c r="L28" i="5"/>
  <c r="Q28" i="14" s="1"/>
  <c r="K28" i="5"/>
  <c r="N28" i="9" s="1"/>
  <c r="L27" i="5"/>
  <c r="Q27" i="14" s="1"/>
  <c r="K27" i="5"/>
  <c r="N27" i="9" s="1"/>
  <c r="L26" i="5"/>
  <c r="Q26" i="14" s="1"/>
  <c r="K26" i="5"/>
  <c r="N26" i="9" s="1"/>
  <c r="L25" i="5"/>
  <c r="Q25" i="14" s="1"/>
  <c r="K25" i="5"/>
  <c r="N25" i="9" s="1"/>
  <c r="L24" i="5"/>
  <c r="Q24" i="14" s="1"/>
  <c r="K24" i="5"/>
  <c r="N24" i="9" s="1"/>
  <c r="L23" i="5"/>
  <c r="K23" i="5"/>
  <c r="N23" i="9" s="1"/>
  <c r="L22" i="5"/>
  <c r="Q22" i="14" s="1"/>
  <c r="K22" i="5"/>
  <c r="N22" i="9" s="1"/>
  <c r="L21" i="5"/>
  <c r="Q21" i="14" s="1"/>
  <c r="K21" i="5"/>
  <c r="N21" i="9" s="1"/>
  <c r="L20" i="5"/>
  <c r="Q20" i="14" s="1"/>
  <c r="K20" i="5"/>
  <c r="N20" i="9" s="1"/>
  <c r="L19" i="5"/>
  <c r="Q19" i="14" s="1"/>
  <c r="K19" i="5"/>
  <c r="N19" i="9" s="1"/>
  <c r="L18" i="5"/>
  <c r="K18" i="5"/>
  <c r="N18" i="9" s="1"/>
  <c r="L17" i="5"/>
  <c r="K17" i="5"/>
  <c r="N17" i="9" s="1"/>
  <c r="L16" i="5"/>
  <c r="K16" i="5"/>
  <c r="N16" i="9" s="1"/>
  <c r="L15" i="5"/>
  <c r="Q15" i="14" s="1"/>
  <c r="K15" i="5"/>
  <c r="N15" i="9" s="1"/>
  <c r="L14" i="5"/>
  <c r="Q14" i="14" s="1"/>
  <c r="K14" i="5"/>
  <c r="N14" i="9" s="1"/>
  <c r="L13" i="5"/>
  <c r="Q13" i="14" s="1"/>
  <c r="K13" i="5"/>
  <c r="N13" i="9" s="1"/>
  <c r="L12" i="5"/>
  <c r="O12" i="9" s="1"/>
  <c r="K12" i="5"/>
  <c r="N12" i="9" s="1"/>
  <c r="L11" i="5"/>
  <c r="Q11" i="14" s="1"/>
  <c r="K11" i="5"/>
  <c r="N11" i="9" s="1"/>
  <c r="L10" i="5"/>
  <c r="Q10" i="14" s="1"/>
  <c r="K10" i="5"/>
  <c r="N10" i="9" s="1"/>
  <c r="L9" i="5"/>
  <c r="K9" i="5"/>
  <c r="N9" i="9" s="1"/>
  <c r="L8" i="5"/>
  <c r="Q8" i="14" s="1"/>
  <c r="K8" i="5"/>
  <c r="N8" i="9" s="1"/>
  <c r="L7" i="5"/>
  <c r="Q7" i="14" s="1"/>
  <c r="K7" i="5"/>
  <c r="N7" i="9" s="1"/>
  <c r="L6" i="5"/>
  <c r="Q6" i="14" s="1"/>
  <c r="K6" i="5"/>
  <c r="N6" i="9" s="1"/>
  <c r="L5" i="5"/>
  <c r="O5" i="9" s="1"/>
  <c r="K5" i="5"/>
  <c r="N5" i="9" s="1"/>
  <c r="L4" i="5"/>
  <c r="Q4" i="14" s="1"/>
  <c r="K4" i="5"/>
  <c r="C8" i="16"/>
  <c r="C12" i="16"/>
  <c r="C9" i="16"/>
  <c r="C11" i="16"/>
  <c r="C6" i="16"/>
  <c r="C10" i="16"/>
  <c r="C5" i="16"/>
  <c r="C7" i="16"/>
  <c r="C4" i="16"/>
  <c r="M11" i="11" l="1"/>
  <c r="O19" i="9"/>
  <c r="Q6" i="11"/>
  <c r="L12" i="12"/>
  <c r="P11" i="14"/>
  <c r="M8" i="11"/>
  <c r="L29" i="12"/>
  <c r="L35" i="9"/>
  <c r="M35" i="9" s="1"/>
  <c r="L20" i="9"/>
  <c r="E21" i="15" s="1"/>
  <c r="M21" i="11"/>
  <c r="L18" i="12"/>
  <c r="L36" i="12"/>
  <c r="P20" i="14"/>
  <c r="K38" i="14"/>
  <c r="Q15" i="11"/>
  <c r="O15" i="9"/>
  <c r="L36" i="9"/>
  <c r="M36" i="9" s="1"/>
  <c r="S39" i="11"/>
  <c r="P18" i="14"/>
  <c r="P23" i="14"/>
  <c r="K28" i="14"/>
  <c r="S22" i="11"/>
  <c r="S30" i="11"/>
  <c r="O37" i="11"/>
  <c r="Q40" i="11"/>
  <c r="M28" i="11"/>
  <c r="O35" i="11"/>
  <c r="L27" i="12"/>
  <c r="Q20" i="11"/>
  <c r="L24" i="12"/>
  <c r="Q24" i="11"/>
  <c r="L23" i="12"/>
  <c r="M6" i="11"/>
  <c r="S24" i="11"/>
  <c r="O26" i="9"/>
  <c r="Q26" i="9" s="1"/>
  <c r="O6" i="11"/>
  <c r="L37" i="9"/>
  <c r="F37" i="14" s="1"/>
  <c r="L41" i="9"/>
  <c r="F41" i="14" s="1"/>
  <c r="O8" i="11"/>
  <c r="M31" i="11"/>
  <c r="S35" i="11"/>
  <c r="S37" i="11"/>
  <c r="E43" i="12"/>
  <c r="M9" i="9"/>
  <c r="K29" i="11"/>
  <c r="M40" i="11"/>
  <c r="L14" i="12"/>
  <c r="L34" i="9"/>
  <c r="O29" i="11"/>
  <c r="O31" i="11"/>
  <c r="M38" i="11"/>
  <c r="L5" i="12"/>
  <c r="L19" i="12"/>
  <c r="L37" i="12"/>
  <c r="P10" i="14"/>
  <c r="D47" i="14" s="1"/>
  <c r="K14" i="14"/>
  <c r="K40" i="14"/>
  <c r="O22" i="9"/>
  <c r="Q22" i="9" s="1"/>
  <c r="M16" i="11"/>
  <c r="Q18" i="11"/>
  <c r="Q31" i="11"/>
  <c r="L7" i="9"/>
  <c r="P7" i="9" s="1"/>
  <c r="L14" i="9"/>
  <c r="P14" i="9" s="1"/>
  <c r="L40" i="9"/>
  <c r="K14" i="11"/>
  <c r="Q29" i="11"/>
  <c r="S40" i="11"/>
  <c r="L10" i="12"/>
  <c r="K36" i="14"/>
  <c r="L17" i="9"/>
  <c r="L21" i="9"/>
  <c r="S14" i="11"/>
  <c r="O19" i="11"/>
  <c r="K32" i="11"/>
  <c r="K8" i="14"/>
  <c r="P21" i="14"/>
  <c r="O33" i="9"/>
  <c r="M23" i="11"/>
  <c r="S38" i="11"/>
  <c r="O30" i="9"/>
  <c r="Q10" i="11"/>
  <c r="O14" i="11"/>
  <c r="K17" i="11"/>
  <c r="O23" i="11"/>
  <c r="Q25" i="11"/>
  <c r="Q38" i="11"/>
  <c r="L16" i="12"/>
  <c r="L33" i="12"/>
  <c r="P4" i="14"/>
  <c r="P14" i="14"/>
  <c r="K19" i="14"/>
  <c r="K21" i="14"/>
  <c r="P35" i="9"/>
  <c r="O18" i="11"/>
  <c r="L4" i="12"/>
  <c r="O10" i="9"/>
  <c r="O34" i="9"/>
  <c r="Q34" i="9" s="1"/>
  <c r="Q14" i="11"/>
  <c r="L11" i="9"/>
  <c r="F11" i="14" s="1"/>
  <c r="L18" i="9"/>
  <c r="F18" i="14" s="1"/>
  <c r="O24" i="9"/>
  <c r="Q24" i="9" s="1"/>
  <c r="M26" i="11"/>
  <c r="Q34" i="11"/>
  <c r="K4" i="14"/>
  <c r="P30" i="14"/>
  <c r="K34" i="14"/>
  <c r="O7" i="9"/>
  <c r="O14" i="9"/>
  <c r="Q5" i="11"/>
  <c r="S12" i="11"/>
  <c r="S23" i="11"/>
  <c r="K28" i="11"/>
  <c r="Q35" i="11"/>
  <c r="M37" i="11"/>
  <c r="L7" i="12"/>
  <c r="F42" i="12"/>
  <c r="M20" i="11"/>
  <c r="S4" i="11"/>
  <c r="O20" i="11"/>
  <c r="L6" i="9"/>
  <c r="F6" i="14" s="1"/>
  <c r="K38" i="11"/>
  <c r="Q36" i="11"/>
  <c r="P17" i="14"/>
  <c r="O21" i="9"/>
  <c r="L25" i="9"/>
  <c r="P25" i="9" s="1"/>
  <c r="L32" i="9"/>
  <c r="M32" i="9" s="1"/>
  <c r="L38" i="9"/>
  <c r="O10" i="11"/>
  <c r="S19" i="11"/>
  <c r="K37" i="11"/>
  <c r="P13" i="14"/>
  <c r="O35" i="9"/>
  <c r="Q35" i="9" s="1"/>
  <c r="K20" i="11"/>
  <c r="O4" i="9"/>
  <c r="Q4" i="9" s="1"/>
  <c r="L8" i="9"/>
  <c r="P8" i="9" s="1"/>
  <c r="K15" i="11"/>
  <c r="Q22" i="11"/>
  <c r="K11" i="14"/>
  <c r="P24" i="14"/>
  <c r="P34" i="14"/>
  <c r="L19" i="9"/>
  <c r="Q19" i="9" s="1"/>
  <c r="L29" i="9"/>
  <c r="F29" i="14" s="1"/>
  <c r="Q8" i="11"/>
  <c r="M13" i="11"/>
  <c r="O17" i="11"/>
  <c r="O26" i="11"/>
  <c r="O39" i="11"/>
  <c r="L13" i="12"/>
  <c r="D45" i="12"/>
  <c r="P7" i="14"/>
  <c r="K39" i="14"/>
  <c r="L5" i="9"/>
  <c r="P5" i="9" s="1"/>
  <c r="L12" i="9"/>
  <c r="L15" i="9"/>
  <c r="P15" i="9" s="1"/>
  <c r="Q4" i="11"/>
  <c r="O9" i="11"/>
  <c r="Q26" i="11"/>
  <c r="Q30" i="11"/>
  <c r="M35" i="11"/>
  <c r="Q39" i="11"/>
  <c r="K24" i="14"/>
  <c r="P37" i="14"/>
  <c r="E24" i="15"/>
  <c r="P20" i="9"/>
  <c r="M39" i="9"/>
  <c r="F39" i="14"/>
  <c r="P39" i="9"/>
  <c r="M34" i="9"/>
  <c r="F34" i="14"/>
  <c r="P34" i="9"/>
  <c r="F24" i="14"/>
  <c r="P24" i="9"/>
  <c r="M24" i="9"/>
  <c r="P27" i="9"/>
  <c r="F27" i="14"/>
  <c r="M27" i="9"/>
  <c r="L32" i="12"/>
  <c r="M40" i="9"/>
  <c r="F40" i="14"/>
  <c r="P40" i="9"/>
  <c r="L28" i="12"/>
  <c r="E46" i="12"/>
  <c r="B46" i="12"/>
  <c r="M21" i="9"/>
  <c r="F23" i="14"/>
  <c r="P23" i="9"/>
  <c r="M23" i="9"/>
  <c r="F17" i="14"/>
  <c r="P17" i="9"/>
  <c r="M17" i="9"/>
  <c r="Q41" i="9"/>
  <c r="P41" i="9"/>
  <c r="E42" i="12"/>
  <c r="G46" i="12"/>
  <c r="F32" i="14"/>
  <c r="P32" i="9"/>
  <c r="Q32" i="9"/>
  <c r="E41" i="15"/>
  <c r="M38" i="9"/>
  <c r="P38" i="9"/>
  <c r="F38" i="14"/>
  <c r="F12" i="14"/>
  <c r="P12" i="9"/>
  <c r="Q12" i="9"/>
  <c r="M12" i="9"/>
  <c r="F15" i="14"/>
  <c r="Q15" i="9"/>
  <c r="C9" i="19"/>
  <c r="D9" i="19" s="1"/>
  <c r="Q16" i="11"/>
  <c r="Q19" i="11"/>
  <c r="T25" i="11"/>
  <c r="M27" i="11"/>
  <c r="Q33" i="11"/>
  <c r="P6" i="14"/>
  <c r="K6" i="14"/>
  <c r="Q31" i="14"/>
  <c r="M4" i="11"/>
  <c r="U5" i="11"/>
  <c r="O7" i="11"/>
  <c r="T16" i="11"/>
  <c r="K18" i="11"/>
  <c r="K21" i="11"/>
  <c r="R21" i="11"/>
  <c r="S21" i="11" s="1"/>
  <c r="M24" i="11"/>
  <c r="O27" i="11"/>
  <c r="U32" i="11"/>
  <c r="R33" i="11"/>
  <c r="S33" i="11" s="1"/>
  <c r="K35" i="11"/>
  <c r="O41" i="11"/>
  <c r="B42" i="12"/>
  <c r="K12" i="14"/>
  <c r="P26" i="14"/>
  <c r="K26" i="14"/>
  <c r="F28" i="14"/>
  <c r="L30" i="9"/>
  <c r="Q13" i="11"/>
  <c r="T19" i="11"/>
  <c r="U33" i="11"/>
  <c r="O38" i="11"/>
  <c r="Q41" i="11"/>
  <c r="F26" i="14"/>
  <c r="K32" i="14"/>
  <c r="U6" i="11"/>
  <c r="K22" i="11"/>
  <c r="U39" i="11"/>
  <c r="O4" i="11"/>
  <c r="Q7" i="11"/>
  <c r="R10" i="11"/>
  <c r="S10" i="11" s="1"/>
  <c r="K12" i="11"/>
  <c r="U19" i="11"/>
  <c r="O24" i="11"/>
  <c r="Q27" i="11"/>
  <c r="T41" i="11"/>
  <c r="L10" i="9"/>
  <c r="O27" i="9"/>
  <c r="Q27" i="9" s="1"/>
  <c r="R7" i="11"/>
  <c r="S7" i="11" s="1"/>
  <c r="K9" i="11"/>
  <c r="U13" i="11"/>
  <c r="M15" i="11"/>
  <c r="O21" i="11"/>
  <c r="R27" i="11"/>
  <c r="S27" i="11" s="1"/>
  <c r="R29" i="11"/>
  <c r="S29" i="11" s="1"/>
  <c r="T30" i="11"/>
  <c r="M32" i="11"/>
  <c r="L21" i="12"/>
  <c r="O38" i="9"/>
  <c r="Q38" i="9" s="1"/>
  <c r="Q38" i="14"/>
  <c r="M7" i="11"/>
  <c r="M18" i="11"/>
  <c r="Q16" i="14"/>
  <c r="O16" i="9"/>
  <c r="Q36" i="14"/>
  <c r="O36" i="9"/>
  <c r="O25" i="9"/>
  <c r="Q25" i="9" s="1"/>
  <c r="R9" i="11"/>
  <c r="S9" i="11" s="1"/>
  <c r="T10" i="11"/>
  <c r="M12" i="11"/>
  <c r="O15" i="11"/>
  <c r="Q21" i="11"/>
  <c r="T23" i="11"/>
  <c r="O32" i="11"/>
  <c r="U37" i="11"/>
  <c r="K40" i="11"/>
  <c r="M19" i="11"/>
  <c r="O13" i="11"/>
  <c r="R13" i="11"/>
  <c r="S13" i="11" s="1"/>
  <c r="K6" i="11"/>
  <c r="R6" i="11"/>
  <c r="S6" i="11" s="1"/>
  <c r="M9" i="11"/>
  <c r="O12" i="11"/>
  <c r="K23" i="11"/>
  <c r="K26" i="11"/>
  <c r="R26" i="11"/>
  <c r="S26" i="11" s="1"/>
  <c r="O28" i="9"/>
  <c r="Q28" i="9" s="1"/>
  <c r="M26" i="9"/>
  <c r="P28" i="9"/>
  <c r="Q17" i="14"/>
  <c r="O17" i="9"/>
  <c r="Q37" i="14"/>
  <c r="O37" i="9"/>
  <c r="Q37" i="9" s="1"/>
  <c r="O41" i="9"/>
  <c r="T4" i="11"/>
  <c r="U17" i="11"/>
  <c r="U21" i="11"/>
  <c r="T24" i="11"/>
  <c r="K34" i="11"/>
  <c r="T37" i="11"/>
  <c r="O40" i="11"/>
  <c r="B43" i="12"/>
  <c r="L34" i="12"/>
  <c r="C11" i="19"/>
  <c r="D11" i="19" s="1"/>
  <c r="Q5" i="14"/>
  <c r="C10" i="19"/>
  <c r="D10" i="19" s="1"/>
  <c r="Q5" i="9"/>
  <c r="L33" i="9"/>
  <c r="O39" i="9"/>
  <c r="Q39" i="9" s="1"/>
  <c r="U4" i="11"/>
  <c r="R15" i="11"/>
  <c r="S15" i="11" s="1"/>
  <c r="R18" i="11"/>
  <c r="S18" i="11" s="1"/>
  <c r="U24" i="11"/>
  <c r="R32" i="11"/>
  <c r="S32" i="11" s="1"/>
  <c r="R34" i="11"/>
  <c r="S34" i="11" s="1"/>
  <c r="T35" i="11"/>
  <c r="F43" i="12"/>
  <c r="C43" i="12"/>
  <c r="L35" i="12"/>
  <c r="E45" i="12"/>
  <c r="G43" i="12"/>
  <c r="H43" i="12" s="1"/>
  <c r="D43" i="12"/>
  <c r="L15" i="12"/>
  <c r="E44" i="12"/>
  <c r="B44" i="12"/>
  <c r="D46" i="12"/>
  <c r="P16" i="14"/>
  <c r="K31" i="11"/>
  <c r="R31" i="11"/>
  <c r="S31" i="11" s="1"/>
  <c r="L26" i="12"/>
  <c r="Q12" i="14"/>
  <c r="Q9" i="14"/>
  <c r="O9" i="9"/>
  <c r="Q9" i="9" s="1"/>
  <c r="Q29" i="14"/>
  <c r="O29" i="9"/>
  <c r="M28" i="9"/>
  <c r="L31" i="9"/>
  <c r="F35" i="14"/>
  <c r="T6" i="11"/>
  <c r="K8" i="11"/>
  <c r="K11" i="11"/>
  <c r="R11" i="11"/>
  <c r="S11" i="11" s="1"/>
  <c r="M14" i="11"/>
  <c r="T26" i="11"/>
  <c r="O34" i="11"/>
  <c r="L6" i="12"/>
  <c r="P5" i="14"/>
  <c r="D46" i="14" s="1"/>
  <c r="K5" i="14"/>
  <c r="K15" i="14"/>
  <c r="P15" i="14"/>
  <c r="K29" i="14"/>
  <c r="Q32" i="14"/>
  <c r="K41" i="14"/>
  <c r="F44" i="12"/>
  <c r="C44" i="12"/>
  <c r="P25" i="14"/>
  <c r="K25" i="14"/>
  <c r="P33" i="14"/>
  <c r="K35" i="14"/>
  <c r="P35" i="14"/>
  <c r="F22" i="14"/>
  <c r="M22" i="9"/>
  <c r="K5" i="11"/>
  <c r="K25" i="11"/>
  <c r="M39" i="11"/>
  <c r="G47" i="11" s="1"/>
  <c r="G44" i="12"/>
  <c r="H44" i="12" s="1"/>
  <c r="D44" i="12"/>
  <c r="L31" i="12"/>
  <c r="O8" i="9"/>
  <c r="M5" i="11"/>
  <c r="O11" i="11"/>
  <c r="R17" i="11"/>
  <c r="S17" i="11" s="1"/>
  <c r="K19" i="11"/>
  <c r="M25" i="11"/>
  <c r="K33" i="11"/>
  <c r="K36" i="11"/>
  <c r="R36" i="11"/>
  <c r="S36" i="11" s="1"/>
  <c r="L11" i="12"/>
  <c r="F4" i="14"/>
  <c r="M13" i="9"/>
  <c r="P29" i="9"/>
  <c r="O5" i="11"/>
  <c r="Q11" i="11"/>
  <c r="T20" i="11"/>
  <c r="M22" i="11"/>
  <c r="O25" i="11"/>
  <c r="T31" i="11"/>
  <c r="T34" i="11"/>
  <c r="O18" i="9"/>
  <c r="Q18" i="14"/>
  <c r="F36" i="14"/>
  <c r="K16" i="11"/>
  <c r="R16" i="11"/>
  <c r="S16" i="11" s="1"/>
  <c r="O22" i="11"/>
  <c r="U31" i="11"/>
  <c r="M33" i="11"/>
  <c r="F45" i="12"/>
  <c r="C45" i="12"/>
  <c r="N4" i="9"/>
  <c r="O6" i="9"/>
  <c r="P9" i="9"/>
  <c r="O13" i="9"/>
  <c r="Q13" i="9" s="1"/>
  <c r="P22" i="9"/>
  <c r="U7" i="11"/>
  <c r="U11" i="11"/>
  <c r="T14" i="11"/>
  <c r="U27" i="11"/>
  <c r="R28" i="11"/>
  <c r="S28" i="11" s="1"/>
  <c r="K30" i="11"/>
  <c r="O36" i="11"/>
  <c r="T38" i="11"/>
  <c r="K23" i="14"/>
  <c r="U20" i="11"/>
  <c r="O11" i="9"/>
  <c r="P13" i="9"/>
  <c r="L16" i="9"/>
  <c r="R5" i="11"/>
  <c r="S5" i="11" s="1"/>
  <c r="R8" i="11"/>
  <c r="S8" i="11" s="1"/>
  <c r="K10" i="11"/>
  <c r="U14" i="11"/>
  <c r="R25" i="11"/>
  <c r="S25" i="11" s="1"/>
  <c r="U28" i="11"/>
  <c r="M30" i="11"/>
  <c r="K41" i="11"/>
  <c r="R41" i="11"/>
  <c r="S41" i="11" s="1"/>
  <c r="C42" i="12"/>
  <c r="B45" i="12"/>
  <c r="R20" i="11"/>
  <c r="S20" i="11" s="1"/>
  <c r="O23" i="9"/>
  <c r="Q23" i="9" s="1"/>
  <c r="Q23" i="14"/>
  <c r="K4" i="11"/>
  <c r="U8" i="11"/>
  <c r="M10" i="11"/>
  <c r="O16" i="11"/>
  <c r="K24" i="11"/>
  <c r="O30" i="11"/>
  <c r="T36" i="11"/>
  <c r="T39" i="11"/>
  <c r="G42" i="12"/>
  <c r="D42" i="12"/>
  <c r="L17" i="12"/>
  <c r="G45" i="12"/>
  <c r="F46" i="12"/>
  <c r="K18" i="14"/>
  <c r="O20" i="9"/>
  <c r="Q20" i="9" s="1"/>
  <c r="O40" i="9"/>
  <c r="Q40" i="9" s="1"/>
  <c r="C46" i="12"/>
  <c r="P41" i="14"/>
  <c r="D51" i="14" s="1"/>
  <c r="K17" i="14"/>
  <c r="K37" i="14"/>
  <c r="K10" i="14"/>
  <c r="K30" i="14"/>
  <c r="K7" i="14"/>
  <c r="K27" i="14"/>
  <c r="E40" i="15" l="1"/>
  <c r="E38" i="15"/>
  <c r="Q21" i="9"/>
  <c r="E22" i="15"/>
  <c r="E29" i="15"/>
  <c r="E27" i="15"/>
  <c r="F49" i="11"/>
  <c r="Q36" i="9"/>
  <c r="F20" i="14"/>
  <c r="C50" i="14"/>
  <c r="E50" i="14" s="1"/>
  <c r="M8" i="9"/>
  <c r="M20" i="9"/>
  <c r="E39" i="15"/>
  <c r="C47" i="14"/>
  <c r="E47" i="14" s="1"/>
  <c r="Q11" i="9"/>
  <c r="M37" i="9"/>
  <c r="F48" i="11"/>
  <c r="C47" i="11"/>
  <c r="P36" i="9"/>
  <c r="E49" i="11"/>
  <c r="F25" i="14"/>
  <c r="P37" i="9"/>
  <c r="M15" i="9"/>
  <c r="M41" i="9"/>
  <c r="G46" i="11"/>
  <c r="E46" i="11"/>
  <c r="M11" i="9"/>
  <c r="C46" i="14"/>
  <c r="D49" i="11"/>
  <c r="P11" i="9"/>
  <c r="F14" i="14"/>
  <c r="E48" i="11"/>
  <c r="E10" i="15"/>
  <c r="P19" i="9"/>
  <c r="G49" i="11"/>
  <c r="F19" i="14"/>
  <c r="P6" i="9"/>
  <c r="B4" i="10" s="1"/>
  <c r="Q14" i="9"/>
  <c r="D46" i="11"/>
  <c r="E6" i="15"/>
  <c r="D50" i="14"/>
  <c r="G48" i="11"/>
  <c r="E16" i="15"/>
  <c r="M19" i="9"/>
  <c r="M7" i="9"/>
  <c r="F8" i="14"/>
  <c r="Q7" i="9"/>
  <c r="F46" i="11"/>
  <c r="F7" i="14"/>
  <c r="E7" i="15"/>
  <c r="M14" i="9"/>
  <c r="C49" i="14"/>
  <c r="E49" i="14" s="1"/>
  <c r="M5" i="9"/>
  <c r="F50" i="12"/>
  <c r="Q18" i="9"/>
  <c r="F21" i="14"/>
  <c r="E25" i="15"/>
  <c r="Q29" i="9"/>
  <c r="M18" i="9"/>
  <c r="E20" i="15"/>
  <c r="E23" i="15"/>
  <c r="C48" i="11"/>
  <c r="C51" i="14"/>
  <c r="E51" i="14" s="1"/>
  <c r="P21" i="9"/>
  <c r="E9" i="15"/>
  <c r="E5" i="15"/>
  <c r="M6" i="9"/>
  <c r="E8" i="15"/>
  <c r="E4" i="15"/>
  <c r="F5" i="14"/>
  <c r="P18" i="9"/>
  <c r="F47" i="11"/>
  <c r="E47" i="11"/>
  <c r="M29" i="9"/>
  <c r="Q6" i="9"/>
  <c r="C4" i="10" s="1"/>
  <c r="C49" i="11"/>
  <c r="Q8" i="9"/>
  <c r="M25" i="9"/>
  <c r="E26" i="15"/>
  <c r="E33" i="15"/>
  <c r="H45" i="12"/>
  <c r="D49" i="14"/>
  <c r="Q17" i="9"/>
  <c r="I49" i="11"/>
  <c r="P4" i="9"/>
  <c r="E46" i="14"/>
  <c r="C9" i="10"/>
  <c r="Q16" i="9"/>
  <c r="E15" i="15"/>
  <c r="F16" i="14"/>
  <c r="M16" i="9"/>
  <c r="P16" i="9"/>
  <c r="E35" i="15"/>
  <c r="C7" i="10"/>
  <c r="E11" i="15"/>
  <c r="E13" i="15"/>
  <c r="Q10" i="9"/>
  <c r="C5" i="10" s="1"/>
  <c r="F10" i="14"/>
  <c r="E12" i="15"/>
  <c r="E14" i="15"/>
  <c r="P10" i="9"/>
  <c r="M10" i="9"/>
  <c r="B9" i="10"/>
  <c r="B7" i="10"/>
  <c r="D48" i="14"/>
  <c r="B57" i="14" s="1"/>
  <c r="E31" i="15"/>
  <c r="C8" i="19"/>
  <c r="C48" i="14"/>
  <c r="E48" i="14" s="1"/>
  <c r="Q30" i="9"/>
  <c r="F30" i="14"/>
  <c r="M30" i="9"/>
  <c r="P30" i="9"/>
  <c r="B49" i="11"/>
  <c r="E36" i="15"/>
  <c r="D8" i="19"/>
  <c r="E30" i="15"/>
  <c r="B21" i="10"/>
  <c r="I46" i="11"/>
  <c r="B46" i="11"/>
  <c r="B20" i="10"/>
  <c r="B47" i="11"/>
  <c r="I47" i="11"/>
  <c r="C50" i="12"/>
  <c r="E19" i="15"/>
  <c r="B8" i="10"/>
  <c r="B48" i="11"/>
  <c r="I48" i="11"/>
  <c r="H46" i="12"/>
  <c r="F33" i="14"/>
  <c r="M33" i="9"/>
  <c r="Q33" i="9"/>
  <c r="P33" i="9"/>
  <c r="D50" i="12"/>
  <c r="E34" i="15"/>
  <c r="B50" i="12"/>
  <c r="E18" i="15"/>
  <c r="E50" i="12"/>
  <c r="E32" i="15"/>
  <c r="E37" i="15"/>
  <c r="C46" i="11"/>
  <c r="E28" i="15"/>
  <c r="F31" i="14"/>
  <c r="M31" i="9"/>
  <c r="Q31" i="9"/>
  <c r="P31" i="9"/>
  <c r="D48" i="11"/>
  <c r="E17" i="15"/>
  <c r="H42" i="12"/>
  <c r="G50" i="12"/>
  <c r="D47" i="11"/>
  <c r="C6" i="10" l="1"/>
  <c r="C15" i="17" s="1"/>
  <c r="B5" i="10"/>
  <c r="J16" i="15" s="1"/>
  <c r="B4" i="13"/>
  <c r="E4" i="13" s="1"/>
  <c r="B13" i="17"/>
  <c r="D13" i="17" s="1"/>
  <c r="D4" i="10"/>
  <c r="B15" i="18"/>
  <c r="E56" i="14"/>
  <c r="C58" i="11"/>
  <c r="B6" i="10"/>
  <c r="E47" i="15" s="1"/>
  <c r="F56" i="14"/>
  <c r="H49" i="11"/>
  <c r="G7" i="18" s="1"/>
  <c r="H7" i="18" s="1"/>
  <c r="C8" i="10"/>
  <c r="B47" i="15" s="1"/>
  <c r="B17" i="18"/>
  <c r="B6" i="13"/>
  <c r="E6" i="13" s="1"/>
  <c r="D6" i="10"/>
  <c r="J12" i="15"/>
  <c r="C19" i="18"/>
  <c r="D19" i="18" s="1"/>
  <c r="C17" i="17"/>
  <c r="C8" i="13"/>
  <c r="B10" i="18"/>
  <c r="C10" i="18" s="1"/>
  <c r="C57" i="14"/>
  <c r="E7" i="17"/>
  <c r="E6" i="10"/>
  <c r="C6" i="13"/>
  <c r="B5" i="13"/>
  <c r="E5" i="13" s="1"/>
  <c r="B14" i="17"/>
  <c r="D14" i="17" s="1"/>
  <c r="B16" i="18"/>
  <c r="D5" i="10"/>
  <c r="F21" i="15"/>
  <c r="F30" i="15"/>
  <c r="B8" i="18"/>
  <c r="C8" i="18" s="1"/>
  <c r="E6" i="17"/>
  <c r="F14" i="15"/>
  <c r="B9" i="18"/>
  <c r="C9" i="18" s="1"/>
  <c r="F6" i="17"/>
  <c r="H50" i="12"/>
  <c r="D8" i="10"/>
  <c r="B19" i="18"/>
  <c r="B8" i="13"/>
  <c r="E8" i="13" s="1"/>
  <c r="B17" i="17"/>
  <c r="D17" i="17" s="1"/>
  <c r="F36" i="15"/>
  <c r="C20" i="18"/>
  <c r="D20" i="18" s="1"/>
  <c r="C18" i="17"/>
  <c r="B51" i="14"/>
  <c r="C9" i="13"/>
  <c r="F9" i="10"/>
  <c r="E9" i="10"/>
  <c r="J49" i="11"/>
  <c r="B56" i="14"/>
  <c r="C14" i="17"/>
  <c r="B47" i="14"/>
  <c r="C16" i="18"/>
  <c r="D16" i="18" s="1"/>
  <c r="C5" i="13"/>
  <c r="E5" i="10"/>
  <c r="H47" i="11"/>
  <c r="J18" i="15"/>
  <c r="J23" i="15"/>
  <c r="F4" i="10"/>
  <c r="B19" i="10"/>
  <c r="B51" i="15"/>
  <c r="C13" i="17"/>
  <c r="B50" i="15"/>
  <c r="C15" i="18"/>
  <c r="D15" i="18" s="1"/>
  <c r="B46" i="14"/>
  <c r="C4" i="13"/>
  <c r="E4" i="10"/>
  <c r="F34" i="15"/>
  <c r="B49" i="14"/>
  <c r="F7" i="10"/>
  <c r="E7" i="10"/>
  <c r="C7" i="13"/>
  <c r="C16" i="17"/>
  <c r="C18" i="18"/>
  <c r="D18" i="18" s="1"/>
  <c r="E48" i="15"/>
  <c r="F28" i="15"/>
  <c r="J21" i="15"/>
  <c r="F29" i="15"/>
  <c r="J33" i="15"/>
  <c r="F26" i="15"/>
  <c r="F37" i="15"/>
  <c r="B18" i="18"/>
  <c r="B7" i="13"/>
  <c r="E7" i="13" s="1"/>
  <c r="B16" i="17"/>
  <c r="D16" i="17" s="1"/>
  <c r="D7" i="10"/>
  <c r="E57" i="14"/>
  <c r="F33" i="15"/>
  <c r="J28" i="15"/>
  <c r="C53" i="11"/>
  <c r="C55" i="11"/>
  <c r="C54" i="11"/>
  <c r="B9" i="13"/>
  <c r="E9" i="13" s="1"/>
  <c r="B20" i="18"/>
  <c r="B18" i="17"/>
  <c r="D18" i="17" s="1"/>
  <c r="D9" i="10"/>
  <c r="F57" i="14"/>
  <c r="F31" i="15"/>
  <c r="J29" i="15"/>
  <c r="J19" i="15"/>
  <c r="H46" i="11"/>
  <c r="H48" i="11"/>
  <c r="F32" i="15"/>
  <c r="F7" i="15" l="1"/>
  <c r="F13" i="15"/>
  <c r="E49" i="15"/>
  <c r="F5" i="15"/>
  <c r="F10" i="15"/>
  <c r="J40" i="15"/>
  <c r="J17" i="15"/>
  <c r="J15" i="15"/>
  <c r="J36" i="15"/>
  <c r="F39" i="15"/>
  <c r="H39" i="15" s="1"/>
  <c r="F23" i="15"/>
  <c r="F19" i="15"/>
  <c r="C17" i="18"/>
  <c r="D17" i="18" s="1"/>
  <c r="F8" i="15"/>
  <c r="H8" i="15" s="1"/>
  <c r="B46" i="15"/>
  <c r="D46" i="15" s="1"/>
  <c r="F5" i="10"/>
  <c r="B18" i="10"/>
  <c r="B48" i="14"/>
  <c r="F40" i="15"/>
  <c r="H40" i="15" s="1"/>
  <c r="F6" i="10"/>
  <c r="F41" i="15"/>
  <c r="F35" i="15"/>
  <c r="C13" i="10"/>
  <c r="F15" i="15"/>
  <c r="B49" i="15"/>
  <c r="J38" i="15"/>
  <c r="B15" i="17"/>
  <c r="D15" i="17" s="1"/>
  <c r="J41" i="15"/>
  <c r="F9" i="15"/>
  <c r="H9" i="15" s="1"/>
  <c r="F17" i="15"/>
  <c r="J6" i="15"/>
  <c r="F16" i="15"/>
  <c r="J9" i="15"/>
  <c r="J7" i="15"/>
  <c r="J37" i="15"/>
  <c r="J8" i="15"/>
  <c r="K8" i="15" s="1"/>
  <c r="E46" i="15"/>
  <c r="F46" i="15" s="1"/>
  <c r="B58" i="11"/>
  <c r="J4" i="15"/>
  <c r="K4" i="15" s="1"/>
  <c r="J35" i="15"/>
  <c r="B48" i="15"/>
  <c r="F18" i="15"/>
  <c r="F11" i="15"/>
  <c r="H11" i="15" s="1"/>
  <c r="J5" i="15"/>
  <c r="E8" i="10"/>
  <c r="J27" i="15"/>
  <c r="B13" i="10"/>
  <c r="I4" i="15" s="1"/>
  <c r="J26" i="15"/>
  <c r="J39" i="15"/>
  <c r="J22" i="15"/>
  <c r="J30" i="15"/>
  <c r="J34" i="15"/>
  <c r="F8" i="10"/>
  <c r="F6" i="15"/>
  <c r="H6" i="15" s="1"/>
  <c r="F38" i="15"/>
  <c r="H38" i="15" s="1"/>
  <c r="E50" i="15"/>
  <c r="F50" i="15" s="1"/>
  <c r="F22" i="15"/>
  <c r="B50" i="14"/>
  <c r="F55" i="14" s="1"/>
  <c r="F27" i="15"/>
  <c r="H27" i="15" s="1"/>
  <c r="J31" i="15"/>
  <c r="J24" i="15"/>
  <c r="F4" i="15"/>
  <c r="J13" i="15"/>
  <c r="J10" i="15"/>
  <c r="E51" i="15"/>
  <c r="F51" i="15" s="1"/>
  <c r="J20" i="15"/>
  <c r="J25" i="15"/>
  <c r="J11" i="15"/>
  <c r="J32" i="15"/>
  <c r="K32" i="15" s="1"/>
  <c r="F24" i="15"/>
  <c r="H24" i="15" s="1"/>
  <c r="F20" i="15"/>
  <c r="H20" i="15" s="1"/>
  <c r="J14" i="15"/>
  <c r="K14" i="15" s="1"/>
  <c r="F12" i="15"/>
  <c r="H12" i="15" s="1"/>
  <c r="F25" i="15"/>
  <c r="H25" i="15" s="1"/>
  <c r="F47" i="15"/>
  <c r="F49" i="15"/>
  <c r="H23" i="15"/>
  <c r="G6" i="17"/>
  <c r="D6" i="17"/>
  <c r="H16" i="15"/>
  <c r="H31" i="15"/>
  <c r="F7" i="17"/>
  <c r="G7" i="17" s="1"/>
  <c r="C56" i="14"/>
  <c r="B11" i="18"/>
  <c r="C11" i="18" s="1"/>
  <c r="H35" i="15"/>
  <c r="I38" i="15"/>
  <c r="K38" i="15" s="1"/>
  <c r="I33" i="15"/>
  <c r="K33" i="15" s="1"/>
  <c r="I28" i="15"/>
  <c r="K28" i="15" s="1"/>
  <c r="I23" i="15"/>
  <c r="K23" i="15" s="1"/>
  <c r="I18" i="15"/>
  <c r="K18" i="15" s="1"/>
  <c r="I13" i="15"/>
  <c r="I8" i="15"/>
  <c r="I40" i="15"/>
  <c r="K40" i="15" s="1"/>
  <c r="I35" i="15"/>
  <c r="I30" i="15"/>
  <c r="I25" i="15"/>
  <c r="K25" i="15" s="1"/>
  <c r="I20" i="15"/>
  <c r="K20" i="15" s="1"/>
  <c r="I15" i="15"/>
  <c r="K15" i="15" s="1"/>
  <c r="I10" i="15"/>
  <c r="I32" i="15"/>
  <c r="I27" i="15"/>
  <c r="K27" i="15" s="1"/>
  <c r="I17" i="15"/>
  <c r="K17" i="15" s="1"/>
  <c r="I12" i="15"/>
  <c r="K12" i="15" s="1"/>
  <c r="I7" i="15"/>
  <c r="I39" i="15"/>
  <c r="K39" i="15" s="1"/>
  <c r="I34" i="15"/>
  <c r="I29" i="15"/>
  <c r="K29" i="15" s="1"/>
  <c r="I24" i="15"/>
  <c r="I19" i="15"/>
  <c r="K19" i="15" s="1"/>
  <c r="I14" i="15"/>
  <c r="I9" i="15"/>
  <c r="C4" i="17"/>
  <c r="B13" i="13"/>
  <c r="E13" i="13" s="1"/>
  <c r="I41" i="15"/>
  <c r="K41" i="15" s="1"/>
  <c r="I36" i="15"/>
  <c r="K36" i="15" s="1"/>
  <c r="I31" i="15"/>
  <c r="I16" i="15"/>
  <c r="K16" i="15" s="1"/>
  <c r="I11" i="15"/>
  <c r="B5" i="18"/>
  <c r="C5" i="18" s="1"/>
  <c r="C56" i="11"/>
  <c r="D13" i="10"/>
  <c r="H15" i="15"/>
  <c r="F8" i="13"/>
  <c r="D8" i="13"/>
  <c r="E17" i="17"/>
  <c r="F17" i="17"/>
  <c r="F9" i="13"/>
  <c r="D9" i="13"/>
  <c r="H22" i="15"/>
  <c r="H4" i="15"/>
  <c r="H37" i="15"/>
  <c r="G5" i="18"/>
  <c r="H5" i="18" s="1"/>
  <c r="J47" i="11"/>
  <c r="F18" i="17"/>
  <c r="E18" i="17"/>
  <c r="H14" i="15"/>
  <c r="H10" i="15"/>
  <c r="B4" i="18"/>
  <c r="C4" i="18" s="1"/>
  <c r="D41" i="15"/>
  <c r="G41" i="15" s="1"/>
  <c r="D36" i="15"/>
  <c r="G36" i="15" s="1"/>
  <c r="D31" i="15"/>
  <c r="G31" i="15" s="1"/>
  <c r="D26" i="15"/>
  <c r="G26" i="15" s="1"/>
  <c r="D21" i="15"/>
  <c r="G21" i="15" s="1"/>
  <c r="D16" i="15"/>
  <c r="D11" i="15"/>
  <c r="D6" i="15"/>
  <c r="D38" i="15"/>
  <c r="G38" i="15" s="1"/>
  <c r="D33" i="15"/>
  <c r="G33" i="15" s="1"/>
  <c r="D28" i="15"/>
  <c r="G28" i="15" s="1"/>
  <c r="D23" i="15"/>
  <c r="G23" i="15" s="1"/>
  <c r="D18" i="15"/>
  <c r="D13" i="15"/>
  <c r="G13" i="15" s="1"/>
  <c r="D8" i="15"/>
  <c r="D40" i="15"/>
  <c r="D35" i="15"/>
  <c r="G35" i="15" s="1"/>
  <c r="D30" i="15"/>
  <c r="G30" i="15" s="1"/>
  <c r="D25" i="15"/>
  <c r="D20" i="15"/>
  <c r="D15" i="15"/>
  <c r="G15" i="15" s="1"/>
  <c r="D10" i="15"/>
  <c r="G10" i="15" s="1"/>
  <c r="D5" i="15"/>
  <c r="G5" i="15" s="1"/>
  <c r="E13" i="10"/>
  <c r="B17" i="10" s="1"/>
  <c r="D37" i="15"/>
  <c r="G37" i="15" s="1"/>
  <c r="D32" i="15"/>
  <c r="G32" i="15" s="1"/>
  <c r="D27" i="15"/>
  <c r="D22" i="15"/>
  <c r="D17" i="15"/>
  <c r="G17" i="15" s="1"/>
  <c r="D12" i="15"/>
  <c r="G12" i="15" s="1"/>
  <c r="D7" i="15"/>
  <c r="G7" i="15" s="1"/>
  <c r="B4" i="17"/>
  <c r="D39" i="15"/>
  <c r="D34" i="15"/>
  <c r="G34" i="15" s="1"/>
  <c r="D29" i="15"/>
  <c r="G29" i="15" s="1"/>
  <c r="D24" i="15"/>
  <c r="D19" i="15"/>
  <c r="D14" i="15"/>
  <c r="G14" i="15" s="1"/>
  <c r="D9" i="15"/>
  <c r="D4" i="15"/>
  <c r="B56" i="11"/>
  <c r="D56" i="11" s="1"/>
  <c r="F13" i="10"/>
  <c r="C13" i="13"/>
  <c r="H26" i="15"/>
  <c r="F4" i="13"/>
  <c r="D4" i="13"/>
  <c r="D49" i="15"/>
  <c r="C49" i="15"/>
  <c r="H13" i="15"/>
  <c r="H36" i="15"/>
  <c r="H34" i="15"/>
  <c r="F6" i="13"/>
  <c r="D6" i="13"/>
  <c r="H30" i="15"/>
  <c r="E13" i="17"/>
  <c r="F13" i="17"/>
  <c r="H21" i="15"/>
  <c r="H7" i="15"/>
  <c r="H41" i="15"/>
  <c r="D47" i="15"/>
  <c r="C47" i="15"/>
  <c r="C46" i="15"/>
  <c r="F15" i="17"/>
  <c r="E15" i="17"/>
  <c r="H32" i="15"/>
  <c r="F48" i="15"/>
  <c r="F5" i="13"/>
  <c r="D5" i="13"/>
  <c r="G6" i="18"/>
  <c r="H6" i="18" s="1"/>
  <c r="J48" i="11"/>
  <c r="D51" i="15"/>
  <c r="C51" i="15"/>
  <c r="C57" i="11"/>
  <c r="H28" i="15"/>
  <c r="H33" i="15"/>
  <c r="F7" i="13"/>
  <c r="D7" i="13"/>
  <c r="F14" i="17"/>
  <c r="E14" i="17"/>
  <c r="H19" i="15"/>
  <c r="H29" i="15"/>
  <c r="B55" i="14"/>
  <c r="D56" i="14" s="1"/>
  <c r="H5" i="15"/>
  <c r="D50" i="15"/>
  <c r="C50" i="15"/>
  <c r="G4" i="18"/>
  <c r="H4" i="18" s="1"/>
  <c r="B53" i="11"/>
  <c r="J46" i="11"/>
  <c r="B55" i="11"/>
  <c r="B54" i="11"/>
  <c r="F16" i="17"/>
  <c r="E16" i="17"/>
  <c r="H17" i="15"/>
  <c r="H18" i="15"/>
  <c r="K34" i="15" l="1"/>
  <c r="G9" i="15"/>
  <c r="G19" i="15"/>
  <c r="I6" i="15"/>
  <c r="K6" i="15" s="1"/>
  <c r="I22" i="15"/>
  <c r="K22" i="15" s="1"/>
  <c r="G24" i="15"/>
  <c r="G40" i="15"/>
  <c r="G22" i="15"/>
  <c r="G8" i="15"/>
  <c r="I21" i="15"/>
  <c r="K21" i="15" s="1"/>
  <c r="I37" i="15"/>
  <c r="K37" i="15" s="1"/>
  <c r="K13" i="15"/>
  <c r="I26" i="15"/>
  <c r="K26" i="15" s="1"/>
  <c r="I5" i="15"/>
  <c r="K5" i="15" s="1"/>
  <c r="G27" i="15"/>
  <c r="G39" i="15"/>
  <c r="K31" i="15"/>
  <c r="K24" i="15"/>
  <c r="E9" i="17"/>
  <c r="D9" i="17" s="1"/>
  <c r="G6" i="15"/>
  <c r="K10" i="15"/>
  <c r="G11" i="15"/>
  <c r="K35" i="15"/>
  <c r="F8" i="17"/>
  <c r="E8" i="17"/>
  <c r="D8" i="17" s="1"/>
  <c r="G16" i="15"/>
  <c r="K30" i="15"/>
  <c r="K9" i="15"/>
  <c r="E55" i="14"/>
  <c r="G4" i="15"/>
  <c r="G20" i="15"/>
  <c r="K7" i="15"/>
  <c r="C48" i="15"/>
  <c r="D48" i="15"/>
  <c r="K11" i="15"/>
  <c r="F9" i="17"/>
  <c r="G9" i="17" s="1"/>
  <c r="G18" i="15"/>
  <c r="G25" i="15"/>
  <c r="D55" i="14"/>
  <c r="C55" i="14"/>
  <c r="D57" i="14"/>
  <c r="B7" i="18"/>
  <c r="C7" i="18" s="1"/>
  <c r="F5" i="17"/>
  <c r="D54" i="11"/>
  <c r="F13" i="13"/>
  <c r="D13" i="13"/>
  <c r="D55" i="11"/>
  <c r="B57" i="11"/>
  <c r="D7" i="17"/>
  <c r="D4" i="17"/>
  <c r="G8" i="17"/>
  <c r="E5" i="17"/>
  <c r="D5" i="17" s="1"/>
  <c r="B6" i="18"/>
  <c r="C6" i="18" s="1"/>
  <c r="D53" i="11"/>
  <c r="G5" i="17" l="1"/>
</calcChain>
</file>

<file path=xl/sharedStrings.xml><?xml version="1.0" encoding="utf-8"?>
<sst xmlns="http://schemas.openxmlformats.org/spreadsheetml/2006/main" count="5249" uniqueCount="893">
  <si>
    <t>CIS Integrated Resilience Framework — V3 Public Tool</t>
  </si>
  <si>
    <t>Field</t>
  </si>
  <si>
    <t>Description</t>
  </si>
  <si>
    <t>Version</t>
  </si>
  <si>
    <t>v3-public</t>
  </si>
  <si>
    <t>Assessment period</t>
  </si>
  <si>
    <t>2016–2025</t>
  </si>
  <si>
    <t>Purpose</t>
  </si>
  <si>
    <t>Autonomous public workbook integrating Subsystems A–F, with visible formulas for normalisation, aggregation, GIR-ensemble uncertainty, pre/post-expansion comparison and methodological sensitivity.</t>
  </si>
  <si>
    <t>Primary weighting</t>
  </si>
  <si>
    <t>Dimension-balanced within each subsystem; equal weights among the six subsystem indices.</t>
  </si>
  <si>
    <t>Comparator weighting</t>
  </si>
  <si>
    <t>Equal-indicator weighting within each subsystem.</t>
  </si>
  <si>
    <t>GIR ensemble</t>
  </si>
  <si>
    <t>Four complete variants: ISW50_EffLow, ISW50_EffHigh, ISW90_EffLow and ISW90_EffHigh. The arithmetic mean and min–max range are reported separately.</t>
  </si>
  <si>
    <t>Expansion comparison</t>
  </si>
  <si>
    <t>Pre-expansion: 2016–2020; transition year: 2021; post-expansion: 2022–2025.</t>
  </si>
  <si>
    <t>Sensitivity</t>
  </si>
  <si>
    <t>Threshold anchors are shifted simultaneously by ±20%. Lenient and stricter cases respect indicator orientation.</t>
  </si>
  <si>
    <t>Leave-one-out</t>
  </si>
  <si>
    <t>Both leave-one-indicator-out and leave-one-subsystem-out robustness checks are included.</t>
  </si>
  <si>
    <t>Stress and adaptation scenarios</t>
  </si>
  <si>
    <t>Not included. Those prospective scenario families belong to Paper 6 and are methodologically separate from this historical diagnostic tool.</t>
  </si>
  <si>
    <t>External links</t>
  </si>
  <si>
    <t>None. Source values are embedded from the six public subsystem workbooks.</t>
  </si>
  <si>
    <t>Colour convention</t>
  </si>
  <si>
    <t>Dark blue #1F4E79; yellow #FFF2CC; grey #D9D9D9; white output areas.</t>
  </si>
  <si>
    <t>Important interpretation</t>
  </si>
  <si>
    <t>Pre/post contrasts are descriptive and should not be interpreted as causal effects of the 2021 expansion.</t>
  </si>
  <si>
    <t>Control panel</t>
  </si>
  <si>
    <t>Parameter</t>
  </si>
  <si>
    <t>Value</t>
  </si>
  <si>
    <t>Use</t>
  </si>
  <si>
    <t>Editable</t>
  </si>
  <si>
    <t>Assessment start</t>
  </si>
  <si>
    <t>Historical assessment</t>
  </si>
  <si>
    <t>Yes</t>
  </si>
  <si>
    <t>Pre-expansion start</t>
  </si>
  <si>
    <t>Pre/post comparison</t>
  </si>
  <si>
    <t>Pre-expansion end</t>
  </si>
  <si>
    <t>Transition year</t>
  </si>
  <si>
    <t>Excluded from pre/post means</t>
  </si>
  <si>
    <t>Post-expansion start</t>
  </si>
  <si>
    <t>Post-expansion end</t>
  </si>
  <si>
    <t>Threshold sensitivity</t>
  </si>
  <si>
    <t>Lenient/stricter anchor shift</t>
  </si>
  <si>
    <t>Selected weighting</t>
  </si>
  <si>
    <t>Dimension-balanced</t>
  </si>
  <si>
    <t>Preferred dashboard result</t>
  </si>
  <si>
    <t>Class boundaries</t>
  </si>
  <si>
    <t>0.25 / 0.50 / 0.75</t>
  </si>
  <si>
    <t>Low / Moderate / Good / Excellent</t>
  </si>
  <si>
    <t>No</t>
  </si>
  <si>
    <t>Subsystem weights</t>
  </si>
  <si>
    <t>Equal, 1/6</t>
  </si>
  <si>
    <t>Overall CIS index</t>
  </si>
  <si>
    <t>Stress/adaptation module</t>
  </si>
  <si>
    <t>Excluded</t>
  </si>
  <si>
    <t>Paper 6</t>
  </si>
  <si>
    <t>Embedded source register</t>
  </si>
  <si>
    <t>Subsystem</t>
  </si>
  <si>
    <t>Public workbook</t>
  </si>
  <si>
    <t>Primary public output</t>
  </si>
  <si>
    <t>Imported content</t>
  </si>
  <si>
    <t>Formula visibility</t>
  </si>
  <si>
    <t>Status</t>
  </si>
  <si>
    <t>Notes</t>
  </si>
  <si>
    <t>A</t>
  </si>
  <si>
    <t>RI_SA_water_availability_tool_v1_1_public(1).xlsx</t>
  </si>
  <si>
    <t>EXPORT_CIS</t>
  </si>
  <si>
    <t>Period and annual values</t>
  </si>
  <si>
    <t>None</t>
  </si>
  <si>
    <t>v1.1-public</t>
  </si>
  <si>
    <t>Source formulas retained in subsystem workbook</t>
  </si>
  <si>
    <t>Imported</t>
  </si>
  <si>
    <t>Hydrological boundary condition.</t>
  </si>
  <si>
    <t>B</t>
  </si>
  <si>
    <t>RI_SB_reservoir_service_tool_v1_public.xlsx</t>
  </si>
  <si>
    <t>B_CALC_PERIOD / B_CALC_ANNUAL</t>
  </si>
  <si>
    <t>Four variants and annual values</t>
  </si>
  <si>
    <t>Correct B3/B4/B5 columns used</t>
  </si>
  <si>
    <t>Complete GIR scenario chains.</t>
  </si>
  <si>
    <t>C</t>
  </si>
  <si>
    <t>RI_SC_conveyance_distribution_tool_v1_1_public.xlsx</t>
  </si>
  <si>
    <t>C_INPUT_PREPROCESSED / C_FINAL_TOOL</t>
  </si>
  <si>
    <t>C3 follows public C_FINAL_TOOL scaling (K×100)</t>
  </si>
  <si>
    <t>C5 uses Pmin=40 m.</t>
  </si>
  <si>
    <t>D</t>
  </si>
  <si>
    <t>RI_SD_energy_performance_tool_v1_1_public(1).xlsx</t>
  </si>
  <si>
    <t>02_EXPORT_CIS</t>
  </si>
  <si>
    <t>Assessment and annual values</t>
  </si>
  <si>
    <t>D1–D3 use 2018–2025; D7 is 2025 snapshot</t>
  </si>
  <si>
    <t>Missing years remain blank.</t>
  </si>
  <si>
    <t>E</t>
  </si>
  <si>
    <t>RI_SE_on_farm_performance_tool_v1_1_public(1).xlsx</t>
  </si>
  <si>
    <t>02_EXPORT_CIS / 03_ENSEMBLE</t>
  </si>
  <si>
    <t>Assessment, annual and variant values</t>
  </si>
  <si>
    <t>E1/E2 four variants; E4 efficiency variants</t>
  </si>
  <si>
    <t>E3 remains ensemble-central.</t>
  </si>
  <si>
    <t>F</t>
  </si>
  <si>
    <t>RI_SF_drought_management_tool_v1_1_public(1).xlsx</t>
  </si>
  <si>
    <t>Assessment-period scores</t>
  </si>
  <si>
    <t>Formula-driven F1–F4</t>
  </si>
  <si>
    <t>No annual reconstruction.</t>
  </si>
  <si>
    <t>Indicator catalog and operational dimensions</t>
  </si>
  <si>
    <t>Code</t>
  </si>
  <si>
    <t>Indicator</t>
  </si>
  <si>
    <t>Unit</t>
  </si>
  <si>
    <t>Orientation</t>
  </si>
  <si>
    <t>Indicator type</t>
  </si>
  <si>
    <t>Operational dimension</t>
  </si>
  <si>
    <t>Operational role</t>
  </si>
  <si>
    <t>Failure mechanism</t>
  </si>
  <si>
    <t>Decision supported</t>
  </si>
  <si>
    <t>Temporal basis</t>
  </si>
  <si>
    <t>Ensemble dependency</t>
  </si>
  <si>
    <t>Coverage</t>
  </si>
  <si>
    <t>Aggregation status</t>
  </si>
  <si>
    <t>Active</t>
  </si>
  <si>
    <t>Equal weight</t>
  </si>
  <si>
    <t>Dimension weight</t>
  </si>
  <si>
    <t>A1</t>
  </si>
  <si>
    <t>Time-based inflow reliability</t>
  </si>
  <si>
    <t>–</t>
  </si>
  <si>
    <t>Positive</t>
  </si>
  <si>
    <t>Performance</t>
  </si>
  <si>
    <t>Inflow adequacy</t>
  </si>
  <si>
    <t>Frequency with which monthly inflow meets the seasonal minimum threshold</t>
  </si>
  <si>
    <t>Frequent low-inflow months</t>
  </si>
  <si>
    <t>Drought alert and seasonal storage planning</t>
  </si>
  <si>
    <t>Period; annual diagnostic</t>
  </si>
  <si>
    <t>2016–2025 monthly inflow</t>
  </si>
  <si>
    <t>Active — retained</t>
  </si>
  <si>
    <t>A2</t>
  </si>
  <si>
    <t>Volumetric inflow reliability</t>
  </si>
  <si>
    <t>Cumulative inflow deficit severity relative to seasonal thresholds</t>
  </si>
  <si>
    <t>Large cumulative inflow deficits</t>
  </si>
  <si>
    <t>Allocation and carry-over planning</t>
  </si>
  <si>
    <t>A3</t>
  </si>
  <si>
    <t>Mean drought duration</t>
  </si>
  <si>
    <t>months</t>
  </si>
  <si>
    <t>Negative</t>
  </si>
  <si>
    <t>Stress</t>
  </si>
  <si>
    <t>Drought persistence</t>
  </si>
  <si>
    <t>Persistence of consecutive below-threshold inflow months</t>
  </si>
  <si>
    <t>Prolonged hydrological drought</t>
  </si>
  <si>
    <t>Multi-season restriction and recovery planning</t>
  </si>
  <si>
    <t>A4</t>
  </si>
  <si>
    <t>Coefficient of variation of annual inflow</t>
  </si>
  <si>
    <t>Exposure</t>
  </si>
  <si>
    <t>Interannual variability</t>
  </si>
  <si>
    <t>Year-to-year instability of annual inflow</t>
  </si>
  <si>
    <t>Unpredictable replenishment and sequencing risk</t>
  </si>
  <si>
    <t>Carry-over and allocation safety margins</t>
  </si>
  <si>
    <t>Period only</t>
  </si>
  <si>
    <t>2016–2025 annual inflow</t>
  </si>
  <si>
    <t>A5</t>
  </si>
  <si>
    <t>Buffering capacity</t>
  </si>
  <si>
    <t>Structural proxy</t>
  </si>
  <si>
    <t>Storage context and dependence</t>
  </si>
  <si>
    <t>Theoretical regulation potential relative to mean annual inflow</t>
  </si>
  <si>
    <t>Insufficient storage relative to inflow regime</t>
  </si>
  <si>
    <t>Long-term storage planning</t>
  </si>
  <si>
    <t>Net capacity and period mean inflow</t>
  </si>
  <si>
    <t>Share a dimension; A5 is structural potential and A6 is dependence/stress.</t>
  </si>
  <si>
    <t>A6</t>
  </si>
  <si>
    <t>Carry-over dependence</t>
  </si>
  <si>
    <t>Increase in dependence on multi-year storage relative to baseline inflow</t>
  </si>
  <si>
    <t>Service reliant on accumulated storage under declining inflow</t>
  </si>
  <si>
    <t>Carry-over safeguards and drought rules</t>
  </si>
  <si>
    <t>Baseline and period mean inflow</t>
  </si>
  <si>
    <t>B1</t>
  </si>
  <si>
    <t>Time-based supply reliability</t>
  </si>
  <si>
    <t>Supply adequacy</t>
  </si>
  <si>
    <t>Frequency of months in which source demand is fully supplied</t>
  </si>
  <si>
    <t>Repeated service-failure months</t>
  </si>
  <si>
    <t>Reservoir operating rules and allocation</t>
  </si>
  <si>
    <t>Period and annual</t>
  </si>
  <si>
    <t>2016–2025; four GIR variants</t>
  </si>
  <si>
    <t>B2</t>
  </si>
  <si>
    <t>Volumetric supply reliability</t>
  </si>
  <si>
    <t>Share of source demand effectively supplied</t>
  </si>
  <si>
    <t>Large cumulative service deficit</t>
  </si>
  <si>
    <t>Supply targets and deficit allocation</t>
  </si>
  <si>
    <t>B3</t>
  </si>
  <si>
    <t>Mean supply performance during failure</t>
  </si>
  <si>
    <t>Failure severity</t>
  </si>
  <si>
    <t>Mean proportion of demand supplied during failure months</t>
  </si>
  <si>
    <t>Severe partial supply during failure</t>
  </si>
  <si>
    <t>Rationing intensity and priority rules</t>
  </si>
  <si>
    <t>B4</t>
  </si>
  <si>
    <t>Recovery after failure</t>
  </si>
  <si>
    <t>Recovery</t>
  </si>
  <si>
    <t>Probability of returning to satisfactory service after failure</t>
  </si>
  <si>
    <t>Persistent service failure</t>
  </si>
  <si>
    <t>Recovery rules and reserve margins</t>
  </si>
  <si>
    <t>B5</t>
  </si>
  <si>
    <t>Spill–shortage coexistence frequency</t>
  </si>
  <si>
    <t>Operational coherence</t>
  </si>
  <si>
    <t>Frequency of years with both spill and irrigation shortage</t>
  </si>
  <si>
    <t>Storage/operation mismatch</t>
  </si>
  <si>
    <t>Rule-curve and timing adjustments</t>
  </si>
  <si>
    <t>C1</t>
  </si>
  <si>
    <t>Hydrant pressure reliability</t>
  </si>
  <si>
    <t>Pressure reliability</t>
  </si>
  <si>
    <t>Overall reliability across open hydrant–simulation records (current workbook implementation)</t>
  </si>
  <si>
    <t>Frequent pressure failure at operating hydrants</t>
  </si>
  <si>
    <t>Network operation and rehabilitation</t>
  </si>
  <si>
    <t>Annual and period</t>
  </si>
  <si>
    <t>Equation/label/unit harmonisation required before publication.</t>
  </si>
  <si>
    <t>C2</t>
  </si>
  <si>
    <t>Network pressure reliability</t>
  </si>
  <si>
    <t>Share of hydrants remaining outside the critical failed set</t>
  </si>
  <si>
    <t>Spatial concentration of hydraulic failure</t>
  </si>
  <si>
    <t>Sector prioritisation and network upgrades</t>
  </si>
  <si>
    <t>C3</t>
  </si>
  <si>
    <t>Relative pressure deficit</t>
  </si>
  <si>
    <t>% Pmin</t>
  </si>
  <si>
    <t>Pressure-deficit severity</t>
  </si>
  <si>
    <t>Mean relative pressure-deficit severity during hydraulic failure</t>
  </si>
  <si>
    <t>Widespread pressure shortfall</t>
  </si>
  <si>
    <t>Pressure setpoints and peak-demand control</t>
  </si>
  <si>
    <t>C4</t>
  </si>
  <si>
    <t>Critical hydrant deficit (P80)</t>
  </si>
  <si>
    <t>Upper-tail relative pressure deficit at critical hydrants</t>
  </si>
  <si>
    <t>Persistent severe deficit at vulnerable hydrants</t>
  </si>
  <si>
    <t>Targeted pipe/hydrant rehabilitation</t>
  </si>
  <si>
    <t>C5</t>
  </si>
  <si>
    <t>Maximum hydrant deficit</t>
  </si>
  <si>
    <t>Maximum simulated relative pressure deficit</t>
  </si>
  <si>
    <t>Extreme local hydraulic failure</t>
  </si>
  <si>
    <t>Critical-node protection</t>
  </si>
  <si>
    <t>D1</t>
  </si>
  <si>
    <t>Energy per irrigated area</t>
  </si>
  <si>
    <t>kWh ha⁻¹</t>
  </si>
  <si>
    <t>Energy intensity</t>
  </si>
  <si>
    <t>Energy intensity relative to effectively irrigated area</t>
  </si>
  <si>
    <t>High energy burden per service area</t>
  </si>
  <si>
    <t>Pump operation and efficiency investment</t>
  </si>
  <si>
    <t>Annual; incomplete</t>
  </si>
  <si>
    <t>2018–2025</t>
  </si>
  <si>
    <t>D2</t>
  </si>
  <si>
    <t>Energy per supplied volume</t>
  </si>
  <si>
    <t>kWh m⁻³</t>
  </si>
  <si>
    <t>Energy intensity per volume delivered at hydrants</t>
  </si>
  <si>
    <t>High energy use per unit service</t>
  </si>
  <si>
    <t>Pumping efficiency and leakage control</t>
  </si>
  <si>
    <t>D3</t>
  </si>
  <si>
    <t>Energy per abstracted volume</t>
  </si>
  <si>
    <t>Energy intensity per abstracted/source volume</t>
  </si>
  <si>
    <t>High source-side pumping intensity</t>
  </si>
  <si>
    <t>Pumping station optimisation</t>
  </si>
  <si>
    <t>High redundancy flag; retained and tested as diagnostic-only alternative.</t>
  </si>
  <si>
    <t>D4</t>
  </si>
  <si>
    <t>Energy cost per irrigated area</t>
  </si>
  <si>
    <t>€ ha⁻¹</t>
  </si>
  <si>
    <t>Financial exposure</t>
  </si>
  <si>
    <t>Energy-cost exposure per irrigated area</t>
  </si>
  <si>
    <t>High operating cost per service area</t>
  </si>
  <si>
    <t>Tariffs, budgets and investments</t>
  </si>
  <si>
    <t>Annual</t>
  </si>
  <si>
    <t>D5</t>
  </si>
  <si>
    <t>Energy cost per supplied volume</t>
  </si>
  <si>
    <t>€ m⁻³</t>
  </si>
  <si>
    <t>Energy-cost exposure per delivered volume</t>
  </si>
  <si>
    <t>High financial burden per unit service</t>
  </si>
  <si>
    <t>Energy procurement and tariff design</t>
  </si>
  <si>
    <t>D6</t>
  </si>
  <si>
    <t>Energy cost per abstracted volume</t>
  </si>
  <si>
    <t>Energy-cost exposure per source withdrawal</t>
  </si>
  <si>
    <t>High source-side financial burden</t>
  </si>
  <si>
    <t>Pumping and procurement strategy</t>
  </si>
  <si>
    <t>D7</t>
  </si>
  <si>
    <t>Renewable energy contribution</t>
  </si>
  <si>
    <t>Adaptive capacity</t>
  </si>
  <si>
    <t>Decarbonisation</t>
  </si>
  <si>
    <t>Share of pumping energy covered by renewables</t>
  </si>
  <si>
    <t>Dependence on grid energy and price volatility</t>
  </si>
  <si>
    <t>Renewable-energy investment</t>
  </si>
  <si>
    <t>Current snapshot</t>
  </si>
  <si>
    <t>2025 only</t>
  </si>
  <si>
    <t>D8</t>
  </si>
  <si>
    <t>Pump redundancy</t>
  </si>
  <si>
    <t>Functional redundancy</t>
  </si>
  <si>
    <t>Spare pumping capacity relative to peak requirement</t>
  </si>
  <si>
    <t>No backup under pump failure or peak demand</t>
  </si>
  <si>
    <t>Pump reserve and contingency planning</t>
  </si>
  <si>
    <t>E1</t>
  </si>
  <si>
    <t>Gross irrigation requirement</t>
  </si>
  <si>
    <t>mm</t>
  </si>
  <si>
    <t>Demand magnitude and concentration</t>
  </si>
  <si>
    <t>Seasonal gross irrigation demand imposed by crop/technology configuration</t>
  </si>
  <si>
    <t>High seasonal water demand</t>
  </si>
  <si>
    <t>Crop pattern and efficiency measures</t>
  </si>
  <si>
    <t>E2</t>
  </si>
  <si>
    <t>Peak demand factor</t>
  </si>
  <si>
    <t>Share of seasonal demand concentrated in peak month</t>
  </si>
  <si>
    <t>High short-term pressure on source/network/energy</t>
  </si>
  <si>
    <t>Peak management and operating schedules</t>
  </si>
  <si>
    <t>E3</t>
  </si>
  <si>
    <t>Peak demand staggering</t>
  </si>
  <si>
    <t>Reduction in coincident peak due to temporal spreading among crops</t>
  </si>
  <si>
    <t>Synchronous crop-demand peaks</t>
  </si>
  <si>
    <t>Crop calendars and demand scheduling</t>
  </si>
  <si>
    <t>E4</t>
  </si>
  <si>
    <t>Irrigation system factor</t>
  </si>
  <si>
    <t>Irrigation technology and control</t>
  </si>
  <si>
    <t>Demand amplification associated with application efficiency and wetted fraction</t>
  </si>
  <si>
    <t>Technology-induced gross-demand amplification</t>
  </si>
  <si>
    <t>Technology performance improvement</t>
  </si>
  <si>
    <t>Partly</t>
  </si>
  <si>
    <t>2016–2025; low/high efficiency</t>
  </si>
  <si>
    <t>E5</t>
  </si>
  <si>
    <t>On-farm technology and control</t>
  </si>
  <si>
    <t>Monitoring, scheduling, automation and variable-rate control</t>
  </si>
  <si>
    <t>Limited ability to adjust irrigation under stress</t>
  </si>
  <si>
    <t>Farm-control upgrades</t>
  </si>
  <si>
    <t>E6</t>
  </si>
  <si>
    <t>Water-deficit and salinity tolerance</t>
  </si>
  <si>
    <t>Crop flexibility and exposure</t>
  </si>
  <si>
    <t>Crop-pattern capacity to tolerate moderate abiotic stress</t>
  </si>
  <si>
    <t>Yield sensitivity under deficit/salinity</t>
  </si>
  <si>
    <t>Crop diversification and deficit irrigation</t>
  </si>
  <si>
    <t>E7</t>
  </si>
  <si>
    <t>Share of permanent crops</t>
  </si>
  <si>
    <t>Long-term irrigation commitment and reduced allocation flexibility</t>
  </si>
  <si>
    <t>Rigid drought demand and asset-loss risk</t>
  </si>
  <si>
    <t>Allocation priorities and expansion control</t>
  </si>
  <si>
    <t>E8</t>
  </si>
  <si>
    <t>Soil-water buffering capacity</t>
  </si>
  <si>
    <t>Structural capacity</t>
  </si>
  <si>
    <t>Local buffering</t>
  </si>
  <si>
    <t>Plant-available soil-water storage in the effective root zone</t>
  </si>
  <si>
    <t>Rapid onset of irrigation demand and low interruption buffer</t>
  </si>
  <si>
    <t>Soil/crop management</t>
  </si>
  <si>
    <t>E9</t>
  </si>
  <si>
    <t>Alternative local access to storage</t>
  </si>
  <si>
    <t>Potential proximity-based access to local ponds/tanks</t>
  </si>
  <si>
    <t>No local buffer during short supply interruptions</t>
  </si>
  <si>
    <t>Local storage inventory and connection verification</t>
  </si>
  <si>
    <t>Current structural snapshot</t>
  </si>
  <si>
    <t>Current mapping</t>
  </si>
  <si>
    <t>E10</t>
  </si>
  <si>
    <t>Chill requirement adequacy indicator</t>
  </si>
  <si>
    <t>Adequacy of accumulated winter chill for chill-dependent crops</t>
  </si>
  <si>
    <t>Phenological/yield risk under warm winters</t>
  </si>
  <si>
    <t>Crop/variety adaptation</t>
  </si>
  <si>
    <t>F1</t>
  </si>
  <si>
    <t>Preparedness, alert thresholds and response rules</t>
  </si>
  <si>
    <t>Institutional capacity</t>
  </si>
  <si>
    <t>Preparedness</t>
  </si>
  <si>
    <t>Formal planning, alert thresholds and drought/emergency rules</t>
  </si>
  <si>
    <t>Late or inconsistent response to emerging stress</t>
  </si>
  <si>
    <t>Contingency planning and rule formalisation</t>
  </si>
  <si>
    <t>Current assessment</t>
  </si>
  <si>
    <t>Current evidence</t>
  </si>
  <si>
    <t>F2</t>
  </si>
  <si>
    <t>Operational monitoring and control capacity</t>
  </si>
  <si>
    <t>Monitoring and control</t>
  </si>
  <si>
    <t>Availability and use of operational information and control capacity</t>
  </si>
  <si>
    <t>Weak detection and anticipation of failure</t>
  </si>
  <si>
    <t>Monitoring, telemetry and records</t>
  </si>
  <si>
    <t>F3</t>
  </si>
  <si>
    <t>Financial and infrastructure management capacity</t>
  </si>
  <si>
    <t>Financial and infrastructure capacity</t>
  </si>
  <si>
    <t>Capacity to maintain infrastructure, cover costs and mobilise emergency resources</t>
  </si>
  <si>
    <t>Maintenance/financial failure during stress</t>
  </si>
  <si>
    <t>Budgets, reserves and maintenance plans</t>
  </si>
  <si>
    <t>F4</t>
  </si>
  <si>
    <t>Participation, communication and compliance</t>
  </si>
  <si>
    <t>Participation and compliance</t>
  </si>
  <si>
    <t>Farmer involvement, communication, enforcement and conflict resolution</t>
  </si>
  <si>
    <t>Low compliance and ineffective rationing</t>
  </si>
  <si>
    <t>Communication and governance procedures</t>
  </si>
  <si>
    <t>Thresholds and formula-driven weights</t>
  </si>
  <si>
    <t>Dimension</t>
  </si>
  <si>
    <t>T1</t>
  </si>
  <si>
    <t>T2</t>
  </si>
  <si>
    <t>T3</t>
  </si>
  <si>
    <t>T4 saturation</t>
  </si>
  <si>
    <t>Equal-indicator weight</t>
  </si>
  <si>
    <t>Dimension-balanced weight</t>
  </si>
  <si>
    <t>Threshold note</t>
  </si>
  <si>
    <t>T4=90.8309 is a fixed technical saturation anchor, not the Excellent class boundary.</t>
  </si>
  <si>
    <t>User-approved correction: Good 1.05&lt;x≤1.50; Excellent x≤1.05.</t>
  </si>
  <si>
    <t>Current v2 preserves % of Pmin implementation; harmonise manuscript equation/unit.</t>
  </si>
  <si>
    <t>Embedded assessment-period inputs from public subsystem workbooks</t>
  </si>
  <si>
    <t>Raw value</t>
  </si>
  <si>
    <t>Source workbook</t>
  </si>
  <si>
    <t>Source sheet</t>
  </si>
  <si>
    <t>Source cell/range</t>
  </si>
  <si>
    <t>Derivation</t>
  </si>
  <si>
    <t>Import status</t>
  </si>
  <si>
    <t>C16</t>
  </si>
  <si>
    <t>Period-level value linked internally to SA_calcu_indicators.</t>
  </si>
  <si>
    <t>EMBEDDED</t>
  </si>
  <si>
    <t>C17</t>
  </si>
  <si>
    <t>C18</t>
  </si>
  <si>
    <t>C19</t>
  </si>
  <si>
    <t>C20</t>
  </si>
  <si>
    <t>C21</t>
  </si>
  <si>
    <t>B_CALC_PERIOD</t>
  </si>
  <si>
    <t>H4:M8</t>
  </si>
  <si>
    <t>Arithmetic mean of four complete GIR variants; B1 uses corrected B_CALC_PERIOD column.</t>
  </si>
  <si>
    <t>Arithmetic mean of four complete GIR variants; B2 uses corrected B_CALC_PERIOD column.</t>
  </si>
  <si>
    <t>Arithmetic mean of four complete GIR variants; B3 uses corrected B_CALC_PERIOD column.</t>
  </si>
  <si>
    <t>Arithmetic mean of four complete GIR variants; B4 uses corrected B_CALC_PERIOD column.</t>
  </si>
  <si>
    <t>Arithmetic mean of four complete GIR variants; B5 uses corrected B_CALC_PERIOD column.</t>
  </si>
  <si>
    <t>C_INPUT_PREPROCESSED</t>
  </si>
  <si>
    <t>H5:N44</t>
  </si>
  <si>
    <t>Scenario-period mean matching C_FINAL_TOOL; C3 uses K×100 and C5 uses maximum deficit/Pmin (40 m).</t>
  </si>
  <si>
    <t>H4</t>
  </si>
  <si>
    <t>Interannual mean</t>
  </si>
  <si>
    <t>H5</t>
  </si>
  <si>
    <t>H6</t>
  </si>
  <si>
    <t>H7</t>
  </si>
  <si>
    <t>H8</t>
  </si>
  <si>
    <t>H9</t>
  </si>
  <si>
    <t>H10</t>
  </si>
  <si>
    <t>Snapshot</t>
  </si>
  <si>
    <t>H11</t>
  </si>
  <si>
    <t>2016–2025 annual mean</t>
  </si>
  <si>
    <t>H12</t>
  </si>
  <si>
    <t>Static spatial proxy</t>
  </si>
  <si>
    <t>H13</t>
  </si>
  <si>
    <t>Assessment-period evidence</t>
  </si>
  <si>
    <t>Embedded annual central series</t>
  </si>
  <si>
    <t>Year</t>
  </si>
  <si>
    <t>Central-series rule</t>
  </si>
  <si>
    <t>Coverage/derivation</t>
  </si>
  <si>
    <t>Central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</si>
  <si>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</si>
  <si>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</si>
  <si>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</si>
  <si>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</si>
  <si>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</si>
  <si>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</si>
  <si>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</si>
  <si>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</si>
  <si>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</si>
  <si>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</si>
  <si>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</si>
  <si>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</si>
  <si>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</si>
  <si>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</si>
  <si>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</si>
  <si>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</si>
  <si>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</si>
  <si>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</si>
  <si>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</si>
  <si>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</si>
  <si>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</si>
  <si>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</si>
  <si>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</si>
  <si>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</si>
  <si>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</si>
  <si>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</si>
  <si>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</si>
  <si>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</si>
  <si>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</si>
  <si>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</si>
  <si>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</si>
  <si>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</si>
  <si>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</si>
  <si>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</si>
  <si>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</si>
  <si>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</si>
  <si>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</si>
  <si>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</si>
  <si>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</si>
  <si>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</si>
  <si>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</si>
  <si>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</si>
  <si>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</si>
  <si>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</si>
  <si>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</si>
  <si>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</si>
  <si>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</si>
  <si>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</si>
  <si>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</si>
  <si>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</si>
  <si>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</si>
  <si>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</si>
  <si>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</si>
  <si>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</si>
  <si>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</si>
  <si>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</si>
  <si>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</si>
  <si>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</si>
  <si>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</si>
  <si>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</si>
  <si>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Ensemble_mean</t>
  </si>
  <si>
    <t>B_CALC_ANNUAL</t>
  </si>
  <si>
    <t>I:N</t>
  </si>
  <si>
    <t>Mean of the four complete GIR-variant annual indicators.</t>
  </si>
  <si>
    <t>H:N</t>
  </si>
  <si>
    <t>Mean of four complete GIR variants.</t>
  </si>
  <si>
    <t>2018–2025 (8 years)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</si>
  <si>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</si>
  <si>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</si>
  <si>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</si>
  <si>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</si>
  <si>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</si>
  <si>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</si>
  <si>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</si>
  <si>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</si>
  <si>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</si>
  <si>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</si>
  <si>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</si>
  <si>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</si>
  <si>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</si>
  <si>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</si>
  <si>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2016–2025 (10 years)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</si>
  <si>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</si>
  <si>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</si>
  <si>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</si>
  <si>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</si>
  <si>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</si>
  <si>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</si>
  <si>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</si>
  <si>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</si>
  <si>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</si>
  <si>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</si>
  <si>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</si>
  <si>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</si>
  <si>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</si>
  <si>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</si>
  <si>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</si>
  <si>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</si>
  <si>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</si>
  <si>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</si>
  <si>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</si>
  <si>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</si>
  <si>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</si>
  <si>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</si>
  <si>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</si>
  <si>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</si>
  <si>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</si>
  <si>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</si>
  <si>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</si>
  <si>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</si>
  <si>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</si>
  <si>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2025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</si>
  <si>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</si>
  <si>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</si>
  <si>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</si>
  <si>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</si>
  <si>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</si>
  <si>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</si>
  <si>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</si>
  <si>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</si>
  <si>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</si>
  <si>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</si>
  <si>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H84</t>
  </si>
  <si>
    <t>H94</t>
  </si>
  <si>
    <t>H104</t>
  </si>
  <si>
    <t>Not_applicable</t>
  </si>
  <si>
    <t>H83</t>
  </si>
  <si>
    <t>H93</t>
  </si>
  <si>
    <t>H103</t>
  </si>
  <si>
    <t>H113</t>
  </si>
  <si>
    <t>H85</t>
  </si>
  <si>
    <t>H95</t>
  </si>
  <si>
    <t>H105</t>
  </si>
  <si>
    <t>Ensemble_central_series</t>
  </si>
  <si>
    <t>H86</t>
  </si>
  <si>
    <t>H96</t>
  </si>
  <si>
    <t>H106</t>
  </si>
  <si>
    <t>H77</t>
  </si>
  <si>
    <t>H87</t>
  </si>
  <si>
    <t>H97</t>
  </si>
  <si>
    <t>H107</t>
  </si>
  <si>
    <t>H78</t>
  </si>
  <si>
    <t>H88</t>
  </si>
  <si>
    <t>H98</t>
  </si>
  <si>
    <t>H108</t>
  </si>
  <si>
    <t>H79</t>
  </si>
  <si>
    <t>H89</t>
  </si>
  <si>
    <t>H99</t>
  </si>
  <si>
    <t>H109</t>
  </si>
  <si>
    <t>H80</t>
  </si>
  <si>
    <t>H90</t>
  </si>
  <si>
    <t>H100</t>
  </si>
  <si>
    <t>H110</t>
  </si>
  <si>
    <t>H81</t>
  </si>
  <si>
    <t>H91</t>
  </si>
  <si>
    <t>H101</t>
  </si>
  <si>
    <t>H111</t>
  </si>
  <si>
    <t>H82</t>
  </si>
  <si>
    <t>H92</t>
  </si>
  <si>
    <t>H102</t>
  </si>
  <si>
    <t>H112</t>
  </si>
  <si>
    <t>Embedded four-variant GIR ensemble</t>
  </si>
  <si>
    <t>ISW50_EffLow</t>
  </si>
  <si>
    <t>ISW50_EffHigh</t>
  </si>
  <si>
    <t>ISW90_EffLow</t>
  </si>
  <si>
    <t>ISW90_EffHigh</t>
  </si>
  <si>
    <t>Ensemble mean</t>
  </si>
  <si>
    <t>Minimum</t>
  </si>
  <si>
    <t>Maximum</t>
  </si>
  <si>
    <t>Source/derivation</t>
  </si>
  <si>
    <t>Baseline normalisation and contributions</t>
  </si>
  <si>
    <t>Type</t>
  </si>
  <si>
    <t>T4</t>
  </si>
  <si>
    <t>Normalised</t>
  </si>
  <si>
    <t>Class</t>
  </si>
  <si>
    <t>Equal wt</t>
  </si>
  <si>
    <t>Dimension wt</t>
  </si>
  <si>
    <t>Equal contribution</t>
  </si>
  <si>
    <t>Dimension contribution</t>
  </si>
  <si>
    <t>Baseline subsystem and CIS resilience</t>
  </si>
  <si>
    <t>Equal-indicator score</t>
  </si>
  <si>
    <t>Dimension-balanced score</t>
  </si>
  <si>
    <t>Equal class</t>
  </si>
  <si>
    <t>Dimension class</t>
  </si>
  <si>
    <t>Difference</t>
  </si>
  <si>
    <t>Interpretation</t>
  </si>
  <si>
    <t>Preferred result is dimension-balanced.</t>
  </si>
  <si>
    <t>CIS result</t>
  </si>
  <si>
    <t>Equal-indicator overall</t>
  </si>
  <si>
    <t>Dimension-balanced overall</t>
  </si>
  <si>
    <t>Selected score</t>
  </si>
  <si>
    <t>Interpretation item</t>
  </si>
  <si>
    <t>Result</t>
  </si>
  <si>
    <t>Meaning</t>
  </si>
  <si>
    <t>Overall class</t>
  </si>
  <si>
    <t>Class based on the selected overall score.</t>
  </si>
  <si>
    <t>Weakest subsystem</t>
  </si>
  <si>
    <t>Lowest dimension-balanced subsystem score.</t>
  </si>
  <si>
    <t>Strongest subsystem</t>
  </si>
  <si>
    <t>Highest dimension-balanced subsystem score.</t>
  </si>
  <si>
    <t>Lowest indicator score</t>
  </si>
  <si>
    <t>Most limiting normalised indicator.</t>
  </si>
  <si>
    <t>Highest indicator score</t>
  </si>
  <si>
    <t>Highest normalised indicator.</t>
  </si>
  <si>
    <t>Important caution</t>
  </si>
  <si>
    <t>The overall index is a diagnostic synthesis and must be interpreted with the subsystem profile.</t>
  </si>
  <si>
    <t>Four complete GIR variants — normalisation and aggregation</t>
  </si>
  <si>
    <t>ISW50_EffLow raw</t>
  </si>
  <si>
    <t>ISW50_EffLow norm</t>
  </si>
  <si>
    <t>ISW50_EffHigh raw</t>
  </si>
  <si>
    <t>ISW50_EffHigh norm</t>
  </si>
  <si>
    <t>ISW90_EffLow raw</t>
  </si>
  <si>
    <t>ISW90_EffLow norm</t>
  </si>
  <si>
    <t>ISW90_EffHigh raw</t>
  </si>
  <si>
    <t>ISW90_EffHigh norm</t>
  </si>
  <si>
    <t>Raw mean</t>
  </si>
  <si>
    <t>Norm of raw mean</t>
  </si>
  <si>
    <t>Raw minimum</t>
  </si>
  <si>
    <t>Raw maximum</t>
  </si>
  <si>
    <t>Variant</t>
  </si>
  <si>
    <t>Overall dimension</t>
  </si>
  <si>
    <t>Overall equal</t>
  </si>
  <si>
    <t>Ensemble summary</t>
  </si>
  <si>
    <t>Equal-indicator</t>
  </si>
  <si>
    <t>Minimum complete variant</t>
  </si>
  <si>
    <t>Lowest complete GIR chain.</t>
  </si>
  <si>
    <t>Maximum complete variant</t>
  </si>
  <si>
    <t>Highest complete GIR chain.</t>
  </si>
  <si>
    <t>Mean of four variant indices</t>
  </si>
  <si>
    <t>Average after normalising each complete chain.</t>
  </si>
  <si>
    <t>Central baseline: norm of mean raw</t>
  </si>
  <si>
    <t>Normalise the arithmetic mean of raw indicator values.</t>
  </si>
  <si>
    <t>Difference: mean variants − central baseline</t>
  </si>
  <si>
    <t>Non-zero differences are expected because normalisation is nonlinear.</t>
  </si>
  <si>
    <t>Pre-expansion, transition and post-expansion comparison</t>
  </si>
  <si>
    <t>Pre raw 2016–2020</t>
  </si>
  <si>
    <t>Transition raw 2021</t>
  </si>
  <si>
    <t>Post raw 2022–2025</t>
  </si>
  <si>
    <t>Pre normalised</t>
  </si>
  <si>
    <t>Transition normalised</t>
  </si>
  <si>
    <t>Post normalised</t>
  </si>
  <si>
    <t>Post − pre</t>
  </si>
  <si>
    <t>Coverage note</t>
  </si>
  <si>
    <t>Pre equal</t>
  </si>
  <si>
    <t>Transition equal</t>
  </si>
  <si>
    <t>Post equal</t>
  </si>
  <si>
    <t>Pre dimension</t>
  </si>
  <si>
    <t>Transition dimension</t>
  </si>
  <si>
    <t>Post dimension</t>
  </si>
  <si>
    <t>Post − pre dimension</t>
  </si>
  <si>
    <t>Descriptive contrast; 2021 excluded from pre/post means.</t>
  </si>
  <si>
    <t>A–E comparison</t>
  </si>
  <si>
    <t>A–E mean; F excluded</t>
  </si>
  <si>
    <t>Equal-indicator versus dimension-balanced weighting</t>
  </si>
  <si>
    <t>Equal indicators</t>
  </si>
  <si>
    <t>Dimension-balanced reduces implicit overrepresentation of multi-indicator operational dimensions.</t>
  </si>
  <si>
    <t>Overall</t>
  </si>
  <si>
    <t>Preferred</t>
  </si>
  <si>
    <t>CIS</t>
  </si>
  <si>
    <t>Threshold-anchor sensitivity ±20%</t>
  </si>
  <si>
    <t>Baseline norm</t>
  </si>
  <si>
    <t>Lenient T1</t>
  </si>
  <si>
    <t>Lenient T2</t>
  </si>
  <si>
    <t>Lenient T3</t>
  </si>
  <si>
    <t>Lenient T4</t>
  </si>
  <si>
    <t>Lenient norm</t>
  </si>
  <si>
    <t>Stricter T1</t>
  </si>
  <si>
    <t>Stricter T2</t>
  </si>
  <si>
    <t>Stricter T3</t>
  </si>
  <si>
    <t>Stricter T4</t>
  </si>
  <si>
    <t>Stricter norm</t>
  </si>
  <si>
    <t>Baseline dimension</t>
  </si>
  <si>
    <t>Lenient 20%</t>
  </si>
  <si>
    <t>Stricter 20%</t>
  </si>
  <si>
    <t>Range</t>
  </si>
  <si>
    <t>Case</t>
  </si>
  <si>
    <t>Overall score</t>
  </si>
  <si>
    <t>Delta from baseline</t>
  </si>
  <si>
    <t>Minimum subsystem</t>
  </si>
  <si>
    <t>Maximum subsystem</t>
  </si>
  <si>
    <t>Baseline</t>
  </si>
  <si>
    <t>Threshold uncertainty only; raw subsystem data are unchanged.</t>
  </si>
  <si>
    <t>Leave-one-out robustness</t>
  </si>
  <si>
    <t>Excluded subsystem</t>
  </si>
  <si>
    <t>Excluded code</t>
  </si>
  <si>
    <t>Baseline overall dimension</t>
  </si>
  <si>
    <t>Affected subsystem dimension after exclusion</t>
  </si>
  <si>
    <t>Overall dimension after exclusion</t>
  </si>
  <si>
    <t>Delta dimension</t>
  </si>
  <si>
    <t>Baseline overall equal</t>
  </si>
  <si>
    <t>Overall equal after exclusion</t>
  </si>
  <si>
    <t>Delta equal</t>
  </si>
  <si>
    <t>Indicator-removal robustness test; not a recommended model specification.</t>
  </si>
  <si>
    <t>LOO overall dimension</t>
  </si>
  <si>
    <t>LOO overall equal</t>
  </si>
  <si>
    <t>Formula map and audit trail</t>
  </si>
  <si>
    <t>Output</t>
  </si>
  <si>
    <t>Cell</t>
  </si>
  <si>
    <t>Visible formula</t>
  </si>
  <si>
    <t>Primary source</t>
  </si>
  <si>
    <t>Indicator normalisation</t>
  </si>
  <si>
    <t>08_NORMALISATION!L4</t>
  </si>
  <si>
    <t>05_IMPORT_BASELINE + 04_THRESHOLDS_WEIGHTS</t>
  </si>
  <si>
    <t>Piecewise linear normalisation</t>
  </si>
  <si>
    <t>Benefit and stress orientations handled explicitly.</t>
  </si>
  <si>
    <t>08_NORMALISATION!Q4</t>
  </si>
  <si>
    <t>Normalised score × dimension weight</t>
  </si>
  <si>
    <t>Dimension-balanced aggregation</t>
  </si>
  <si>
    <t>Weights sum to one within each subsystem.</t>
  </si>
  <si>
    <t>Overall dimension-balanced index</t>
  </si>
  <si>
    <t>09_BASELINE_RESULTS!C13</t>
  </si>
  <si>
    <t>Subsystem scores A–F</t>
  </si>
  <si>
    <t>Preferred CIS score</t>
  </si>
  <si>
    <t>Equal subsystem weights.</t>
  </si>
  <si>
    <t>Variant-specific normalisation</t>
  </si>
  <si>
    <t>10_ENSEMBLE_ANALYSIS!K4</t>
  </si>
  <si>
    <t>07_IMPORT_ENSEMBLE</t>
  </si>
  <si>
    <t>Complete GIR chain</t>
  </si>
  <si>
    <t>No artificial mixing of extrema.</t>
  </si>
  <si>
    <t>Pre-expansion raw mean</t>
  </si>
  <si>
    <t>11_PRE_POST!F4</t>
  </si>
  <si>
    <t>06_IMPORT_ANNUAL</t>
  </si>
  <si>
    <t>2016–2020 mean</t>
  </si>
  <si>
    <t>2021 excluded.</t>
  </si>
  <si>
    <t>Post-expansion normalisation</t>
  </si>
  <si>
    <t>11_PRE_POST!K4</t>
  </si>
  <si>
    <t>06_IMPORT_ANNUAL + thresholds</t>
  </si>
  <si>
    <t>2022–2025 comparison</t>
  </si>
  <si>
    <t>Descriptive, not causal.</t>
  </si>
  <si>
    <t>Lenient threshold normalisation</t>
  </si>
  <si>
    <t>13_THRESHOLD_SENSITIVITY!K4</t>
  </si>
  <si>
    <t>Threshold anchors shifted 20%</t>
  </si>
  <si>
    <t>Orientation-specific shift.</t>
  </si>
  <si>
    <t>Leave-one-indicator-out</t>
  </si>
  <si>
    <t>14_LEAVE_ONE_OUT!F4</t>
  </si>
  <si>
    <t>08_NORMALISATION + baseline subsystem scores</t>
  </si>
  <si>
    <t>Robustness</t>
  </si>
  <si>
    <t>Affected dimension is recalculated.</t>
  </si>
  <si>
    <t>Publication output</t>
  </si>
  <si>
    <t>16_OUTPUT_PUBLICATION!B4</t>
  </si>
  <si>
    <t>09_BASELINE_RESULTS</t>
  </si>
  <si>
    <t>Ready-to-report value</t>
  </si>
  <si>
    <t>Formula-linked, not copied.</t>
  </si>
  <si>
    <t>Publication-ready outputs</t>
  </si>
  <si>
    <t>Metric</t>
  </si>
  <si>
    <t>Lower/Pre</t>
  </si>
  <si>
    <t>Upper/Post</t>
  </si>
  <si>
    <t>Difference/Range</t>
  </si>
  <si>
    <t>Source</t>
  </si>
  <si>
    <t>Overall CIS resilience</t>
  </si>
  <si>
    <t>GIR ensemble complete-variant range</t>
  </si>
  <si>
    <t>10_ENSEMBLE_ANALYSIS</t>
  </si>
  <si>
    <t>Pre/post A–E comparison</t>
  </si>
  <si>
    <t>11_PRE_POST</t>
  </si>
  <si>
    <t>Threshold sensitivity ±20%</t>
  </si>
  <si>
    <t>13_THRESHOLD_SENSITIVITY</t>
  </si>
  <si>
    <t>Leave-one-indicator-out range</t>
  </si>
  <si>
    <t>14_LEAVE_ONE_OUT</t>
  </si>
  <si>
    <t>Leave-one-subsystem-out range</t>
  </si>
  <si>
    <t>Equal score</t>
  </si>
  <si>
    <t>Dimension score</t>
  </si>
  <si>
    <t>Preferred rank</t>
  </si>
  <si>
    <t>Integrated resilience dashboard — V3 public</t>
  </si>
  <si>
    <t>Key metric</t>
  </si>
  <si>
    <t>GIR variant</t>
  </si>
  <si>
    <t>Preferred anti-double-counting score.</t>
  </si>
  <si>
    <t>Comparator weighting.</t>
  </si>
  <si>
    <t>Lowest complete GIR variant</t>
  </si>
  <si>
    <t>Complete-chain uncertainty.</t>
  </si>
  <si>
    <t>Highest complete GIR variant</t>
  </si>
  <si>
    <t>Pre-expansion A–E</t>
  </si>
  <si>
    <t>2016–2020; F excluded.</t>
  </si>
  <si>
    <t>Post-expansion A–E</t>
  </si>
  <si>
    <t>2022–2025; descriptive, not causal.</t>
  </si>
  <si>
    <t>Stricter thresholds −20%</t>
  </si>
  <si>
    <t>Threshold sensitivity.</t>
  </si>
  <si>
    <t>Lenient thresholds +20%</t>
  </si>
  <si>
    <t>Quality-control checks</t>
  </si>
  <si>
    <t>Check</t>
  </si>
  <si>
    <t>Expected</t>
  </si>
  <si>
    <t>Observed</t>
  </si>
  <si>
    <t>Action if failed</t>
  </si>
  <si>
    <t>Indicator count</t>
  </si>
  <si>
    <t>Review catalog/import.</t>
  </si>
  <si>
    <t>Baseline raw values</t>
  </si>
  <si>
    <t>Review public subsystem imports.</t>
  </si>
  <si>
    <t>Annual embedded rows</t>
  </si>
  <si>
    <t>Review annual extraction.</t>
  </si>
  <si>
    <t>Complete GIR variants</t>
  </si>
  <si>
    <t>Remove mean as member or add missing variant.</t>
  </si>
  <si>
    <t>Normalised range</t>
  </si>
  <si>
    <t>0–1</t>
  </si>
  <si>
    <t>Review threshold direction/formula.</t>
  </si>
  <si>
    <t>Equal weights sum by subsystem</t>
  </si>
  <si>
    <t>1.0</t>
  </si>
  <si>
    <t>Review equal-weight formulas.</t>
  </si>
  <si>
    <t>Dimension weights sum by subsystem</t>
  </si>
  <si>
    <t>Review dimension groups.</t>
  </si>
  <si>
    <t>Baseline raw equals ensemble raw mean</t>
  </si>
  <si>
    <t>Maximum difference &lt; 1E-9</t>
  </si>
  <si>
    <t>Review complete-chain mapping.</t>
  </si>
  <si>
    <t>Correct control panel.</t>
  </si>
  <si>
    <t>F in pre/post</t>
  </si>
  <si>
    <t>Do not reconstruct unsupported annual F values.</t>
  </si>
  <si>
    <t>External workbook links</t>
  </si>
  <si>
    <t>PASS</t>
  </si>
  <si>
    <t>Rebuild with embedded values.</t>
  </si>
  <si>
    <t>Stress/adaptation scenarios</t>
  </si>
  <si>
    <t>Keep prospective scenarios in Paper 6.</t>
  </si>
  <si>
    <t>V3 public change log</t>
  </si>
  <si>
    <t>Date</t>
  </si>
  <si>
    <t>Area</t>
  </si>
  <si>
    <t>Change</t>
  </si>
  <si>
    <t>Reason</t>
  </si>
  <si>
    <t>Impact</t>
  </si>
  <si>
    <t>2026-07-23</t>
  </si>
  <si>
    <t>Architecture</t>
  </si>
  <si>
    <t>Created autonomous integrated workbook using embedded outputs from the six public subsystem tools.</t>
  </si>
  <si>
    <t>Public reproducibility without external links.</t>
  </si>
  <si>
    <t>New final public tool.</t>
  </si>
  <si>
    <t>Implemented four complete variants, ensemble mean and min–max.</t>
  </si>
  <si>
    <t>Represent demand uncertainty without combining incompatible extrema.</t>
  </si>
  <si>
    <t>Variant-specific subsystem and CIS indices.</t>
  </si>
  <si>
    <t>Subsystem B</t>
  </si>
  <si>
    <t>Used B_CALC_PERIOD columns for B3 performance, B4 recovery and B5 SSC frequency.</t>
  </si>
  <si>
    <t>Public EXPORT_CIS labels/links were not fully aligned.</t>
  </si>
  <si>
    <t>Corrected integrated B values.</t>
  </si>
  <si>
    <t>Subsystem C</t>
  </si>
  <si>
    <t>Derived four variants consistently from C_INPUT_PREPROCESSED and matched the public C_FINAL_TOOL scaling.</t>
  </si>
  <si>
    <t>Ensure ensemble mean equals the public selected-period calculation.</t>
  </si>
  <si>
    <t>Consistent variant and central results.</t>
  </si>
  <si>
    <t>Subsystem D</t>
  </si>
  <si>
    <t>Used corrected D1–D3 coverage and 2025-only D7.</t>
  </si>
  <si>
    <t>Avoid treating missing energy data as zero.</t>
  </si>
  <si>
    <t>Updated D and overall scores.</t>
  </si>
  <si>
    <t>Subsystem E</t>
  </si>
  <si>
    <t>Used corrected E1, E3 and E8 public outputs.</t>
  </si>
  <si>
    <t>Align integrated results with the final public E workbook.</t>
  </si>
  <si>
    <t>Updated E and overall scores.</t>
  </si>
  <si>
    <t>Weighting</t>
  </si>
  <si>
    <t>Implemented dimension-balanced and equal-indicator profiles.</t>
  </si>
  <si>
    <t>Test sensitivity to implicit double counting.</t>
  </si>
  <si>
    <t>Both scores visible.</t>
  </si>
  <si>
    <t>Pre/post</t>
  </si>
  <si>
    <t>Implemented 2016–2020, 2021 transition and 2022–2025.</t>
  </si>
  <si>
    <t>Assess structural change descriptively.</t>
  </si>
  <si>
    <t>F excluded because annual values are unavailable.</t>
  </si>
  <si>
    <t>Implemented orientation-aware threshold shifts of ±20%.</t>
  </si>
  <si>
    <t>Test threshold uncertainty.</t>
  </si>
  <si>
    <t>Lenient and stricter bounds.</t>
  </si>
  <si>
    <t>Implemented indicator-level and subsystem-level removal.</t>
  </si>
  <si>
    <t>Test robustness of overall class and ranking.</t>
  </si>
  <si>
    <t>Formula-driven LOO tables.</t>
  </si>
  <si>
    <t>Scenario scope</t>
  </si>
  <si>
    <t>Excluded prospective stress/adaptation scenarios.</t>
  </si>
  <si>
    <t>Those scenarios belong to Paper 6.</t>
  </si>
  <si>
    <t>Clear separation of historical diagnosis and future scenario analysis.</t>
  </si>
  <si>
    <t>RI_SF_drought_management_tool_v1_1_public.xlsx</t>
  </si>
  <si>
    <t>RI_SE_on_farm_performance_tool_v1_1_public.xlsx</t>
  </si>
  <si>
    <t>RI_SD_energy_performance_tool_v1_1_public.xlsx</t>
  </si>
  <si>
    <t>RI_SA_water_availability_tool_v1_1_public.xlsx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</si>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</sst>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name val="Carlito"/>
    </font>
    <font>
      <b/>
      <sz val="14"/>
      <color rgb="FFFFFFFF"/>
      <name val="Carlito"/>
      <family val="2"/>
    </font>
    <font>
      <b/>
      <sz val="11"/>
      <color rgb="FFFFFFFF"/>
      <name val="Carlito"/>
      <family val="2"/>
    </font>
    <font>
      <sz val="11"/>
      <color rgb="FF1F1F1F"/>
      <name val="Carlito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9" fontId="3" fillId="5" borderId="0" xfId="0" applyNumberFormat="1" applyFont="1" applyFill="1" applyAlignment="1">
      <alignment vertical="center" wrapText="1"/>
    </xf>
    <xf numFmtId="164" fontId="3" fillId="3" borderId="0" xfId="0" applyNumberFormat="1" applyFont="1" applyFill="1" applyAlignment="1">
      <alignment vertical="center" wrapText="1"/>
    </xf>
    <xf numFmtId="164" fontId="3" fillId="5" borderId="0" xfId="0" applyNumberFormat="1" applyFont="1" applyFill="1" applyAlignment="1">
      <alignment vertical="center" wrapText="1"/>
    </xf>
    <xf numFmtId="49" fontId="3" fillId="5" borderId="0" xfId="0" applyNumberFormat="1" applyFont="1" applyFill="1" applyAlignment="1">
      <alignment vertical="center" wrapText="1"/>
    </xf>
    <xf numFmtId="164" fontId="0" fillId="0" borderId="0" xfId="0" applyNumberFormat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workbookViewId="0">
      <selection sqref="A1:H1"/>
    </sheetView>
  </sheetViews>
  <sheetFormatPr defaultRowHeight="15" x14ac:dyDescent="0.25"/>
  <cols>
    <col min="1" max="1" width="28" customWidth="1"/>
    <col min="2" max="2" width="92" customWidth="1"/>
  </cols>
  <sheetData>
    <row r="1" spans="1:8" ht="27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</row>
    <row r="3" spans="1:8" x14ac:dyDescent="0.25">
      <c r="A3" s="1" t="s">
        <v>1</v>
      </c>
      <c r="B3" s="1" t="s">
        <v>2</v>
      </c>
    </row>
    <row r="4" spans="1:8" x14ac:dyDescent="0.25">
      <c r="A4" s="3" t="s">
        <v>3</v>
      </c>
      <c r="B4" s="2" t="s">
        <v>4</v>
      </c>
    </row>
    <row r="5" spans="1:8" x14ac:dyDescent="0.25">
      <c r="A5" s="3" t="s">
        <v>5</v>
      </c>
      <c r="B5" s="2" t="s">
        <v>6</v>
      </c>
    </row>
    <row r="6" spans="1:8" ht="30" x14ac:dyDescent="0.25">
      <c r="A6" s="3" t="s">
        <v>7</v>
      </c>
      <c r="B6" s="4" t="s">
        <v>8</v>
      </c>
    </row>
    <row r="7" spans="1:8" x14ac:dyDescent="0.25">
      <c r="A7" s="3" t="s">
        <v>9</v>
      </c>
      <c r="B7" s="4" t="s">
        <v>10</v>
      </c>
    </row>
    <row r="8" spans="1:8" x14ac:dyDescent="0.25">
      <c r="A8" s="3" t="s">
        <v>11</v>
      </c>
      <c r="B8" s="4" t="s">
        <v>12</v>
      </c>
    </row>
    <row r="9" spans="1:8" ht="30" x14ac:dyDescent="0.25">
      <c r="A9" s="3" t="s">
        <v>13</v>
      </c>
      <c r="B9" s="4" t="s">
        <v>14</v>
      </c>
    </row>
    <row r="10" spans="1:8" x14ac:dyDescent="0.25">
      <c r="A10" s="3" t="s">
        <v>15</v>
      </c>
      <c r="B10" s="4" t="s">
        <v>16</v>
      </c>
    </row>
    <row r="11" spans="1:8" x14ac:dyDescent="0.25">
      <c r="A11" s="3" t="s">
        <v>17</v>
      </c>
      <c r="B11" s="4" t="s">
        <v>18</v>
      </c>
    </row>
    <row r="12" spans="1:8" x14ac:dyDescent="0.25">
      <c r="A12" s="3" t="s">
        <v>19</v>
      </c>
      <c r="B12" s="4" t="s">
        <v>20</v>
      </c>
    </row>
    <row r="13" spans="1:8" ht="30" x14ac:dyDescent="0.25">
      <c r="A13" s="3" t="s">
        <v>21</v>
      </c>
      <c r="B13" s="4" t="s">
        <v>22</v>
      </c>
    </row>
    <row r="14" spans="1:8" x14ac:dyDescent="0.25">
      <c r="A14" s="3" t="s">
        <v>23</v>
      </c>
      <c r="B14" s="4" t="s">
        <v>24</v>
      </c>
    </row>
    <row r="15" spans="1:8" x14ac:dyDescent="0.25">
      <c r="A15" s="3" t="s">
        <v>25</v>
      </c>
      <c r="B15" s="4" t="s">
        <v>26</v>
      </c>
    </row>
    <row r="16" spans="1:8" x14ac:dyDescent="0.25">
      <c r="A16" s="3" t="s">
        <v>27</v>
      </c>
      <c r="B16" s="4" t="s">
        <v>28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showGridLines="0" workbookViewId="0">
      <selection sqref="A1:D1"/>
    </sheetView>
  </sheetViews>
  <sheetFormatPr defaultRowHeight="15" x14ac:dyDescent="0.25"/>
  <cols>
    <col min="1" max="1" width="28" customWidth="1"/>
    <col min="2" max="2" width="25" customWidth="1"/>
    <col min="3" max="3" width="38" customWidth="1"/>
    <col min="4" max="4" width="13" customWidth="1"/>
  </cols>
  <sheetData>
    <row r="1" spans="1:4" ht="27" customHeight="1" x14ac:dyDescent="0.25">
      <c r="A1" s="10" t="s">
        <v>29</v>
      </c>
      <c r="B1" s="10"/>
      <c r="C1" s="10"/>
      <c r="D1" s="10"/>
    </row>
    <row r="3" spans="1:4" x14ac:dyDescent="0.25">
      <c r="A3" s="1" t="s">
        <v>30</v>
      </c>
      <c r="B3" s="1" t="s">
        <v>31</v>
      </c>
      <c r="C3" s="1" t="s">
        <v>32</v>
      </c>
      <c r="D3" s="1" t="s">
        <v>33</v>
      </c>
    </row>
    <row r="4" spans="1:4" x14ac:dyDescent="0.25">
      <c r="A4" s="3" t="s">
        <v>34</v>
      </c>
      <c r="B4" s="4">
        <v>2016</v>
      </c>
      <c r="C4" s="2" t="s">
        <v>35</v>
      </c>
      <c r="D4" s="2" t="s">
        <v>36</v>
      </c>
    </row>
    <row r="5" spans="1:4" x14ac:dyDescent="0.25">
      <c r="A5" s="3" t="s">
        <v>37</v>
      </c>
      <c r="B5" s="4">
        <v>2016</v>
      </c>
      <c r="C5" s="2" t="s">
        <v>38</v>
      </c>
      <c r="D5" s="2" t="s">
        <v>36</v>
      </c>
    </row>
    <row r="6" spans="1:4" x14ac:dyDescent="0.25">
      <c r="A6" s="3" t="s">
        <v>39</v>
      </c>
      <c r="B6" s="4">
        <v>2020</v>
      </c>
      <c r="C6" s="2" t="s">
        <v>38</v>
      </c>
      <c r="D6" s="2" t="s">
        <v>36</v>
      </c>
    </row>
    <row r="7" spans="1:4" x14ac:dyDescent="0.25">
      <c r="A7" s="3" t="s">
        <v>40</v>
      </c>
      <c r="B7" s="4">
        <v>2021</v>
      </c>
      <c r="C7" s="2" t="s">
        <v>41</v>
      </c>
      <c r="D7" s="2" t="s">
        <v>36</v>
      </c>
    </row>
    <row r="8" spans="1:4" x14ac:dyDescent="0.25">
      <c r="A8" s="3" t="s">
        <v>42</v>
      </c>
      <c r="B8" s="4">
        <v>2022</v>
      </c>
      <c r="C8" s="2" t="s">
        <v>38</v>
      </c>
      <c r="D8" s="2" t="s">
        <v>36</v>
      </c>
    </row>
    <row r="9" spans="1:4" x14ac:dyDescent="0.25">
      <c r="A9" s="3" t="s">
        <v>43</v>
      </c>
      <c r="B9" s="4">
        <v>2025</v>
      </c>
      <c r="C9" s="2" t="s">
        <v>38</v>
      </c>
      <c r="D9" s="2" t="s">
        <v>36</v>
      </c>
    </row>
    <row r="10" spans="1:4" x14ac:dyDescent="0.25">
      <c r="A10" s="3" t="s">
        <v>44</v>
      </c>
      <c r="B10" s="5">
        <v>0.2</v>
      </c>
      <c r="C10" s="2" t="s">
        <v>45</v>
      </c>
      <c r="D10" s="2" t="s">
        <v>36</v>
      </c>
    </row>
    <row r="11" spans="1:4" x14ac:dyDescent="0.25">
      <c r="A11" s="3" t="s">
        <v>46</v>
      </c>
      <c r="B11" s="8" t="s">
        <v>47</v>
      </c>
      <c r="C11" s="2" t="s">
        <v>48</v>
      </c>
      <c r="D11" s="2" t="s">
        <v>36</v>
      </c>
    </row>
    <row r="12" spans="1:4" x14ac:dyDescent="0.25">
      <c r="A12" s="3" t="s">
        <v>49</v>
      </c>
      <c r="B12" s="2" t="s">
        <v>50</v>
      </c>
      <c r="C12" s="2" t="s">
        <v>51</v>
      </c>
      <c r="D12" s="2" t="s">
        <v>52</v>
      </c>
    </row>
    <row r="13" spans="1:4" x14ac:dyDescent="0.25">
      <c r="A13" s="3" t="s">
        <v>53</v>
      </c>
      <c r="B13" s="2" t="s">
        <v>54</v>
      </c>
      <c r="C13" s="2" t="s">
        <v>55</v>
      </c>
      <c r="D13" s="2" t="s">
        <v>52</v>
      </c>
    </row>
    <row r="14" spans="1:4" x14ac:dyDescent="0.25">
      <c r="A14" s="3" t="s">
        <v>56</v>
      </c>
      <c r="B14" s="2" t="s">
        <v>57</v>
      </c>
      <c r="C14" s="2" t="s">
        <v>58</v>
      </c>
      <c r="D14" s="2" t="s">
        <v>52</v>
      </c>
    </row>
  </sheetData>
  <mergeCells count="1">
    <mergeCell ref="A1:D1"/>
  </mergeCells>
  <dataValidations count="1">
    <dataValidation type="list" sqref="B11" xr:uid="{00000000-0002-0000-0100-000000000000}">
      <formula1>"Dimension-balanced,Equal indicators"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showGridLines="0" workbookViewId="0">
      <selection activeCell="B17" sqref="B17"/>
    </sheetView>
  </sheetViews>
  <sheetFormatPr defaultRowHeight="15" x14ac:dyDescent="0.25"/>
  <cols>
    <col min="1" max="1" width="14" customWidth="1"/>
    <col min="2" max="2" width="48.5" customWidth="1"/>
    <col min="3" max="7" width="25" customWidth="1"/>
    <col min="8" max="8" width="14" customWidth="1"/>
    <col min="9" max="9" width="35" customWidth="1"/>
  </cols>
  <sheetData>
    <row r="1" spans="1:9" ht="27" customHeight="1" x14ac:dyDescent="0.25">
      <c r="A1" s="10" t="s">
        <v>59</v>
      </c>
      <c r="B1" s="10"/>
      <c r="C1" s="10"/>
      <c r="D1" s="10"/>
      <c r="E1" s="10"/>
      <c r="F1" s="10"/>
      <c r="G1" s="10"/>
      <c r="H1" s="10"/>
      <c r="I1" s="10"/>
    </row>
    <row r="3" spans="1:9" x14ac:dyDescent="0.25">
      <c r="A3" s="1" t="s">
        <v>60</v>
      </c>
      <c r="B3" s="1" t="s">
        <v>61</v>
      </c>
      <c r="C3" s="1" t="s">
        <v>62</v>
      </c>
      <c r="D3" s="1" t="s">
        <v>63</v>
      </c>
      <c r="E3" s="1" t="s">
        <v>23</v>
      </c>
      <c r="F3" s="1" t="s">
        <v>3</v>
      </c>
      <c r="G3" s="1" t="s">
        <v>64</v>
      </c>
      <c r="H3" s="1" t="s">
        <v>65</v>
      </c>
      <c r="I3" s="1" t="s">
        <v>66</v>
      </c>
    </row>
    <row r="4" spans="1:9" ht="30" x14ac:dyDescent="0.25">
      <c r="A4" s="3" t="s">
        <v>67</v>
      </c>
      <c r="B4" s="4" t="s">
        <v>891</v>
      </c>
      <c r="C4" s="4" t="s">
        <v>69</v>
      </c>
      <c r="D4" s="4" t="s">
        <v>70</v>
      </c>
      <c r="E4" s="4" t="s">
        <v>71</v>
      </c>
      <c r="F4" s="4" t="s">
        <v>72</v>
      </c>
      <c r="G4" s="4" t="s">
        <v>73</v>
      </c>
      <c r="H4" s="2" t="s">
        <v>74</v>
      </c>
      <c r="I4" s="2" t="s">
        <v>75</v>
      </c>
    </row>
    <row r="5" spans="1:9" ht="30" x14ac:dyDescent="0.25">
      <c r="A5" s="3" t="s">
        <v>76</v>
      </c>
      <c r="B5" s="4" t="s">
        <v>77</v>
      </c>
      <c r="C5" s="4" t="s">
        <v>78</v>
      </c>
      <c r="D5" s="4" t="s">
        <v>79</v>
      </c>
      <c r="E5" s="4" t="s">
        <v>71</v>
      </c>
      <c r="F5" s="4" t="s">
        <v>72</v>
      </c>
      <c r="G5" s="4" t="s">
        <v>80</v>
      </c>
      <c r="H5" s="2" t="s">
        <v>74</v>
      </c>
      <c r="I5" s="2" t="s">
        <v>81</v>
      </c>
    </row>
    <row r="6" spans="1:9" ht="30" x14ac:dyDescent="0.25">
      <c r="A6" s="3" t="s">
        <v>82</v>
      </c>
      <c r="B6" s="4" t="s">
        <v>83</v>
      </c>
      <c r="C6" s="4" t="s">
        <v>84</v>
      </c>
      <c r="D6" s="4" t="s">
        <v>79</v>
      </c>
      <c r="E6" s="4" t="s">
        <v>71</v>
      </c>
      <c r="F6" s="4" t="s">
        <v>72</v>
      </c>
      <c r="G6" s="4" t="s">
        <v>85</v>
      </c>
      <c r="H6" s="2" t="s">
        <v>74</v>
      </c>
      <c r="I6" s="2" t="s">
        <v>86</v>
      </c>
    </row>
    <row r="7" spans="1:9" ht="30" x14ac:dyDescent="0.25">
      <c r="A7" s="3" t="s">
        <v>87</v>
      </c>
      <c r="B7" s="4" t="s">
        <v>890</v>
      </c>
      <c r="C7" s="4" t="s">
        <v>89</v>
      </c>
      <c r="D7" s="4" t="s">
        <v>90</v>
      </c>
      <c r="E7" s="4" t="s">
        <v>71</v>
      </c>
      <c r="F7" s="4" t="s">
        <v>72</v>
      </c>
      <c r="G7" s="4" t="s">
        <v>91</v>
      </c>
      <c r="H7" s="2" t="s">
        <v>74</v>
      </c>
      <c r="I7" s="2" t="s">
        <v>92</v>
      </c>
    </row>
    <row r="8" spans="1:9" ht="30" x14ac:dyDescent="0.25">
      <c r="A8" s="3" t="s">
        <v>93</v>
      </c>
      <c r="B8" s="4" t="s">
        <v>889</v>
      </c>
      <c r="C8" s="4" t="s">
        <v>95</v>
      </c>
      <c r="D8" s="4" t="s">
        <v>96</v>
      </c>
      <c r="E8" s="4" t="s">
        <v>71</v>
      </c>
      <c r="F8" s="4" t="s">
        <v>72</v>
      </c>
      <c r="G8" s="4" t="s">
        <v>97</v>
      </c>
      <c r="H8" s="2" t="s">
        <v>74</v>
      </c>
      <c r="I8" s="2" t="s">
        <v>98</v>
      </c>
    </row>
    <row r="9" spans="1:9" x14ac:dyDescent="0.25">
      <c r="A9" s="3" t="s">
        <v>99</v>
      </c>
      <c r="B9" s="4" t="s">
        <v>888</v>
      </c>
      <c r="C9" s="4" t="s">
        <v>89</v>
      </c>
      <c r="D9" s="4" t="s">
        <v>101</v>
      </c>
      <c r="E9" s="4" t="s">
        <v>71</v>
      </c>
      <c r="F9" s="4" t="s">
        <v>72</v>
      </c>
      <c r="G9" s="4" t="s">
        <v>102</v>
      </c>
      <c r="H9" s="2" t="s">
        <v>74</v>
      </c>
      <c r="I9" s="2" t="s">
        <v>103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topLeftCell="I1" zoomScale="80" zoomScaleNormal="80" workbookViewId="0">
      <selection activeCell="J45" sqref="J45"/>
    </sheetView>
  </sheetViews>
  <sheetFormatPr defaultRowHeight="15" x14ac:dyDescent="0.25"/>
  <cols>
    <col min="1" max="2" width="12" customWidth="1"/>
    <col min="3" max="3" width="35" customWidth="1"/>
    <col min="4" max="7" width="20" customWidth="1"/>
    <col min="8" max="14" width="32" customWidth="1"/>
    <col min="15" max="18" width="18" customWidth="1"/>
  </cols>
  <sheetData>
    <row r="1" spans="1:18" ht="27" customHeight="1" x14ac:dyDescent="0.25">
      <c r="A1" s="10" t="s">
        <v>104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3" spans="1:18" x14ac:dyDescent="0.25">
      <c r="A3" s="1" t="s">
        <v>60</v>
      </c>
      <c r="B3" s="1" t="s">
        <v>105</v>
      </c>
      <c r="C3" s="1" t="s">
        <v>106</v>
      </c>
      <c r="D3" s="1" t="s">
        <v>107</v>
      </c>
      <c r="E3" s="1" t="s">
        <v>108</v>
      </c>
      <c r="F3" s="1" t="s">
        <v>109</v>
      </c>
      <c r="G3" s="1" t="s">
        <v>110</v>
      </c>
      <c r="H3" s="1" t="s">
        <v>111</v>
      </c>
      <c r="I3" s="1" t="s">
        <v>112</v>
      </c>
      <c r="J3" s="1" t="s">
        <v>113</v>
      </c>
      <c r="K3" s="1" t="s">
        <v>114</v>
      </c>
      <c r="L3" s="1" t="s">
        <v>115</v>
      </c>
      <c r="M3" s="1" t="s">
        <v>116</v>
      </c>
      <c r="N3" s="1" t="s">
        <v>117</v>
      </c>
      <c r="O3" s="1" t="s">
        <v>118</v>
      </c>
      <c r="P3" s="1" t="s">
        <v>119</v>
      </c>
      <c r="Q3" s="1" t="s">
        <v>120</v>
      </c>
      <c r="R3" s="1" t="s">
        <v>66</v>
      </c>
    </row>
    <row r="4" spans="1:18" ht="15" customHeight="1" x14ac:dyDescent="0.25">
      <c r="A4" s="3" t="s">
        <v>67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3" t="s">
        <v>126</v>
      </c>
      <c r="H4" s="2" t="s">
        <v>127</v>
      </c>
      <c r="I4" s="2" t="s">
        <v>128</v>
      </c>
      <c r="J4" s="2" t="s">
        <v>129</v>
      </c>
      <c r="K4" s="2" t="s">
        <v>130</v>
      </c>
      <c r="L4" s="2" t="s">
        <v>52</v>
      </c>
      <c r="M4" s="2" t="s">
        <v>131</v>
      </c>
      <c r="N4" s="2" t="s">
        <v>132</v>
      </c>
      <c r="O4" s="2" t="s">
        <v>36</v>
      </c>
      <c r="P4" s="6">
        <v>0.16666666666666666</v>
      </c>
      <c r="Q4" s="6">
        <v>0.125</v>
      </c>
      <c r="R4" s="2"/>
    </row>
    <row r="5" spans="1:18" ht="15" customHeight="1" x14ac:dyDescent="0.25">
      <c r="A5" s="3" t="s">
        <v>67</v>
      </c>
      <c r="B5" s="3" t="s">
        <v>133</v>
      </c>
      <c r="C5" s="3" t="s">
        <v>134</v>
      </c>
      <c r="D5" s="3" t="s">
        <v>123</v>
      </c>
      <c r="E5" s="3" t="s">
        <v>124</v>
      </c>
      <c r="F5" s="3" t="s">
        <v>125</v>
      </c>
      <c r="G5" s="3" t="s">
        <v>126</v>
      </c>
      <c r="H5" s="2" t="s">
        <v>135</v>
      </c>
      <c r="I5" s="2" t="s">
        <v>136</v>
      </c>
      <c r="J5" s="2" t="s">
        <v>137</v>
      </c>
      <c r="K5" s="2" t="s">
        <v>130</v>
      </c>
      <c r="L5" s="2" t="s">
        <v>52</v>
      </c>
      <c r="M5" s="2" t="s">
        <v>131</v>
      </c>
      <c r="N5" s="2" t="s">
        <v>132</v>
      </c>
      <c r="O5" s="2" t="s">
        <v>36</v>
      </c>
      <c r="P5" s="6">
        <v>0.16666666666666666</v>
      </c>
      <c r="Q5" s="6">
        <v>0.125</v>
      </c>
      <c r="R5" s="2"/>
    </row>
    <row r="6" spans="1:18" ht="15" customHeight="1" x14ac:dyDescent="0.25">
      <c r="A6" s="3" t="s">
        <v>67</v>
      </c>
      <c r="B6" s="3" t="s">
        <v>138</v>
      </c>
      <c r="C6" s="3" t="s">
        <v>139</v>
      </c>
      <c r="D6" s="3" t="s">
        <v>140</v>
      </c>
      <c r="E6" s="3" t="s">
        <v>141</v>
      </c>
      <c r="F6" s="3" t="s">
        <v>142</v>
      </c>
      <c r="G6" s="3" t="s">
        <v>143</v>
      </c>
      <c r="H6" s="2" t="s">
        <v>144</v>
      </c>
      <c r="I6" s="2" t="s">
        <v>145</v>
      </c>
      <c r="J6" s="2" t="s">
        <v>146</v>
      </c>
      <c r="K6" s="2" t="s">
        <v>130</v>
      </c>
      <c r="L6" s="2" t="s">
        <v>52</v>
      </c>
      <c r="M6" s="2" t="s">
        <v>131</v>
      </c>
      <c r="N6" s="2" t="s">
        <v>132</v>
      </c>
      <c r="O6" s="2" t="s">
        <v>36</v>
      </c>
      <c r="P6" s="6">
        <v>0.16666666666666666</v>
      </c>
      <c r="Q6" s="6">
        <v>0.25</v>
      </c>
      <c r="R6" s="2"/>
    </row>
    <row r="7" spans="1:18" ht="15" customHeight="1" x14ac:dyDescent="0.25">
      <c r="A7" s="3" t="s">
        <v>67</v>
      </c>
      <c r="B7" s="3" t="s">
        <v>147</v>
      </c>
      <c r="C7" s="3" t="s">
        <v>148</v>
      </c>
      <c r="D7" s="3" t="s">
        <v>123</v>
      </c>
      <c r="E7" s="3" t="s">
        <v>141</v>
      </c>
      <c r="F7" s="3" t="s">
        <v>149</v>
      </c>
      <c r="G7" s="3" t="s">
        <v>150</v>
      </c>
      <c r="H7" s="2" t="s">
        <v>151</v>
      </c>
      <c r="I7" s="2" t="s">
        <v>152</v>
      </c>
      <c r="J7" s="2" t="s">
        <v>153</v>
      </c>
      <c r="K7" s="2" t="s">
        <v>154</v>
      </c>
      <c r="L7" s="2" t="s">
        <v>52</v>
      </c>
      <c r="M7" s="2" t="s">
        <v>155</v>
      </c>
      <c r="N7" s="2" t="s">
        <v>132</v>
      </c>
      <c r="O7" s="2" t="s">
        <v>36</v>
      </c>
      <c r="P7" s="6">
        <v>0.16666666666666666</v>
      </c>
      <c r="Q7" s="6">
        <v>0.25</v>
      </c>
      <c r="R7" s="2"/>
    </row>
    <row r="8" spans="1:18" ht="15" customHeight="1" x14ac:dyDescent="0.25">
      <c r="A8" s="3" t="s">
        <v>67</v>
      </c>
      <c r="B8" s="3" t="s">
        <v>156</v>
      </c>
      <c r="C8" s="3" t="s">
        <v>157</v>
      </c>
      <c r="D8" s="3" t="s">
        <v>123</v>
      </c>
      <c r="E8" s="3" t="s">
        <v>124</v>
      </c>
      <c r="F8" s="3" t="s">
        <v>158</v>
      </c>
      <c r="G8" s="3" t="s">
        <v>159</v>
      </c>
      <c r="H8" s="2" t="s">
        <v>160</v>
      </c>
      <c r="I8" s="2" t="s">
        <v>161</v>
      </c>
      <c r="J8" s="2" t="s">
        <v>162</v>
      </c>
      <c r="K8" s="2" t="s">
        <v>154</v>
      </c>
      <c r="L8" s="2" t="s">
        <v>52</v>
      </c>
      <c r="M8" s="2" t="s">
        <v>163</v>
      </c>
      <c r="N8" s="2" t="s">
        <v>132</v>
      </c>
      <c r="O8" s="2" t="s">
        <v>36</v>
      </c>
      <c r="P8" s="6">
        <v>0.16666666666666666</v>
      </c>
      <c r="Q8" s="6">
        <v>0.125</v>
      </c>
      <c r="R8" s="2" t="s">
        <v>164</v>
      </c>
    </row>
    <row r="9" spans="1:18" ht="15" customHeight="1" x14ac:dyDescent="0.25">
      <c r="A9" s="3" t="s">
        <v>67</v>
      </c>
      <c r="B9" s="3" t="s">
        <v>165</v>
      </c>
      <c r="C9" s="3" t="s">
        <v>166</v>
      </c>
      <c r="D9" s="3" t="s">
        <v>123</v>
      </c>
      <c r="E9" s="3" t="s">
        <v>141</v>
      </c>
      <c r="F9" s="3" t="s">
        <v>142</v>
      </c>
      <c r="G9" s="3" t="s">
        <v>159</v>
      </c>
      <c r="H9" s="2" t="s">
        <v>167</v>
      </c>
      <c r="I9" s="2" t="s">
        <v>168</v>
      </c>
      <c r="J9" s="2" t="s">
        <v>169</v>
      </c>
      <c r="K9" s="2" t="s">
        <v>154</v>
      </c>
      <c r="L9" s="2" t="s">
        <v>52</v>
      </c>
      <c r="M9" s="2" t="s">
        <v>170</v>
      </c>
      <c r="N9" s="2" t="s">
        <v>132</v>
      </c>
      <c r="O9" s="2" t="s">
        <v>36</v>
      </c>
      <c r="P9" s="6">
        <v>0.16666666666666666</v>
      </c>
      <c r="Q9" s="6">
        <v>0.125</v>
      </c>
      <c r="R9" s="2" t="s">
        <v>164</v>
      </c>
    </row>
    <row r="10" spans="1:18" ht="15" customHeight="1" x14ac:dyDescent="0.25">
      <c r="A10" s="3" t="s">
        <v>76</v>
      </c>
      <c r="B10" s="3" t="s">
        <v>171</v>
      </c>
      <c r="C10" s="3" t="s">
        <v>172</v>
      </c>
      <c r="D10" s="3" t="s">
        <v>123</v>
      </c>
      <c r="E10" s="3" t="s">
        <v>124</v>
      </c>
      <c r="F10" s="3" t="s">
        <v>125</v>
      </c>
      <c r="G10" s="3" t="s">
        <v>173</v>
      </c>
      <c r="H10" s="2" t="s">
        <v>174</v>
      </c>
      <c r="I10" s="2" t="s">
        <v>175</v>
      </c>
      <c r="J10" s="2" t="s">
        <v>176</v>
      </c>
      <c r="K10" s="2" t="s">
        <v>177</v>
      </c>
      <c r="L10" s="2" t="s">
        <v>36</v>
      </c>
      <c r="M10" s="2" t="s">
        <v>178</v>
      </c>
      <c r="N10" s="2" t="s">
        <v>132</v>
      </c>
      <c r="O10" s="2" t="s">
        <v>36</v>
      </c>
      <c r="P10" s="6">
        <v>0.2</v>
      </c>
      <c r="Q10" s="6">
        <v>0.125</v>
      </c>
      <c r="R10" s="2"/>
    </row>
    <row r="11" spans="1:18" ht="15" customHeight="1" x14ac:dyDescent="0.25">
      <c r="A11" s="3" t="s">
        <v>76</v>
      </c>
      <c r="B11" s="3" t="s">
        <v>179</v>
      </c>
      <c r="C11" s="3" t="s">
        <v>180</v>
      </c>
      <c r="D11" s="3" t="s">
        <v>123</v>
      </c>
      <c r="E11" s="3" t="s">
        <v>124</v>
      </c>
      <c r="F11" s="3" t="s">
        <v>125</v>
      </c>
      <c r="G11" s="3" t="s">
        <v>173</v>
      </c>
      <c r="H11" s="2" t="s">
        <v>181</v>
      </c>
      <c r="I11" s="2" t="s">
        <v>182</v>
      </c>
      <c r="J11" s="2" t="s">
        <v>183</v>
      </c>
      <c r="K11" s="2" t="s">
        <v>177</v>
      </c>
      <c r="L11" s="2" t="s">
        <v>36</v>
      </c>
      <c r="M11" s="2" t="s">
        <v>178</v>
      </c>
      <c r="N11" s="2" t="s">
        <v>132</v>
      </c>
      <c r="O11" s="2" t="s">
        <v>36</v>
      </c>
      <c r="P11" s="6">
        <v>0.2</v>
      </c>
      <c r="Q11" s="6">
        <v>0.125</v>
      </c>
      <c r="R11" s="2"/>
    </row>
    <row r="12" spans="1:18" ht="15" customHeight="1" x14ac:dyDescent="0.25">
      <c r="A12" s="3" t="s">
        <v>76</v>
      </c>
      <c r="B12" s="3" t="s">
        <v>184</v>
      </c>
      <c r="C12" s="3" t="s">
        <v>185</v>
      </c>
      <c r="D12" s="3" t="s">
        <v>123</v>
      </c>
      <c r="E12" s="3" t="s">
        <v>124</v>
      </c>
      <c r="F12" s="3" t="s">
        <v>125</v>
      </c>
      <c r="G12" s="3" t="s">
        <v>186</v>
      </c>
      <c r="H12" s="2" t="s">
        <v>187</v>
      </c>
      <c r="I12" s="2" t="s">
        <v>188</v>
      </c>
      <c r="J12" s="2" t="s">
        <v>189</v>
      </c>
      <c r="K12" s="2" t="s">
        <v>177</v>
      </c>
      <c r="L12" s="2" t="s">
        <v>36</v>
      </c>
      <c r="M12" s="2" t="s">
        <v>178</v>
      </c>
      <c r="N12" s="2" t="s">
        <v>132</v>
      </c>
      <c r="O12" s="2" t="s">
        <v>36</v>
      </c>
      <c r="P12" s="6">
        <v>0.2</v>
      </c>
      <c r="Q12" s="6">
        <v>0.25</v>
      </c>
      <c r="R12" s="2"/>
    </row>
    <row r="13" spans="1:18" ht="15" customHeight="1" x14ac:dyDescent="0.25">
      <c r="A13" s="3" t="s">
        <v>76</v>
      </c>
      <c r="B13" s="3" t="s">
        <v>190</v>
      </c>
      <c r="C13" s="3" t="s">
        <v>191</v>
      </c>
      <c r="D13" s="3" t="s">
        <v>123</v>
      </c>
      <c r="E13" s="3" t="s">
        <v>124</v>
      </c>
      <c r="F13" s="3" t="s">
        <v>125</v>
      </c>
      <c r="G13" s="3" t="s">
        <v>192</v>
      </c>
      <c r="H13" s="2" t="s">
        <v>193</v>
      </c>
      <c r="I13" s="2" t="s">
        <v>194</v>
      </c>
      <c r="J13" s="2" t="s">
        <v>195</v>
      </c>
      <c r="K13" s="2" t="s">
        <v>177</v>
      </c>
      <c r="L13" s="2" t="s">
        <v>36</v>
      </c>
      <c r="M13" s="2" t="s">
        <v>178</v>
      </c>
      <c r="N13" s="2" t="s">
        <v>132</v>
      </c>
      <c r="O13" s="2" t="s">
        <v>36</v>
      </c>
      <c r="P13" s="6">
        <v>0.2</v>
      </c>
      <c r="Q13" s="6">
        <v>0.25</v>
      </c>
      <c r="R13" s="2"/>
    </row>
    <row r="14" spans="1:18" ht="15" customHeight="1" x14ac:dyDescent="0.25">
      <c r="A14" s="3" t="s">
        <v>76</v>
      </c>
      <c r="B14" s="3" t="s">
        <v>196</v>
      </c>
      <c r="C14" s="3" t="s">
        <v>197</v>
      </c>
      <c r="D14" s="3" t="s">
        <v>123</v>
      </c>
      <c r="E14" s="3" t="s">
        <v>141</v>
      </c>
      <c r="F14" s="3" t="s">
        <v>125</v>
      </c>
      <c r="G14" s="3" t="s">
        <v>198</v>
      </c>
      <c r="H14" s="2" t="s">
        <v>199</v>
      </c>
      <c r="I14" s="2" t="s">
        <v>200</v>
      </c>
      <c r="J14" s="2" t="s">
        <v>201</v>
      </c>
      <c r="K14" s="2" t="s">
        <v>177</v>
      </c>
      <c r="L14" s="2" t="s">
        <v>36</v>
      </c>
      <c r="M14" s="2" t="s">
        <v>178</v>
      </c>
      <c r="N14" s="2" t="s">
        <v>132</v>
      </c>
      <c r="O14" s="2" t="s">
        <v>36</v>
      </c>
      <c r="P14" s="6">
        <v>0.2</v>
      </c>
      <c r="Q14" s="6">
        <v>0.25</v>
      </c>
      <c r="R14" s="2"/>
    </row>
    <row r="15" spans="1:18" ht="15" customHeight="1" x14ac:dyDescent="0.25">
      <c r="A15" s="3" t="s">
        <v>82</v>
      </c>
      <c r="B15" s="3" t="s">
        <v>202</v>
      </c>
      <c r="C15" s="3" t="s">
        <v>203</v>
      </c>
      <c r="D15" s="3" t="s">
        <v>123</v>
      </c>
      <c r="E15" s="3" t="s">
        <v>124</v>
      </c>
      <c r="F15" s="3" t="s">
        <v>125</v>
      </c>
      <c r="G15" s="3" t="s">
        <v>204</v>
      </c>
      <c r="H15" s="2" t="s">
        <v>205</v>
      </c>
      <c r="I15" s="2" t="s">
        <v>206</v>
      </c>
      <c r="J15" s="2" t="s">
        <v>207</v>
      </c>
      <c r="K15" s="2" t="s">
        <v>208</v>
      </c>
      <c r="L15" s="2" t="s">
        <v>36</v>
      </c>
      <c r="M15" s="2" t="s">
        <v>178</v>
      </c>
      <c r="N15" s="2" t="s">
        <v>132</v>
      </c>
      <c r="O15" s="2" t="s">
        <v>36</v>
      </c>
      <c r="P15" s="6">
        <v>0.2</v>
      </c>
      <c r="Q15" s="6">
        <v>0.25</v>
      </c>
      <c r="R15" s="2" t="s">
        <v>209</v>
      </c>
    </row>
    <row r="16" spans="1:18" ht="15" customHeight="1" x14ac:dyDescent="0.25">
      <c r="A16" s="3" t="s">
        <v>82</v>
      </c>
      <c r="B16" s="3" t="s">
        <v>210</v>
      </c>
      <c r="C16" s="3" t="s">
        <v>211</v>
      </c>
      <c r="D16" s="3" t="s">
        <v>123</v>
      </c>
      <c r="E16" s="3" t="s">
        <v>124</v>
      </c>
      <c r="F16" s="3" t="s">
        <v>125</v>
      </c>
      <c r="G16" s="3" t="s">
        <v>204</v>
      </c>
      <c r="H16" s="2" t="s">
        <v>212</v>
      </c>
      <c r="I16" s="2" t="s">
        <v>213</v>
      </c>
      <c r="J16" s="2" t="s">
        <v>214</v>
      </c>
      <c r="K16" s="2" t="s">
        <v>208</v>
      </c>
      <c r="L16" s="2" t="s">
        <v>36</v>
      </c>
      <c r="M16" s="2" t="s">
        <v>178</v>
      </c>
      <c r="N16" s="2" t="s">
        <v>132</v>
      </c>
      <c r="O16" s="2" t="s">
        <v>36</v>
      </c>
      <c r="P16" s="6">
        <v>0.2</v>
      </c>
      <c r="Q16" s="6">
        <v>0.25</v>
      </c>
      <c r="R16" s="2" t="s">
        <v>209</v>
      </c>
    </row>
    <row r="17" spans="1:18" ht="15" customHeight="1" x14ac:dyDescent="0.25">
      <c r="A17" s="3" t="s">
        <v>82</v>
      </c>
      <c r="B17" s="3" t="s">
        <v>215</v>
      </c>
      <c r="C17" s="3" t="s">
        <v>216</v>
      </c>
      <c r="D17" s="3" t="s">
        <v>217</v>
      </c>
      <c r="E17" s="3" t="s">
        <v>141</v>
      </c>
      <c r="F17" s="3" t="s">
        <v>125</v>
      </c>
      <c r="G17" s="3" t="s">
        <v>218</v>
      </c>
      <c r="H17" s="2" t="s">
        <v>219</v>
      </c>
      <c r="I17" s="2" t="s">
        <v>220</v>
      </c>
      <c r="J17" s="2" t="s">
        <v>221</v>
      </c>
      <c r="K17" s="2" t="s">
        <v>208</v>
      </c>
      <c r="L17" s="2" t="s">
        <v>36</v>
      </c>
      <c r="M17" s="2" t="s">
        <v>178</v>
      </c>
      <c r="N17" s="2" t="s">
        <v>132</v>
      </c>
      <c r="O17" s="2" t="s">
        <v>36</v>
      </c>
      <c r="P17" s="6">
        <v>0.2</v>
      </c>
      <c r="Q17" s="6">
        <v>0.16666666666666666</v>
      </c>
      <c r="R17" s="2" t="s">
        <v>209</v>
      </c>
    </row>
    <row r="18" spans="1:18" ht="15" customHeight="1" x14ac:dyDescent="0.25">
      <c r="A18" s="3" t="s">
        <v>82</v>
      </c>
      <c r="B18" s="3" t="s">
        <v>222</v>
      </c>
      <c r="C18" s="3" t="s">
        <v>223</v>
      </c>
      <c r="D18" s="3" t="s">
        <v>123</v>
      </c>
      <c r="E18" s="3" t="s">
        <v>141</v>
      </c>
      <c r="F18" s="3" t="s">
        <v>125</v>
      </c>
      <c r="G18" s="3" t="s">
        <v>218</v>
      </c>
      <c r="H18" s="2" t="s">
        <v>224</v>
      </c>
      <c r="I18" s="2" t="s">
        <v>225</v>
      </c>
      <c r="J18" s="2" t="s">
        <v>226</v>
      </c>
      <c r="K18" s="2" t="s">
        <v>208</v>
      </c>
      <c r="L18" s="2" t="s">
        <v>36</v>
      </c>
      <c r="M18" s="2" t="s">
        <v>178</v>
      </c>
      <c r="N18" s="2" t="s">
        <v>132</v>
      </c>
      <c r="O18" s="2" t="s">
        <v>36</v>
      </c>
      <c r="P18" s="6">
        <v>0.2</v>
      </c>
      <c r="Q18" s="6">
        <v>0.16666666666666666</v>
      </c>
      <c r="R18" s="2" t="s">
        <v>209</v>
      </c>
    </row>
    <row r="19" spans="1:18" ht="15" customHeight="1" x14ac:dyDescent="0.25">
      <c r="A19" s="3" t="s">
        <v>82</v>
      </c>
      <c r="B19" s="3" t="s">
        <v>227</v>
      </c>
      <c r="C19" s="3" t="s">
        <v>228</v>
      </c>
      <c r="D19" s="3" t="s">
        <v>123</v>
      </c>
      <c r="E19" s="3" t="s">
        <v>141</v>
      </c>
      <c r="F19" s="3" t="s">
        <v>125</v>
      </c>
      <c r="G19" s="3" t="s">
        <v>218</v>
      </c>
      <c r="H19" s="2" t="s">
        <v>229</v>
      </c>
      <c r="I19" s="2" t="s">
        <v>230</v>
      </c>
      <c r="J19" s="2" t="s">
        <v>231</v>
      </c>
      <c r="K19" s="2" t="s">
        <v>208</v>
      </c>
      <c r="L19" s="2" t="s">
        <v>36</v>
      </c>
      <c r="M19" s="2" t="s">
        <v>178</v>
      </c>
      <c r="N19" s="2" t="s">
        <v>132</v>
      </c>
      <c r="O19" s="2" t="s">
        <v>36</v>
      </c>
      <c r="P19" s="6">
        <v>0.2</v>
      </c>
      <c r="Q19" s="6">
        <v>0.16666666666666666</v>
      </c>
      <c r="R19" s="2" t="s">
        <v>209</v>
      </c>
    </row>
    <row r="20" spans="1:18" ht="15" customHeight="1" x14ac:dyDescent="0.25">
      <c r="A20" s="3" t="s">
        <v>87</v>
      </c>
      <c r="B20" s="3" t="s">
        <v>232</v>
      </c>
      <c r="C20" s="3" t="s">
        <v>233</v>
      </c>
      <c r="D20" s="3" t="s">
        <v>234</v>
      </c>
      <c r="E20" s="3" t="s">
        <v>141</v>
      </c>
      <c r="F20" s="3" t="s">
        <v>125</v>
      </c>
      <c r="G20" s="3" t="s">
        <v>235</v>
      </c>
      <c r="H20" s="2" t="s">
        <v>236</v>
      </c>
      <c r="I20" s="2" t="s">
        <v>237</v>
      </c>
      <c r="J20" s="2" t="s">
        <v>238</v>
      </c>
      <c r="K20" s="2" t="s">
        <v>239</v>
      </c>
      <c r="L20" s="2" t="s">
        <v>52</v>
      </c>
      <c r="M20" s="2" t="s">
        <v>240</v>
      </c>
      <c r="N20" s="2" t="s">
        <v>132</v>
      </c>
      <c r="O20" s="2" t="s">
        <v>36</v>
      </c>
      <c r="P20" s="6">
        <v>0.125</v>
      </c>
      <c r="Q20" s="6">
        <v>8.3333333333333329E-2</v>
      </c>
      <c r="R20" s="2"/>
    </row>
    <row r="21" spans="1:18" ht="15" customHeight="1" x14ac:dyDescent="0.25">
      <c r="A21" s="3" t="s">
        <v>87</v>
      </c>
      <c r="B21" s="3" t="s">
        <v>241</v>
      </c>
      <c r="C21" s="3" t="s">
        <v>242</v>
      </c>
      <c r="D21" s="3" t="s">
        <v>243</v>
      </c>
      <c r="E21" s="3" t="s">
        <v>141</v>
      </c>
      <c r="F21" s="3" t="s">
        <v>125</v>
      </c>
      <c r="G21" s="3" t="s">
        <v>235</v>
      </c>
      <c r="H21" s="2" t="s">
        <v>244</v>
      </c>
      <c r="I21" s="2" t="s">
        <v>245</v>
      </c>
      <c r="J21" s="2" t="s">
        <v>246</v>
      </c>
      <c r="K21" s="2" t="s">
        <v>239</v>
      </c>
      <c r="L21" s="2" t="s">
        <v>52</v>
      </c>
      <c r="M21" s="2" t="s">
        <v>240</v>
      </c>
      <c r="N21" s="2" t="s">
        <v>132</v>
      </c>
      <c r="O21" s="2" t="s">
        <v>36</v>
      </c>
      <c r="P21" s="6">
        <v>0.125</v>
      </c>
      <c r="Q21" s="6">
        <v>8.3333333333333329E-2</v>
      </c>
      <c r="R21" s="2"/>
    </row>
    <row r="22" spans="1:18" ht="15" customHeight="1" x14ac:dyDescent="0.25">
      <c r="A22" s="3" t="s">
        <v>87</v>
      </c>
      <c r="B22" s="3" t="s">
        <v>247</v>
      </c>
      <c r="C22" s="3" t="s">
        <v>248</v>
      </c>
      <c r="D22" s="3" t="s">
        <v>243</v>
      </c>
      <c r="E22" s="3" t="s">
        <v>141</v>
      </c>
      <c r="F22" s="3" t="s">
        <v>125</v>
      </c>
      <c r="G22" s="3" t="s">
        <v>235</v>
      </c>
      <c r="H22" s="2" t="s">
        <v>249</v>
      </c>
      <c r="I22" s="2" t="s">
        <v>250</v>
      </c>
      <c r="J22" s="2" t="s">
        <v>251</v>
      </c>
      <c r="K22" s="2" t="s">
        <v>239</v>
      </c>
      <c r="L22" s="2" t="s">
        <v>52</v>
      </c>
      <c r="M22" s="2" t="s">
        <v>240</v>
      </c>
      <c r="N22" s="2" t="s">
        <v>132</v>
      </c>
      <c r="O22" s="2" t="s">
        <v>36</v>
      </c>
      <c r="P22" s="6">
        <v>0.125</v>
      </c>
      <c r="Q22" s="6">
        <v>8.3333333333333329E-2</v>
      </c>
      <c r="R22" s="2" t="s">
        <v>252</v>
      </c>
    </row>
    <row r="23" spans="1:18" ht="15" customHeight="1" x14ac:dyDescent="0.25">
      <c r="A23" s="3" t="s">
        <v>87</v>
      </c>
      <c r="B23" s="3" t="s">
        <v>253</v>
      </c>
      <c r="C23" s="3" t="s">
        <v>254</v>
      </c>
      <c r="D23" s="3" t="s">
        <v>255</v>
      </c>
      <c r="E23" s="3" t="s">
        <v>141</v>
      </c>
      <c r="F23" s="3" t="s">
        <v>149</v>
      </c>
      <c r="G23" s="3" t="s">
        <v>256</v>
      </c>
      <c r="H23" s="2" t="s">
        <v>257</v>
      </c>
      <c r="I23" s="2" t="s">
        <v>258</v>
      </c>
      <c r="J23" s="2" t="s">
        <v>259</v>
      </c>
      <c r="K23" s="2" t="s">
        <v>260</v>
      </c>
      <c r="L23" s="2" t="s">
        <v>52</v>
      </c>
      <c r="M23" s="2" t="s">
        <v>6</v>
      </c>
      <c r="N23" s="2" t="s">
        <v>132</v>
      </c>
      <c r="O23" s="2" t="s">
        <v>36</v>
      </c>
      <c r="P23" s="6">
        <v>0.125</v>
      </c>
      <c r="Q23" s="6">
        <v>8.3333333333333329E-2</v>
      </c>
      <c r="R23" s="2"/>
    </row>
    <row r="24" spans="1:18" ht="15" customHeight="1" x14ac:dyDescent="0.25">
      <c r="A24" s="3" t="s">
        <v>87</v>
      </c>
      <c r="B24" s="3" t="s">
        <v>261</v>
      </c>
      <c r="C24" s="3" t="s">
        <v>262</v>
      </c>
      <c r="D24" s="3" t="s">
        <v>263</v>
      </c>
      <c r="E24" s="3" t="s">
        <v>141</v>
      </c>
      <c r="F24" s="3" t="s">
        <v>149</v>
      </c>
      <c r="G24" s="3" t="s">
        <v>256</v>
      </c>
      <c r="H24" s="2" t="s">
        <v>264</v>
      </c>
      <c r="I24" s="2" t="s">
        <v>265</v>
      </c>
      <c r="J24" s="2" t="s">
        <v>266</v>
      </c>
      <c r="K24" s="2" t="s">
        <v>260</v>
      </c>
      <c r="L24" s="2" t="s">
        <v>52</v>
      </c>
      <c r="M24" s="2" t="s">
        <v>6</v>
      </c>
      <c r="N24" s="2" t="s">
        <v>132</v>
      </c>
      <c r="O24" s="2" t="s">
        <v>36</v>
      </c>
      <c r="P24" s="6">
        <v>0.125</v>
      </c>
      <c r="Q24" s="6">
        <v>8.3333333333333329E-2</v>
      </c>
      <c r="R24" s="2"/>
    </row>
    <row r="25" spans="1:18" ht="15" customHeight="1" x14ac:dyDescent="0.25">
      <c r="A25" s="3" t="s">
        <v>87</v>
      </c>
      <c r="B25" s="3" t="s">
        <v>267</v>
      </c>
      <c r="C25" s="3" t="s">
        <v>268</v>
      </c>
      <c r="D25" s="3" t="s">
        <v>263</v>
      </c>
      <c r="E25" s="3" t="s">
        <v>141</v>
      </c>
      <c r="F25" s="3" t="s">
        <v>149</v>
      </c>
      <c r="G25" s="3" t="s">
        <v>256</v>
      </c>
      <c r="H25" s="2" t="s">
        <v>269</v>
      </c>
      <c r="I25" s="2" t="s">
        <v>270</v>
      </c>
      <c r="J25" s="2" t="s">
        <v>271</v>
      </c>
      <c r="K25" s="2" t="s">
        <v>260</v>
      </c>
      <c r="L25" s="2" t="s">
        <v>52</v>
      </c>
      <c r="M25" s="2" t="s">
        <v>6</v>
      </c>
      <c r="N25" s="2" t="s">
        <v>132</v>
      </c>
      <c r="O25" s="2" t="s">
        <v>36</v>
      </c>
      <c r="P25" s="6">
        <v>0.125</v>
      </c>
      <c r="Q25" s="6">
        <v>8.3333333333333329E-2</v>
      </c>
      <c r="R25" s="2" t="s">
        <v>252</v>
      </c>
    </row>
    <row r="26" spans="1:18" ht="15" customHeight="1" x14ac:dyDescent="0.25">
      <c r="A26" s="3" t="s">
        <v>87</v>
      </c>
      <c r="B26" s="3" t="s">
        <v>272</v>
      </c>
      <c r="C26" s="3" t="s">
        <v>273</v>
      </c>
      <c r="D26" s="3" t="s">
        <v>123</v>
      </c>
      <c r="E26" s="3" t="s">
        <v>124</v>
      </c>
      <c r="F26" s="3" t="s">
        <v>274</v>
      </c>
      <c r="G26" s="3" t="s">
        <v>275</v>
      </c>
      <c r="H26" s="2" t="s">
        <v>276</v>
      </c>
      <c r="I26" s="2" t="s">
        <v>277</v>
      </c>
      <c r="J26" s="2" t="s">
        <v>278</v>
      </c>
      <c r="K26" s="2" t="s">
        <v>279</v>
      </c>
      <c r="L26" s="2" t="s">
        <v>52</v>
      </c>
      <c r="M26" s="2" t="s">
        <v>280</v>
      </c>
      <c r="N26" s="2" t="s">
        <v>132</v>
      </c>
      <c r="O26" s="2" t="s">
        <v>36</v>
      </c>
      <c r="P26" s="6">
        <v>0.125</v>
      </c>
      <c r="Q26" s="6">
        <v>0.25</v>
      </c>
      <c r="R26" s="2"/>
    </row>
    <row r="27" spans="1:18" ht="15" customHeight="1" x14ac:dyDescent="0.25">
      <c r="A27" s="3" t="s">
        <v>87</v>
      </c>
      <c r="B27" s="3" t="s">
        <v>281</v>
      </c>
      <c r="C27" s="3" t="s">
        <v>282</v>
      </c>
      <c r="D27" s="3" t="s">
        <v>123</v>
      </c>
      <c r="E27" s="3" t="s">
        <v>124</v>
      </c>
      <c r="F27" s="3" t="s">
        <v>274</v>
      </c>
      <c r="G27" s="3" t="s">
        <v>283</v>
      </c>
      <c r="H27" s="2" t="s">
        <v>284</v>
      </c>
      <c r="I27" s="2" t="s">
        <v>285</v>
      </c>
      <c r="J27" s="2" t="s">
        <v>286</v>
      </c>
      <c r="K27" s="2" t="s">
        <v>260</v>
      </c>
      <c r="L27" s="2" t="s">
        <v>52</v>
      </c>
      <c r="M27" s="2" t="s">
        <v>6</v>
      </c>
      <c r="N27" s="2" t="s">
        <v>132</v>
      </c>
      <c r="O27" s="2" t="s">
        <v>36</v>
      </c>
      <c r="P27" s="6">
        <v>0.125</v>
      </c>
      <c r="Q27" s="6">
        <v>0.25</v>
      </c>
      <c r="R27" s="2"/>
    </row>
    <row r="28" spans="1:18" ht="15" customHeight="1" x14ac:dyDescent="0.25">
      <c r="A28" s="3" t="s">
        <v>93</v>
      </c>
      <c r="B28" s="3" t="s">
        <v>287</v>
      </c>
      <c r="C28" s="3" t="s">
        <v>288</v>
      </c>
      <c r="D28" s="3" t="s">
        <v>289</v>
      </c>
      <c r="E28" s="3" t="s">
        <v>141</v>
      </c>
      <c r="F28" s="3" t="s">
        <v>142</v>
      </c>
      <c r="G28" s="3" t="s">
        <v>290</v>
      </c>
      <c r="H28" s="2" t="s">
        <v>291</v>
      </c>
      <c r="I28" s="2" t="s">
        <v>292</v>
      </c>
      <c r="J28" s="2" t="s">
        <v>293</v>
      </c>
      <c r="K28" s="2" t="s">
        <v>208</v>
      </c>
      <c r="L28" s="2" t="s">
        <v>36</v>
      </c>
      <c r="M28" s="2" t="s">
        <v>178</v>
      </c>
      <c r="N28" s="2" t="s">
        <v>132</v>
      </c>
      <c r="O28" s="2" t="s">
        <v>36</v>
      </c>
      <c r="P28" s="6">
        <v>0.1</v>
      </c>
      <c r="Q28" s="6">
        <v>8.3333333333333329E-2</v>
      </c>
      <c r="R28" s="2"/>
    </row>
    <row r="29" spans="1:18" ht="15" customHeight="1" x14ac:dyDescent="0.25">
      <c r="A29" s="3" t="s">
        <v>93</v>
      </c>
      <c r="B29" s="3" t="s">
        <v>294</v>
      </c>
      <c r="C29" s="3" t="s">
        <v>295</v>
      </c>
      <c r="D29" s="3" t="s">
        <v>123</v>
      </c>
      <c r="E29" s="3" t="s">
        <v>141</v>
      </c>
      <c r="F29" s="3" t="s">
        <v>142</v>
      </c>
      <c r="G29" s="3" t="s">
        <v>290</v>
      </c>
      <c r="H29" s="2" t="s">
        <v>296</v>
      </c>
      <c r="I29" s="2" t="s">
        <v>297</v>
      </c>
      <c r="J29" s="2" t="s">
        <v>298</v>
      </c>
      <c r="K29" s="2" t="s">
        <v>208</v>
      </c>
      <c r="L29" s="2" t="s">
        <v>36</v>
      </c>
      <c r="M29" s="2" t="s">
        <v>178</v>
      </c>
      <c r="N29" s="2" t="s">
        <v>132</v>
      </c>
      <c r="O29" s="2" t="s">
        <v>36</v>
      </c>
      <c r="P29" s="6">
        <v>0.1</v>
      </c>
      <c r="Q29" s="6">
        <v>8.3333333333333329E-2</v>
      </c>
      <c r="R29" s="2"/>
    </row>
    <row r="30" spans="1:18" ht="15" customHeight="1" x14ac:dyDescent="0.25">
      <c r="A30" s="3" t="s">
        <v>93</v>
      </c>
      <c r="B30" s="3" t="s">
        <v>299</v>
      </c>
      <c r="C30" s="3" t="s">
        <v>300</v>
      </c>
      <c r="D30" s="3" t="s">
        <v>123</v>
      </c>
      <c r="E30" s="3" t="s">
        <v>124</v>
      </c>
      <c r="F30" s="3" t="s">
        <v>274</v>
      </c>
      <c r="G30" s="3" t="s">
        <v>290</v>
      </c>
      <c r="H30" s="2" t="s">
        <v>301</v>
      </c>
      <c r="I30" s="2" t="s">
        <v>302</v>
      </c>
      <c r="J30" s="2" t="s">
        <v>303</v>
      </c>
      <c r="K30" s="2" t="s">
        <v>208</v>
      </c>
      <c r="L30" s="2" t="s">
        <v>36</v>
      </c>
      <c r="M30" s="2" t="s">
        <v>178</v>
      </c>
      <c r="N30" s="2" t="s">
        <v>132</v>
      </c>
      <c r="O30" s="2" t="s">
        <v>36</v>
      </c>
      <c r="P30" s="6">
        <v>0.1</v>
      </c>
      <c r="Q30" s="6">
        <v>8.3333333333333329E-2</v>
      </c>
      <c r="R30" s="2"/>
    </row>
    <row r="31" spans="1:18" ht="15" customHeight="1" x14ac:dyDescent="0.25">
      <c r="A31" s="3" t="s">
        <v>93</v>
      </c>
      <c r="B31" s="3" t="s">
        <v>304</v>
      </c>
      <c r="C31" s="3" t="s">
        <v>305</v>
      </c>
      <c r="D31" s="3" t="s">
        <v>123</v>
      </c>
      <c r="E31" s="3" t="s">
        <v>141</v>
      </c>
      <c r="F31" s="3" t="s">
        <v>142</v>
      </c>
      <c r="G31" s="3" t="s">
        <v>306</v>
      </c>
      <c r="H31" s="2" t="s">
        <v>307</v>
      </c>
      <c r="I31" s="2" t="s">
        <v>308</v>
      </c>
      <c r="J31" s="2" t="s">
        <v>309</v>
      </c>
      <c r="K31" s="2" t="s">
        <v>208</v>
      </c>
      <c r="L31" s="2" t="s">
        <v>310</v>
      </c>
      <c r="M31" s="2" t="s">
        <v>311</v>
      </c>
      <c r="N31" s="2" t="s">
        <v>132</v>
      </c>
      <c r="O31" s="2" t="s">
        <v>36</v>
      </c>
      <c r="P31" s="6">
        <v>0.1</v>
      </c>
      <c r="Q31" s="6">
        <v>0.125</v>
      </c>
      <c r="R31" s="2"/>
    </row>
    <row r="32" spans="1:18" ht="15" customHeight="1" x14ac:dyDescent="0.25">
      <c r="A32" s="3" t="s">
        <v>93</v>
      </c>
      <c r="B32" s="3" t="s">
        <v>312</v>
      </c>
      <c r="C32" s="3" t="s">
        <v>313</v>
      </c>
      <c r="D32" s="3" t="s">
        <v>123</v>
      </c>
      <c r="E32" s="3" t="s">
        <v>124</v>
      </c>
      <c r="F32" s="3" t="s">
        <v>274</v>
      </c>
      <c r="G32" s="3" t="s">
        <v>306</v>
      </c>
      <c r="H32" s="2" t="s">
        <v>314</v>
      </c>
      <c r="I32" s="2" t="s">
        <v>315</v>
      </c>
      <c r="J32" s="2" t="s">
        <v>316</v>
      </c>
      <c r="K32" s="2" t="s">
        <v>208</v>
      </c>
      <c r="L32" s="2" t="s">
        <v>52</v>
      </c>
      <c r="M32" s="2" t="s">
        <v>6</v>
      </c>
      <c r="N32" s="2" t="s">
        <v>132</v>
      </c>
      <c r="O32" s="2" t="s">
        <v>36</v>
      </c>
      <c r="P32" s="6">
        <v>0.1</v>
      </c>
      <c r="Q32" s="6">
        <v>0.125</v>
      </c>
      <c r="R32" s="2"/>
    </row>
    <row r="33" spans="1:18" ht="15" customHeight="1" x14ac:dyDescent="0.25">
      <c r="A33" s="3" t="s">
        <v>93</v>
      </c>
      <c r="B33" s="3" t="s">
        <v>317</v>
      </c>
      <c r="C33" s="3" t="s">
        <v>318</v>
      </c>
      <c r="D33" s="3" t="s">
        <v>123</v>
      </c>
      <c r="E33" s="3" t="s">
        <v>124</v>
      </c>
      <c r="F33" s="3" t="s">
        <v>274</v>
      </c>
      <c r="G33" s="3" t="s">
        <v>319</v>
      </c>
      <c r="H33" s="2" t="s">
        <v>320</v>
      </c>
      <c r="I33" s="2" t="s">
        <v>321</v>
      </c>
      <c r="J33" s="2" t="s">
        <v>322</v>
      </c>
      <c r="K33" s="2" t="s">
        <v>208</v>
      </c>
      <c r="L33" s="2" t="s">
        <v>52</v>
      </c>
      <c r="M33" s="2" t="s">
        <v>6</v>
      </c>
      <c r="N33" s="2" t="s">
        <v>132</v>
      </c>
      <c r="O33" s="2" t="s">
        <v>36</v>
      </c>
      <c r="P33" s="6">
        <v>0.1</v>
      </c>
      <c r="Q33" s="6">
        <v>8.3333333333333329E-2</v>
      </c>
      <c r="R33" s="2"/>
    </row>
    <row r="34" spans="1:18" ht="15" customHeight="1" x14ac:dyDescent="0.25">
      <c r="A34" s="3" t="s">
        <v>93</v>
      </c>
      <c r="B34" s="3" t="s">
        <v>323</v>
      </c>
      <c r="C34" s="3" t="s">
        <v>324</v>
      </c>
      <c r="D34" s="3" t="s">
        <v>123</v>
      </c>
      <c r="E34" s="3" t="s">
        <v>141</v>
      </c>
      <c r="F34" s="3" t="s">
        <v>149</v>
      </c>
      <c r="G34" s="3" t="s">
        <v>319</v>
      </c>
      <c r="H34" s="2" t="s">
        <v>325</v>
      </c>
      <c r="I34" s="2" t="s">
        <v>326</v>
      </c>
      <c r="J34" s="2" t="s">
        <v>327</v>
      </c>
      <c r="K34" s="2" t="s">
        <v>208</v>
      </c>
      <c r="L34" s="2" t="s">
        <v>52</v>
      </c>
      <c r="M34" s="2" t="s">
        <v>6</v>
      </c>
      <c r="N34" s="2" t="s">
        <v>132</v>
      </c>
      <c r="O34" s="2" t="s">
        <v>36</v>
      </c>
      <c r="P34" s="6">
        <v>0.1</v>
      </c>
      <c r="Q34" s="6">
        <v>8.3333333333333329E-2</v>
      </c>
      <c r="R34" s="2"/>
    </row>
    <row r="35" spans="1:18" ht="15" customHeight="1" x14ac:dyDescent="0.25">
      <c r="A35" s="3" t="s">
        <v>93</v>
      </c>
      <c r="B35" s="3" t="s">
        <v>328</v>
      </c>
      <c r="C35" s="3" t="s">
        <v>329</v>
      </c>
      <c r="D35" s="3" t="s">
        <v>289</v>
      </c>
      <c r="E35" s="3" t="s">
        <v>124</v>
      </c>
      <c r="F35" s="3" t="s">
        <v>330</v>
      </c>
      <c r="G35" s="3" t="s">
        <v>331</v>
      </c>
      <c r="H35" s="2" t="s">
        <v>332</v>
      </c>
      <c r="I35" s="2" t="s">
        <v>333</v>
      </c>
      <c r="J35" s="2" t="s">
        <v>334</v>
      </c>
      <c r="K35" s="2" t="s">
        <v>208</v>
      </c>
      <c r="L35" s="2" t="s">
        <v>52</v>
      </c>
      <c r="M35" s="2" t="s">
        <v>6</v>
      </c>
      <c r="N35" s="2" t="s">
        <v>132</v>
      </c>
      <c r="O35" s="2" t="s">
        <v>36</v>
      </c>
      <c r="P35" s="6">
        <v>0.1</v>
      </c>
      <c r="Q35" s="6">
        <v>0.125</v>
      </c>
      <c r="R35" s="2"/>
    </row>
    <row r="36" spans="1:18" ht="15" customHeight="1" x14ac:dyDescent="0.25">
      <c r="A36" s="3" t="s">
        <v>93</v>
      </c>
      <c r="B36" s="3" t="s">
        <v>335</v>
      </c>
      <c r="C36" s="3" t="s">
        <v>336</v>
      </c>
      <c r="D36" s="3" t="s">
        <v>123</v>
      </c>
      <c r="E36" s="3" t="s">
        <v>124</v>
      </c>
      <c r="F36" s="3" t="s">
        <v>158</v>
      </c>
      <c r="G36" s="3" t="s">
        <v>331</v>
      </c>
      <c r="H36" s="2" t="s">
        <v>337</v>
      </c>
      <c r="I36" s="2" t="s">
        <v>338</v>
      </c>
      <c r="J36" s="2" t="s">
        <v>339</v>
      </c>
      <c r="K36" s="2" t="s">
        <v>340</v>
      </c>
      <c r="L36" s="2" t="s">
        <v>52</v>
      </c>
      <c r="M36" s="2" t="s">
        <v>341</v>
      </c>
      <c r="N36" s="2" t="s">
        <v>132</v>
      </c>
      <c r="O36" s="2" t="s">
        <v>36</v>
      </c>
      <c r="P36" s="6">
        <v>0.1</v>
      </c>
      <c r="Q36" s="6">
        <v>0.125</v>
      </c>
      <c r="R36" s="2"/>
    </row>
    <row r="37" spans="1:18" ht="15" customHeight="1" x14ac:dyDescent="0.25">
      <c r="A37" s="3" t="s">
        <v>93</v>
      </c>
      <c r="B37" s="3" t="s">
        <v>342</v>
      </c>
      <c r="C37" s="3" t="s">
        <v>343</v>
      </c>
      <c r="D37" s="3" t="s">
        <v>123</v>
      </c>
      <c r="E37" s="3" t="s">
        <v>124</v>
      </c>
      <c r="F37" s="3" t="s">
        <v>149</v>
      </c>
      <c r="G37" s="3" t="s">
        <v>319</v>
      </c>
      <c r="H37" s="2" t="s">
        <v>344</v>
      </c>
      <c r="I37" s="2" t="s">
        <v>345</v>
      </c>
      <c r="J37" s="2" t="s">
        <v>346</v>
      </c>
      <c r="K37" s="2" t="s">
        <v>208</v>
      </c>
      <c r="L37" s="2" t="s">
        <v>52</v>
      </c>
      <c r="M37" s="2" t="s">
        <v>6</v>
      </c>
      <c r="N37" s="2" t="s">
        <v>132</v>
      </c>
      <c r="O37" s="2" t="s">
        <v>36</v>
      </c>
      <c r="P37" s="6">
        <v>0.1</v>
      </c>
      <c r="Q37" s="6">
        <v>8.3333333333333329E-2</v>
      </c>
      <c r="R37" s="2"/>
    </row>
    <row r="38" spans="1:18" ht="15" customHeight="1" x14ac:dyDescent="0.25">
      <c r="A38" s="3" t="s">
        <v>99</v>
      </c>
      <c r="B38" s="3" t="s">
        <v>347</v>
      </c>
      <c r="C38" s="3" t="s">
        <v>348</v>
      </c>
      <c r="D38" s="3" t="s">
        <v>123</v>
      </c>
      <c r="E38" s="3" t="s">
        <v>124</v>
      </c>
      <c r="F38" s="3" t="s">
        <v>349</v>
      </c>
      <c r="G38" s="3" t="s">
        <v>350</v>
      </c>
      <c r="H38" s="2" t="s">
        <v>351</v>
      </c>
      <c r="I38" s="2" t="s">
        <v>352</v>
      </c>
      <c r="J38" s="2" t="s">
        <v>353</v>
      </c>
      <c r="K38" s="2" t="s">
        <v>354</v>
      </c>
      <c r="L38" s="2" t="s">
        <v>52</v>
      </c>
      <c r="M38" s="2" t="s">
        <v>355</v>
      </c>
      <c r="N38" s="2" t="s">
        <v>132</v>
      </c>
      <c r="O38" s="2" t="s">
        <v>36</v>
      </c>
      <c r="P38" s="6">
        <v>0.25</v>
      </c>
      <c r="Q38" s="6">
        <v>0.25</v>
      </c>
      <c r="R38" s="2"/>
    </row>
    <row r="39" spans="1:18" ht="15" customHeight="1" x14ac:dyDescent="0.25">
      <c r="A39" s="3" t="s">
        <v>99</v>
      </c>
      <c r="B39" s="3" t="s">
        <v>356</v>
      </c>
      <c r="C39" s="3" t="s">
        <v>357</v>
      </c>
      <c r="D39" s="3" t="s">
        <v>123</v>
      </c>
      <c r="E39" s="3" t="s">
        <v>124</v>
      </c>
      <c r="F39" s="3" t="s">
        <v>349</v>
      </c>
      <c r="G39" s="3" t="s">
        <v>358</v>
      </c>
      <c r="H39" s="2" t="s">
        <v>359</v>
      </c>
      <c r="I39" s="2" t="s">
        <v>360</v>
      </c>
      <c r="J39" s="2" t="s">
        <v>361</v>
      </c>
      <c r="K39" s="2" t="s">
        <v>354</v>
      </c>
      <c r="L39" s="2" t="s">
        <v>52</v>
      </c>
      <c r="M39" s="2" t="s">
        <v>355</v>
      </c>
      <c r="N39" s="2" t="s">
        <v>132</v>
      </c>
      <c r="O39" s="2" t="s">
        <v>36</v>
      </c>
      <c r="P39" s="6">
        <v>0.25</v>
      </c>
      <c r="Q39" s="6">
        <v>0.25</v>
      </c>
      <c r="R39" s="2"/>
    </row>
    <row r="40" spans="1:18" ht="15" customHeight="1" x14ac:dyDescent="0.25">
      <c r="A40" s="3" t="s">
        <v>99</v>
      </c>
      <c r="B40" s="3" t="s">
        <v>362</v>
      </c>
      <c r="C40" s="3" t="s">
        <v>363</v>
      </c>
      <c r="D40" s="3" t="s">
        <v>123</v>
      </c>
      <c r="E40" s="3" t="s">
        <v>124</v>
      </c>
      <c r="F40" s="3" t="s">
        <v>349</v>
      </c>
      <c r="G40" s="3" t="s">
        <v>364</v>
      </c>
      <c r="H40" s="2" t="s">
        <v>365</v>
      </c>
      <c r="I40" s="2" t="s">
        <v>366</v>
      </c>
      <c r="J40" s="2" t="s">
        <v>367</v>
      </c>
      <c r="K40" s="2" t="s">
        <v>354</v>
      </c>
      <c r="L40" s="2" t="s">
        <v>52</v>
      </c>
      <c r="M40" s="2" t="s">
        <v>355</v>
      </c>
      <c r="N40" s="2" t="s">
        <v>132</v>
      </c>
      <c r="O40" s="2" t="s">
        <v>36</v>
      </c>
      <c r="P40" s="6">
        <v>0.25</v>
      </c>
      <c r="Q40" s="6">
        <v>0.25</v>
      </c>
      <c r="R40" s="2"/>
    </row>
    <row r="41" spans="1:18" ht="15" customHeight="1" x14ac:dyDescent="0.25">
      <c r="A41" s="3" t="s">
        <v>99</v>
      </c>
      <c r="B41" s="3" t="s">
        <v>368</v>
      </c>
      <c r="C41" s="3" t="s">
        <v>369</v>
      </c>
      <c r="D41" s="3" t="s">
        <v>123</v>
      </c>
      <c r="E41" s="3" t="s">
        <v>124</v>
      </c>
      <c r="F41" s="3" t="s">
        <v>349</v>
      </c>
      <c r="G41" s="3" t="s">
        <v>370</v>
      </c>
      <c r="H41" s="2" t="s">
        <v>371</v>
      </c>
      <c r="I41" s="2" t="s">
        <v>372</v>
      </c>
      <c r="J41" s="2" t="s">
        <v>373</v>
      </c>
      <c r="K41" s="2" t="s">
        <v>354</v>
      </c>
      <c r="L41" s="2" t="s">
        <v>52</v>
      </c>
      <c r="M41" s="2" t="s">
        <v>355</v>
      </c>
      <c r="N41" s="2" t="s">
        <v>132</v>
      </c>
      <c r="O41" s="2" t="s">
        <v>36</v>
      </c>
      <c r="P41" s="6">
        <v>0.25</v>
      </c>
      <c r="Q41" s="6">
        <v>0.25</v>
      </c>
      <c r="R41" s="2"/>
    </row>
  </sheetData>
  <mergeCells count="1">
    <mergeCell ref="A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1"/>
  <sheetViews>
    <sheetView showGridLines="0" workbookViewId="0">
      <selection activeCell="J8" sqref="J8"/>
    </sheetView>
  </sheetViews>
  <sheetFormatPr defaultRowHeight="15" x14ac:dyDescent="0.25"/>
  <cols>
    <col min="1" max="2" width="12" customWidth="1"/>
    <col min="3" max="3" width="35" customWidth="1"/>
    <col min="4" max="6" width="19" customWidth="1"/>
    <col min="7" max="13" width="15" customWidth="1"/>
    <col min="14" max="14" width="46" customWidth="1"/>
  </cols>
  <sheetData>
    <row r="1" spans="1:14" ht="27" customHeight="1" x14ac:dyDescent="0.25">
      <c r="A1" s="10" t="s">
        <v>374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3" spans="1:14" ht="30" x14ac:dyDescent="0.25">
      <c r="A3" s="1" t="s">
        <v>60</v>
      </c>
      <c r="B3" s="1" t="s">
        <v>105</v>
      </c>
      <c r="C3" s="1" t="s">
        <v>106</v>
      </c>
      <c r="D3" s="1" t="s">
        <v>107</v>
      </c>
      <c r="E3" s="1" t="s">
        <v>108</v>
      </c>
      <c r="F3" s="1" t="s">
        <v>375</v>
      </c>
      <c r="G3" s="1" t="s">
        <v>376</v>
      </c>
      <c r="H3" s="1" t="s">
        <v>377</v>
      </c>
      <c r="I3" s="1" t="s">
        <v>378</v>
      </c>
      <c r="J3" s="1" t="s">
        <v>379</v>
      </c>
      <c r="K3" s="1" t="s">
        <v>380</v>
      </c>
      <c r="L3" s="1" t="s">
        <v>381</v>
      </c>
      <c r="M3" s="1" t="s">
        <v>118</v>
      </c>
      <c r="N3" s="1" t="s">
        <v>382</v>
      </c>
    </row>
    <row r="4" spans="1:14" ht="15" customHeight="1" x14ac:dyDescent="0.25">
      <c r="A4" s="3" t="s">
        <v>67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126</v>
      </c>
      <c r="G4" s="4">
        <v>0.4</v>
      </c>
      <c r="H4" s="4">
        <v>0.6</v>
      </c>
      <c r="I4" s="4">
        <v>0.8</v>
      </c>
      <c r="J4" s="4">
        <v>1</v>
      </c>
      <c r="K4" s="6">
        <f t="shared" ref="K4:K41" si="0">1/COUNTIF($A$4:$A$41,A4)</f>
        <v>0.16666666666666666</v>
      </c>
      <c r="L4" s="6">
        <f t="shared" ref="L4:L14" si="1">1/4/COUNTIFS($A$4:$A$41,A4,$F$4:$F$41,F4)</f>
        <v>0.125</v>
      </c>
      <c r="M4" s="2" t="s">
        <v>36</v>
      </c>
      <c r="N4" s="2"/>
    </row>
    <row r="5" spans="1:14" ht="15" customHeight="1" x14ac:dyDescent="0.25">
      <c r="A5" s="3" t="s">
        <v>67</v>
      </c>
      <c r="B5" s="3" t="s">
        <v>133</v>
      </c>
      <c r="C5" s="3" t="s">
        <v>134</v>
      </c>
      <c r="D5" s="3" t="s">
        <v>123</v>
      </c>
      <c r="E5" s="3" t="s">
        <v>124</v>
      </c>
      <c r="F5" s="3" t="s">
        <v>126</v>
      </c>
      <c r="G5" s="4">
        <v>0.4</v>
      </c>
      <c r="H5" s="4">
        <v>0.6</v>
      </c>
      <c r="I5" s="4">
        <v>0.8</v>
      </c>
      <c r="J5" s="4">
        <v>1</v>
      </c>
      <c r="K5" s="6">
        <f t="shared" si="0"/>
        <v>0.16666666666666666</v>
      </c>
      <c r="L5" s="6">
        <f t="shared" si="1"/>
        <v>0.125</v>
      </c>
      <c r="M5" s="2" t="s">
        <v>36</v>
      </c>
      <c r="N5" s="2"/>
    </row>
    <row r="6" spans="1:14" ht="15" customHeight="1" x14ac:dyDescent="0.25">
      <c r="A6" s="3" t="s">
        <v>67</v>
      </c>
      <c r="B6" s="3" t="s">
        <v>138</v>
      </c>
      <c r="C6" s="3" t="s">
        <v>139</v>
      </c>
      <c r="D6" s="3" t="s">
        <v>140</v>
      </c>
      <c r="E6" s="3" t="s">
        <v>141</v>
      </c>
      <c r="F6" s="3" t="s">
        <v>143</v>
      </c>
      <c r="G6" s="4">
        <v>12</v>
      </c>
      <c r="H6" s="4">
        <v>6</v>
      </c>
      <c r="I6" s="4">
        <v>3</v>
      </c>
      <c r="J6" s="4">
        <v>0</v>
      </c>
      <c r="K6" s="6">
        <f t="shared" si="0"/>
        <v>0.16666666666666666</v>
      </c>
      <c r="L6" s="6">
        <f t="shared" si="1"/>
        <v>0.25</v>
      </c>
      <c r="M6" s="2" t="s">
        <v>36</v>
      </c>
      <c r="N6" s="2"/>
    </row>
    <row r="7" spans="1:14" ht="15" customHeight="1" x14ac:dyDescent="0.25">
      <c r="A7" s="3" t="s">
        <v>67</v>
      </c>
      <c r="B7" s="3" t="s">
        <v>147</v>
      </c>
      <c r="C7" s="3" t="s">
        <v>148</v>
      </c>
      <c r="D7" s="3" t="s">
        <v>123</v>
      </c>
      <c r="E7" s="3" t="s">
        <v>141</v>
      </c>
      <c r="F7" s="3" t="s">
        <v>150</v>
      </c>
      <c r="G7" s="4">
        <v>1.1000000000000001</v>
      </c>
      <c r="H7" s="4">
        <v>0.9</v>
      </c>
      <c r="I7" s="4">
        <v>0.5</v>
      </c>
      <c r="J7" s="4">
        <v>0</v>
      </c>
      <c r="K7" s="6">
        <f t="shared" si="0"/>
        <v>0.16666666666666666</v>
      </c>
      <c r="L7" s="6">
        <f t="shared" si="1"/>
        <v>0.25</v>
      </c>
      <c r="M7" s="2" t="s">
        <v>36</v>
      </c>
      <c r="N7" s="2"/>
    </row>
    <row r="8" spans="1:14" ht="15" customHeight="1" x14ac:dyDescent="0.25">
      <c r="A8" s="3" t="s">
        <v>67</v>
      </c>
      <c r="B8" s="3" t="s">
        <v>156</v>
      </c>
      <c r="C8" s="3" t="s">
        <v>157</v>
      </c>
      <c r="D8" s="3" t="s">
        <v>123</v>
      </c>
      <c r="E8" s="3" t="s">
        <v>124</v>
      </c>
      <c r="F8" s="3" t="s">
        <v>159</v>
      </c>
      <c r="G8" s="4">
        <v>0.75</v>
      </c>
      <c r="H8" s="4">
        <v>1.5</v>
      </c>
      <c r="I8" s="4">
        <v>3</v>
      </c>
      <c r="J8" s="4">
        <v>90.830935457300612</v>
      </c>
      <c r="K8" s="6">
        <f t="shared" si="0"/>
        <v>0.16666666666666666</v>
      </c>
      <c r="L8" s="6">
        <f t="shared" si="1"/>
        <v>0.125</v>
      </c>
      <c r="M8" s="2" t="s">
        <v>36</v>
      </c>
      <c r="N8" s="2" t="s">
        <v>383</v>
      </c>
    </row>
    <row r="9" spans="1:14" ht="15" customHeight="1" x14ac:dyDescent="0.25">
      <c r="A9" s="3" t="s">
        <v>67</v>
      </c>
      <c r="B9" s="3" t="s">
        <v>165</v>
      </c>
      <c r="C9" s="3" t="s">
        <v>166</v>
      </c>
      <c r="D9" s="3" t="s">
        <v>123</v>
      </c>
      <c r="E9" s="3" t="s">
        <v>141</v>
      </c>
      <c r="F9" s="3" t="s">
        <v>159</v>
      </c>
      <c r="G9" s="4">
        <v>2</v>
      </c>
      <c r="H9" s="4">
        <v>1.5</v>
      </c>
      <c r="I9" s="4">
        <v>1.05</v>
      </c>
      <c r="J9" s="4">
        <v>1</v>
      </c>
      <c r="K9" s="6">
        <f t="shared" si="0"/>
        <v>0.16666666666666666</v>
      </c>
      <c r="L9" s="6">
        <f t="shared" si="1"/>
        <v>0.125</v>
      </c>
      <c r="M9" s="2" t="s">
        <v>36</v>
      </c>
      <c r="N9" s="2" t="s">
        <v>384</v>
      </c>
    </row>
    <row r="10" spans="1:14" ht="15" customHeight="1" x14ac:dyDescent="0.25">
      <c r="A10" s="3" t="s">
        <v>76</v>
      </c>
      <c r="B10" s="3" t="s">
        <v>171</v>
      </c>
      <c r="C10" s="3" t="s">
        <v>172</v>
      </c>
      <c r="D10" s="3" t="s">
        <v>123</v>
      </c>
      <c r="E10" s="3" t="s">
        <v>124</v>
      </c>
      <c r="F10" s="3" t="s">
        <v>173</v>
      </c>
      <c r="G10" s="4">
        <v>0.5</v>
      </c>
      <c r="H10" s="4">
        <v>0.6</v>
      </c>
      <c r="I10" s="4">
        <v>0.8</v>
      </c>
      <c r="J10" s="4">
        <v>1</v>
      </c>
      <c r="K10" s="6">
        <f t="shared" si="0"/>
        <v>0.2</v>
      </c>
      <c r="L10" s="6">
        <f t="shared" si="1"/>
        <v>0.125</v>
      </c>
      <c r="M10" s="2" t="s">
        <v>36</v>
      </c>
      <c r="N10" s="2"/>
    </row>
    <row r="11" spans="1:14" ht="15" customHeight="1" x14ac:dyDescent="0.25">
      <c r="A11" s="3" t="s">
        <v>76</v>
      </c>
      <c r="B11" s="3" t="s">
        <v>179</v>
      </c>
      <c r="C11" s="3" t="s">
        <v>180</v>
      </c>
      <c r="D11" s="3" t="s">
        <v>123</v>
      </c>
      <c r="E11" s="3" t="s">
        <v>124</v>
      </c>
      <c r="F11" s="3" t="s">
        <v>173</v>
      </c>
      <c r="G11" s="4">
        <v>0.5</v>
      </c>
      <c r="H11" s="4">
        <v>0.6</v>
      </c>
      <c r="I11" s="4">
        <v>0.8</v>
      </c>
      <c r="J11" s="4">
        <v>1</v>
      </c>
      <c r="K11" s="6">
        <f t="shared" si="0"/>
        <v>0.2</v>
      </c>
      <c r="L11" s="6">
        <f t="shared" si="1"/>
        <v>0.125</v>
      </c>
      <c r="M11" s="2" t="s">
        <v>36</v>
      </c>
      <c r="N11" s="2"/>
    </row>
    <row r="12" spans="1:14" ht="15" customHeight="1" x14ac:dyDescent="0.25">
      <c r="A12" s="3" t="s">
        <v>76</v>
      </c>
      <c r="B12" s="3" t="s">
        <v>184</v>
      </c>
      <c r="C12" s="3" t="s">
        <v>185</v>
      </c>
      <c r="D12" s="3" t="s">
        <v>123</v>
      </c>
      <c r="E12" s="3" t="s">
        <v>124</v>
      </c>
      <c r="F12" s="3" t="s">
        <v>186</v>
      </c>
      <c r="G12" s="4">
        <v>0.7</v>
      </c>
      <c r="H12" s="4">
        <v>0.75</v>
      </c>
      <c r="I12" s="4">
        <v>0.8</v>
      </c>
      <c r="J12" s="4">
        <v>1</v>
      </c>
      <c r="K12" s="6">
        <f t="shared" si="0"/>
        <v>0.2</v>
      </c>
      <c r="L12" s="6">
        <f t="shared" si="1"/>
        <v>0.25</v>
      </c>
      <c r="M12" s="2" t="s">
        <v>36</v>
      </c>
      <c r="N12" s="2"/>
    </row>
    <row r="13" spans="1:14" ht="15" customHeight="1" x14ac:dyDescent="0.25">
      <c r="A13" s="3" t="s">
        <v>76</v>
      </c>
      <c r="B13" s="3" t="s">
        <v>190</v>
      </c>
      <c r="C13" s="3" t="s">
        <v>191</v>
      </c>
      <c r="D13" s="3" t="s">
        <v>123</v>
      </c>
      <c r="E13" s="3" t="s">
        <v>124</v>
      </c>
      <c r="F13" s="3" t="s">
        <v>192</v>
      </c>
      <c r="G13" s="4">
        <v>0.25</v>
      </c>
      <c r="H13" s="4">
        <v>0.5</v>
      </c>
      <c r="I13" s="4">
        <v>0.75</v>
      </c>
      <c r="J13" s="4">
        <v>1</v>
      </c>
      <c r="K13" s="6">
        <f t="shared" si="0"/>
        <v>0.2</v>
      </c>
      <c r="L13" s="6">
        <f t="shared" si="1"/>
        <v>0.25</v>
      </c>
      <c r="M13" s="2" t="s">
        <v>36</v>
      </c>
      <c r="N13" s="2"/>
    </row>
    <row r="14" spans="1:14" ht="15" customHeight="1" x14ac:dyDescent="0.25">
      <c r="A14" s="3" t="s">
        <v>76</v>
      </c>
      <c r="B14" s="3" t="s">
        <v>196</v>
      </c>
      <c r="C14" s="3" t="s">
        <v>197</v>
      </c>
      <c r="D14" s="3" t="s">
        <v>123</v>
      </c>
      <c r="E14" s="3" t="s">
        <v>141</v>
      </c>
      <c r="F14" s="3" t="s">
        <v>198</v>
      </c>
      <c r="G14" s="4">
        <v>0.3</v>
      </c>
      <c r="H14" s="4">
        <v>0.1</v>
      </c>
      <c r="I14" s="4">
        <v>0.01</v>
      </c>
      <c r="J14" s="4">
        <v>0</v>
      </c>
      <c r="K14" s="6">
        <f t="shared" si="0"/>
        <v>0.2</v>
      </c>
      <c r="L14" s="6">
        <f t="shared" si="1"/>
        <v>0.25</v>
      </c>
      <c r="M14" s="2" t="s">
        <v>36</v>
      </c>
      <c r="N14" s="2"/>
    </row>
    <row r="15" spans="1:14" ht="15" customHeight="1" x14ac:dyDescent="0.25">
      <c r="A15" s="3" t="s">
        <v>82</v>
      </c>
      <c r="B15" s="3" t="s">
        <v>202</v>
      </c>
      <c r="C15" s="3" t="s">
        <v>203</v>
      </c>
      <c r="D15" s="3" t="s">
        <v>123</v>
      </c>
      <c r="E15" s="3" t="s">
        <v>124</v>
      </c>
      <c r="F15" s="3" t="s">
        <v>204</v>
      </c>
      <c r="G15" s="4">
        <v>0.5</v>
      </c>
      <c r="H15" s="4">
        <v>0.75</v>
      </c>
      <c r="I15" s="4">
        <v>0.85</v>
      </c>
      <c r="J15" s="4">
        <v>1</v>
      </c>
      <c r="K15" s="6">
        <f t="shared" si="0"/>
        <v>0.2</v>
      </c>
      <c r="L15" s="6">
        <f>1/2/COUNTIFS($A$4:$A$41,A15,$F$4:$F$41,F15)</f>
        <v>0.25</v>
      </c>
      <c r="M15" s="2" t="s">
        <v>36</v>
      </c>
      <c r="N15" s="2"/>
    </row>
    <row r="16" spans="1:14" ht="15" customHeight="1" x14ac:dyDescent="0.25">
      <c r="A16" s="3" t="s">
        <v>82</v>
      </c>
      <c r="B16" s="3" t="s">
        <v>210</v>
      </c>
      <c r="C16" s="3" t="s">
        <v>211</v>
      </c>
      <c r="D16" s="3" t="s">
        <v>123</v>
      </c>
      <c r="E16" s="3" t="s">
        <v>124</v>
      </c>
      <c r="F16" s="3" t="s">
        <v>204</v>
      </c>
      <c r="G16" s="4">
        <v>0.5</v>
      </c>
      <c r="H16" s="4">
        <v>0.75</v>
      </c>
      <c r="I16" s="4">
        <v>0.85</v>
      </c>
      <c r="J16" s="4">
        <v>1</v>
      </c>
      <c r="K16" s="6">
        <f t="shared" si="0"/>
        <v>0.2</v>
      </c>
      <c r="L16" s="6">
        <f>1/2/COUNTIFS($A$4:$A$41,A16,$F$4:$F$41,F16)</f>
        <v>0.25</v>
      </c>
      <c r="M16" s="2" t="s">
        <v>36</v>
      </c>
      <c r="N16" s="2"/>
    </row>
    <row r="17" spans="1:14" ht="15" customHeight="1" x14ac:dyDescent="0.25">
      <c r="A17" s="3" t="s">
        <v>82</v>
      </c>
      <c r="B17" s="3" t="s">
        <v>215</v>
      </c>
      <c r="C17" s="3" t="s">
        <v>216</v>
      </c>
      <c r="D17" s="3" t="s">
        <v>217</v>
      </c>
      <c r="E17" s="3" t="s">
        <v>141</v>
      </c>
      <c r="F17" s="3" t="s">
        <v>218</v>
      </c>
      <c r="G17" s="4">
        <v>1</v>
      </c>
      <c r="H17" s="4">
        <v>0.5</v>
      </c>
      <c r="I17" s="4">
        <v>0.3</v>
      </c>
      <c r="J17" s="4">
        <v>0.05</v>
      </c>
      <c r="K17" s="6">
        <f t="shared" si="0"/>
        <v>0.2</v>
      </c>
      <c r="L17" s="6">
        <f>1/2/COUNTIFS($A$4:$A$41,A17,$F$4:$F$41,F17)</f>
        <v>0.16666666666666666</v>
      </c>
      <c r="M17" s="2" t="s">
        <v>36</v>
      </c>
      <c r="N17" s="2" t="s">
        <v>385</v>
      </c>
    </row>
    <row r="18" spans="1:14" ht="15" customHeight="1" x14ac:dyDescent="0.25">
      <c r="A18" s="3" t="s">
        <v>82</v>
      </c>
      <c r="B18" s="3" t="s">
        <v>222</v>
      </c>
      <c r="C18" s="3" t="s">
        <v>223</v>
      </c>
      <c r="D18" s="3" t="s">
        <v>123</v>
      </c>
      <c r="E18" s="3" t="s">
        <v>141</v>
      </c>
      <c r="F18" s="3" t="s">
        <v>218</v>
      </c>
      <c r="G18" s="4">
        <v>1</v>
      </c>
      <c r="H18" s="4">
        <v>0.5</v>
      </c>
      <c r="I18" s="4">
        <v>0.3</v>
      </c>
      <c r="J18" s="4">
        <v>0.05</v>
      </c>
      <c r="K18" s="6">
        <f t="shared" si="0"/>
        <v>0.2</v>
      </c>
      <c r="L18" s="6">
        <f>1/2/COUNTIFS($A$4:$A$41,A18,$F$4:$F$41,F18)</f>
        <v>0.16666666666666666</v>
      </c>
      <c r="M18" s="2" t="s">
        <v>36</v>
      </c>
      <c r="N18" s="2"/>
    </row>
    <row r="19" spans="1:14" ht="15" customHeight="1" x14ac:dyDescent="0.25">
      <c r="A19" s="3" t="s">
        <v>82</v>
      </c>
      <c r="B19" s="3" t="s">
        <v>227</v>
      </c>
      <c r="C19" s="3" t="s">
        <v>228</v>
      </c>
      <c r="D19" s="3" t="s">
        <v>123</v>
      </c>
      <c r="E19" s="3" t="s">
        <v>141</v>
      </c>
      <c r="F19" s="3" t="s">
        <v>218</v>
      </c>
      <c r="G19" s="4">
        <v>1</v>
      </c>
      <c r="H19" s="4">
        <v>0.5</v>
      </c>
      <c r="I19" s="4">
        <v>0.3</v>
      </c>
      <c r="J19" s="4">
        <v>0.05</v>
      </c>
      <c r="K19" s="6">
        <f t="shared" si="0"/>
        <v>0.2</v>
      </c>
      <c r="L19" s="6">
        <f>1/2/COUNTIFS($A$4:$A$41,A19,$F$4:$F$41,F19)</f>
        <v>0.16666666666666666</v>
      </c>
      <c r="M19" s="2" t="s">
        <v>36</v>
      </c>
      <c r="N19" s="2"/>
    </row>
    <row r="20" spans="1:14" ht="15" customHeight="1" x14ac:dyDescent="0.25">
      <c r="A20" s="3" t="s">
        <v>87</v>
      </c>
      <c r="B20" s="3" t="s">
        <v>232</v>
      </c>
      <c r="C20" s="3" t="s">
        <v>233</v>
      </c>
      <c r="D20" s="3" t="s">
        <v>234</v>
      </c>
      <c r="E20" s="3" t="s">
        <v>141</v>
      </c>
      <c r="F20" s="3" t="s">
        <v>235</v>
      </c>
      <c r="G20" s="4">
        <v>2000</v>
      </c>
      <c r="H20" s="4">
        <v>1500</v>
      </c>
      <c r="I20" s="4">
        <v>1000</v>
      </c>
      <c r="J20" s="4">
        <v>500</v>
      </c>
      <c r="K20" s="6">
        <f t="shared" si="0"/>
        <v>0.125</v>
      </c>
      <c r="L20" s="6">
        <f t="shared" ref="L20:L41" si="2">1/4/COUNTIFS($A$4:$A$41,A20,$F$4:$F$41,F20)</f>
        <v>8.3333333333333329E-2</v>
      </c>
      <c r="M20" s="2" t="s">
        <v>36</v>
      </c>
      <c r="N20" s="2"/>
    </row>
    <row r="21" spans="1:14" ht="15" customHeight="1" x14ac:dyDescent="0.25">
      <c r="A21" s="3" t="s">
        <v>87</v>
      </c>
      <c r="B21" s="3" t="s">
        <v>241</v>
      </c>
      <c r="C21" s="3" t="s">
        <v>242</v>
      </c>
      <c r="D21" s="3" t="s">
        <v>243</v>
      </c>
      <c r="E21" s="3" t="s">
        <v>141</v>
      </c>
      <c r="F21" s="3" t="s">
        <v>235</v>
      </c>
      <c r="G21" s="4">
        <v>0.4</v>
      </c>
      <c r="H21" s="4">
        <v>0.3</v>
      </c>
      <c r="I21" s="4">
        <v>0.2</v>
      </c>
      <c r="J21" s="4">
        <v>0.1</v>
      </c>
      <c r="K21" s="6">
        <f t="shared" si="0"/>
        <v>0.125</v>
      </c>
      <c r="L21" s="6">
        <f t="shared" si="2"/>
        <v>8.3333333333333329E-2</v>
      </c>
      <c r="M21" s="2" t="s">
        <v>36</v>
      </c>
      <c r="N21" s="2"/>
    </row>
    <row r="22" spans="1:14" ht="15" customHeight="1" x14ac:dyDescent="0.25">
      <c r="A22" s="3" t="s">
        <v>87</v>
      </c>
      <c r="B22" s="3" t="s">
        <v>247</v>
      </c>
      <c r="C22" s="3" t="s">
        <v>248</v>
      </c>
      <c r="D22" s="3" t="s">
        <v>243</v>
      </c>
      <c r="E22" s="3" t="s">
        <v>141</v>
      </c>
      <c r="F22" s="3" t="s">
        <v>235</v>
      </c>
      <c r="G22" s="4">
        <v>0.35</v>
      </c>
      <c r="H22" s="4">
        <v>0.25</v>
      </c>
      <c r="I22" s="4">
        <v>0.15</v>
      </c>
      <c r="J22" s="4">
        <v>0.1</v>
      </c>
      <c r="K22" s="6">
        <f t="shared" si="0"/>
        <v>0.125</v>
      </c>
      <c r="L22" s="6">
        <f t="shared" si="2"/>
        <v>8.3333333333333329E-2</v>
      </c>
      <c r="M22" s="2" t="s">
        <v>36</v>
      </c>
      <c r="N22" s="2"/>
    </row>
    <row r="23" spans="1:14" ht="15" customHeight="1" x14ac:dyDescent="0.25">
      <c r="A23" s="3" t="s">
        <v>87</v>
      </c>
      <c r="B23" s="3" t="s">
        <v>253</v>
      </c>
      <c r="C23" s="3" t="s">
        <v>254</v>
      </c>
      <c r="D23" s="3" t="s">
        <v>255</v>
      </c>
      <c r="E23" s="3" t="s">
        <v>141</v>
      </c>
      <c r="F23" s="3" t="s">
        <v>256</v>
      </c>
      <c r="G23" s="4">
        <v>200</v>
      </c>
      <c r="H23" s="4">
        <v>150</v>
      </c>
      <c r="I23" s="4">
        <v>100</v>
      </c>
      <c r="J23" s="4">
        <v>50</v>
      </c>
      <c r="K23" s="6">
        <f t="shared" si="0"/>
        <v>0.125</v>
      </c>
      <c r="L23" s="6">
        <f t="shared" si="2"/>
        <v>8.3333333333333329E-2</v>
      </c>
      <c r="M23" s="2" t="s">
        <v>36</v>
      </c>
      <c r="N23" s="2"/>
    </row>
    <row r="24" spans="1:14" ht="15" customHeight="1" x14ac:dyDescent="0.25">
      <c r="A24" s="3" t="s">
        <v>87</v>
      </c>
      <c r="B24" s="3" t="s">
        <v>261</v>
      </c>
      <c r="C24" s="3" t="s">
        <v>262</v>
      </c>
      <c r="D24" s="3" t="s">
        <v>263</v>
      </c>
      <c r="E24" s="3" t="s">
        <v>141</v>
      </c>
      <c r="F24" s="3" t="s">
        <v>256</v>
      </c>
      <c r="G24" s="4">
        <v>0.06</v>
      </c>
      <c r="H24" s="4">
        <v>0.04</v>
      </c>
      <c r="I24" s="4">
        <v>0.02</v>
      </c>
      <c r="J24" s="4">
        <v>0.01</v>
      </c>
      <c r="K24" s="6">
        <f t="shared" si="0"/>
        <v>0.125</v>
      </c>
      <c r="L24" s="6">
        <f t="shared" si="2"/>
        <v>8.3333333333333329E-2</v>
      </c>
      <c r="M24" s="2" t="s">
        <v>36</v>
      </c>
      <c r="N24" s="2"/>
    </row>
    <row r="25" spans="1:14" ht="15" customHeight="1" x14ac:dyDescent="0.25">
      <c r="A25" s="3" t="s">
        <v>87</v>
      </c>
      <c r="B25" s="3" t="s">
        <v>267</v>
      </c>
      <c r="C25" s="3" t="s">
        <v>268</v>
      </c>
      <c r="D25" s="3" t="s">
        <v>263</v>
      </c>
      <c r="E25" s="3" t="s">
        <v>141</v>
      </c>
      <c r="F25" s="3" t="s">
        <v>256</v>
      </c>
      <c r="G25" s="4">
        <v>0.06</v>
      </c>
      <c r="H25" s="4">
        <v>0.04</v>
      </c>
      <c r="I25" s="4">
        <v>0.02</v>
      </c>
      <c r="J25" s="4">
        <v>0.01</v>
      </c>
      <c r="K25" s="6">
        <f t="shared" si="0"/>
        <v>0.125</v>
      </c>
      <c r="L25" s="6">
        <f t="shared" si="2"/>
        <v>8.3333333333333329E-2</v>
      </c>
      <c r="M25" s="2" t="s">
        <v>36</v>
      </c>
      <c r="N25" s="2"/>
    </row>
    <row r="26" spans="1:14" ht="15" customHeight="1" x14ac:dyDescent="0.25">
      <c r="A26" s="3" t="s">
        <v>87</v>
      </c>
      <c r="B26" s="3" t="s">
        <v>272</v>
      </c>
      <c r="C26" s="3" t="s">
        <v>273</v>
      </c>
      <c r="D26" s="3" t="s">
        <v>123</v>
      </c>
      <c r="E26" s="3" t="s">
        <v>124</v>
      </c>
      <c r="F26" s="3" t="s">
        <v>275</v>
      </c>
      <c r="G26" s="4">
        <v>0.05</v>
      </c>
      <c r="H26" s="4">
        <v>0.1</v>
      </c>
      <c r="I26" s="4">
        <v>0.2</v>
      </c>
      <c r="J26" s="4">
        <v>0.4</v>
      </c>
      <c r="K26" s="6">
        <f t="shared" si="0"/>
        <v>0.125</v>
      </c>
      <c r="L26" s="6">
        <f t="shared" si="2"/>
        <v>0.25</v>
      </c>
      <c r="M26" s="2" t="s">
        <v>36</v>
      </c>
      <c r="N26" s="2"/>
    </row>
    <row r="27" spans="1:14" ht="15" customHeight="1" x14ac:dyDescent="0.25">
      <c r="A27" s="3" t="s">
        <v>87</v>
      </c>
      <c r="B27" s="3" t="s">
        <v>281</v>
      </c>
      <c r="C27" s="3" t="s">
        <v>282</v>
      </c>
      <c r="D27" s="3" t="s">
        <v>123</v>
      </c>
      <c r="E27" s="3" t="s">
        <v>124</v>
      </c>
      <c r="F27" s="3" t="s">
        <v>283</v>
      </c>
      <c r="G27" s="4">
        <v>0</v>
      </c>
      <c r="H27" s="4">
        <v>0.25</v>
      </c>
      <c r="I27" s="4">
        <v>0.5</v>
      </c>
      <c r="J27" s="4">
        <v>1</v>
      </c>
      <c r="K27" s="6">
        <f t="shared" si="0"/>
        <v>0.125</v>
      </c>
      <c r="L27" s="6">
        <f t="shared" si="2"/>
        <v>0.25</v>
      </c>
      <c r="M27" s="2" t="s">
        <v>36</v>
      </c>
      <c r="N27" s="2"/>
    </row>
    <row r="28" spans="1:14" ht="15" customHeight="1" x14ac:dyDescent="0.25">
      <c r="A28" s="3" t="s">
        <v>93</v>
      </c>
      <c r="B28" s="3" t="s">
        <v>287</v>
      </c>
      <c r="C28" s="3" t="s">
        <v>288</v>
      </c>
      <c r="D28" s="3" t="s">
        <v>289</v>
      </c>
      <c r="E28" s="3" t="s">
        <v>141</v>
      </c>
      <c r="F28" s="3" t="s">
        <v>290</v>
      </c>
      <c r="G28" s="4">
        <v>600</v>
      </c>
      <c r="H28" s="4">
        <v>500</v>
      </c>
      <c r="I28" s="4">
        <v>400</v>
      </c>
      <c r="J28" s="4">
        <v>300</v>
      </c>
      <c r="K28" s="6">
        <f t="shared" si="0"/>
        <v>0.1</v>
      </c>
      <c r="L28" s="6">
        <f t="shared" si="2"/>
        <v>8.3333333333333329E-2</v>
      </c>
      <c r="M28" s="2" t="s">
        <v>36</v>
      </c>
      <c r="N28" s="2"/>
    </row>
    <row r="29" spans="1:14" ht="15" customHeight="1" x14ac:dyDescent="0.25">
      <c r="A29" s="3" t="s">
        <v>93</v>
      </c>
      <c r="B29" s="3" t="s">
        <v>294</v>
      </c>
      <c r="C29" s="3" t="s">
        <v>295</v>
      </c>
      <c r="D29" s="3" t="s">
        <v>123</v>
      </c>
      <c r="E29" s="3" t="s">
        <v>141</v>
      </c>
      <c r="F29" s="3" t="s">
        <v>290</v>
      </c>
      <c r="G29" s="4">
        <v>0.45</v>
      </c>
      <c r="H29" s="4">
        <v>0.35</v>
      </c>
      <c r="I29" s="4">
        <v>0.25</v>
      </c>
      <c r="J29" s="4">
        <v>0.2</v>
      </c>
      <c r="K29" s="6">
        <f t="shared" si="0"/>
        <v>0.1</v>
      </c>
      <c r="L29" s="6">
        <f t="shared" si="2"/>
        <v>8.3333333333333329E-2</v>
      </c>
      <c r="M29" s="2" t="s">
        <v>36</v>
      </c>
      <c r="N29" s="2"/>
    </row>
    <row r="30" spans="1:14" ht="15" customHeight="1" x14ac:dyDescent="0.25">
      <c r="A30" s="3" t="s">
        <v>93</v>
      </c>
      <c r="B30" s="3" t="s">
        <v>299</v>
      </c>
      <c r="C30" s="3" t="s">
        <v>300</v>
      </c>
      <c r="D30" s="3" t="s">
        <v>123</v>
      </c>
      <c r="E30" s="3" t="s">
        <v>124</v>
      </c>
      <c r="F30" s="3" t="s">
        <v>290</v>
      </c>
      <c r="G30" s="4">
        <v>0.25</v>
      </c>
      <c r="H30" s="4">
        <v>0.5</v>
      </c>
      <c r="I30" s="4">
        <v>0.75</v>
      </c>
      <c r="J30" s="4">
        <v>0.8</v>
      </c>
      <c r="K30" s="6">
        <f t="shared" si="0"/>
        <v>0.1</v>
      </c>
      <c r="L30" s="6">
        <f t="shared" si="2"/>
        <v>8.3333333333333329E-2</v>
      </c>
      <c r="M30" s="2" t="s">
        <v>36</v>
      </c>
      <c r="N30" s="2"/>
    </row>
    <row r="31" spans="1:14" ht="15" customHeight="1" x14ac:dyDescent="0.25">
      <c r="A31" s="3" t="s">
        <v>93</v>
      </c>
      <c r="B31" s="3" t="s">
        <v>304</v>
      </c>
      <c r="C31" s="3" t="s">
        <v>305</v>
      </c>
      <c r="D31" s="3" t="s">
        <v>123</v>
      </c>
      <c r="E31" s="3" t="s">
        <v>141</v>
      </c>
      <c r="F31" s="3" t="s">
        <v>306</v>
      </c>
      <c r="G31" s="4">
        <v>1.25</v>
      </c>
      <c r="H31" s="4">
        <v>1.05</v>
      </c>
      <c r="I31" s="4">
        <v>0.75</v>
      </c>
      <c r="J31" s="4">
        <v>0.5</v>
      </c>
      <c r="K31" s="6">
        <f t="shared" si="0"/>
        <v>0.1</v>
      </c>
      <c r="L31" s="6">
        <f t="shared" si="2"/>
        <v>0.125</v>
      </c>
      <c r="M31" s="2" t="s">
        <v>36</v>
      </c>
      <c r="N31" s="2"/>
    </row>
    <row r="32" spans="1:14" ht="15" customHeight="1" x14ac:dyDescent="0.25">
      <c r="A32" s="3" t="s">
        <v>93</v>
      </c>
      <c r="B32" s="3" t="s">
        <v>312</v>
      </c>
      <c r="C32" s="3" t="s">
        <v>313</v>
      </c>
      <c r="D32" s="3" t="s">
        <v>123</v>
      </c>
      <c r="E32" s="3" t="s">
        <v>124</v>
      </c>
      <c r="F32" s="3" t="s">
        <v>306</v>
      </c>
      <c r="G32" s="4">
        <v>0.25</v>
      </c>
      <c r="H32" s="4">
        <v>0.5</v>
      </c>
      <c r="I32" s="4">
        <v>0.75</v>
      </c>
      <c r="J32" s="4">
        <v>1</v>
      </c>
      <c r="K32" s="6">
        <f t="shared" si="0"/>
        <v>0.1</v>
      </c>
      <c r="L32" s="6">
        <f t="shared" si="2"/>
        <v>0.125</v>
      </c>
      <c r="M32" s="2" t="s">
        <v>36</v>
      </c>
      <c r="N32" s="2"/>
    </row>
    <row r="33" spans="1:14" ht="15" customHeight="1" x14ac:dyDescent="0.25">
      <c r="A33" s="3" t="s">
        <v>93</v>
      </c>
      <c r="B33" s="3" t="s">
        <v>317</v>
      </c>
      <c r="C33" s="3" t="s">
        <v>318</v>
      </c>
      <c r="D33" s="3" t="s">
        <v>123</v>
      </c>
      <c r="E33" s="3" t="s">
        <v>124</v>
      </c>
      <c r="F33" s="3" t="s">
        <v>319</v>
      </c>
      <c r="G33" s="4">
        <v>0</v>
      </c>
      <c r="H33" s="4">
        <v>0.2</v>
      </c>
      <c r="I33" s="4">
        <v>0.25</v>
      </c>
      <c r="J33" s="4">
        <v>0.3</v>
      </c>
      <c r="K33" s="6">
        <f t="shared" si="0"/>
        <v>0.1</v>
      </c>
      <c r="L33" s="6">
        <f t="shared" si="2"/>
        <v>8.3333333333333329E-2</v>
      </c>
      <c r="M33" s="2" t="s">
        <v>36</v>
      </c>
      <c r="N33" s="2"/>
    </row>
    <row r="34" spans="1:14" ht="15" customHeight="1" x14ac:dyDescent="0.25">
      <c r="A34" s="3" t="s">
        <v>93</v>
      </c>
      <c r="B34" s="3" t="s">
        <v>323</v>
      </c>
      <c r="C34" s="3" t="s">
        <v>324</v>
      </c>
      <c r="D34" s="3" t="s">
        <v>123</v>
      </c>
      <c r="E34" s="3" t="s">
        <v>141</v>
      </c>
      <c r="F34" s="3" t="s">
        <v>319</v>
      </c>
      <c r="G34" s="4">
        <v>0.6</v>
      </c>
      <c r="H34" s="4">
        <v>0.4</v>
      </c>
      <c r="I34" s="4">
        <v>0.3</v>
      </c>
      <c r="J34" s="4">
        <v>0.2</v>
      </c>
      <c r="K34" s="6">
        <f t="shared" si="0"/>
        <v>0.1</v>
      </c>
      <c r="L34" s="6">
        <f t="shared" si="2"/>
        <v>8.3333333333333329E-2</v>
      </c>
      <c r="M34" s="2" t="s">
        <v>36</v>
      </c>
      <c r="N34" s="2"/>
    </row>
    <row r="35" spans="1:14" ht="15" customHeight="1" x14ac:dyDescent="0.25">
      <c r="A35" s="3" t="s">
        <v>93</v>
      </c>
      <c r="B35" s="3" t="s">
        <v>328</v>
      </c>
      <c r="C35" s="3" t="s">
        <v>329</v>
      </c>
      <c r="D35" s="3" t="s">
        <v>289</v>
      </c>
      <c r="E35" s="3" t="s">
        <v>124</v>
      </c>
      <c r="F35" s="3" t="s">
        <v>331</v>
      </c>
      <c r="G35" s="4">
        <v>40</v>
      </c>
      <c r="H35" s="4">
        <v>60</v>
      </c>
      <c r="I35" s="4">
        <v>80</v>
      </c>
      <c r="J35" s="4">
        <v>100</v>
      </c>
      <c r="K35" s="6">
        <f t="shared" si="0"/>
        <v>0.1</v>
      </c>
      <c r="L35" s="6">
        <f t="shared" si="2"/>
        <v>0.125</v>
      </c>
      <c r="M35" s="2" t="s">
        <v>36</v>
      </c>
      <c r="N35" s="2"/>
    </row>
    <row r="36" spans="1:14" ht="15" customHeight="1" x14ac:dyDescent="0.25">
      <c r="A36" s="3" t="s">
        <v>93</v>
      </c>
      <c r="B36" s="3" t="s">
        <v>335</v>
      </c>
      <c r="C36" s="3" t="s">
        <v>336</v>
      </c>
      <c r="D36" s="3" t="s">
        <v>123</v>
      </c>
      <c r="E36" s="3" t="s">
        <v>124</v>
      </c>
      <c r="F36" s="3" t="s">
        <v>331</v>
      </c>
      <c r="G36" s="4">
        <v>0.25</v>
      </c>
      <c r="H36" s="4">
        <v>0.5</v>
      </c>
      <c r="I36" s="4">
        <v>0.75</v>
      </c>
      <c r="J36" s="4">
        <v>1</v>
      </c>
      <c r="K36" s="6">
        <f t="shared" si="0"/>
        <v>0.1</v>
      </c>
      <c r="L36" s="6">
        <f t="shared" si="2"/>
        <v>0.125</v>
      </c>
      <c r="M36" s="2" t="s">
        <v>36</v>
      </c>
      <c r="N36" s="2"/>
    </row>
    <row r="37" spans="1:14" ht="15" customHeight="1" x14ac:dyDescent="0.25">
      <c r="A37" s="3" t="s">
        <v>93</v>
      </c>
      <c r="B37" s="3" t="s">
        <v>342</v>
      </c>
      <c r="C37" s="3" t="s">
        <v>343</v>
      </c>
      <c r="D37" s="3" t="s">
        <v>123</v>
      </c>
      <c r="E37" s="3" t="s">
        <v>124</v>
      </c>
      <c r="F37" s="3" t="s">
        <v>319</v>
      </c>
      <c r="G37" s="4">
        <v>0.7</v>
      </c>
      <c r="H37" s="4">
        <v>0.85</v>
      </c>
      <c r="I37" s="4">
        <v>0.95</v>
      </c>
      <c r="J37" s="4">
        <v>1</v>
      </c>
      <c r="K37" s="6">
        <f t="shared" si="0"/>
        <v>0.1</v>
      </c>
      <c r="L37" s="6">
        <f t="shared" si="2"/>
        <v>8.3333333333333329E-2</v>
      </c>
      <c r="M37" s="2" t="s">
        <v>36</v>
      </c>
      <c r="N37" s="2"/>
    </row>
    <row r="38" spans="1:14" ht="15" customHeight="1" x14ac:dyDescent="0.25">
      <c r="A38" s="3" t="s">
        <v>99</v>
      </c>
      <c r="B38" s="3" t="s">
        <v>347</v>
      </c>
      <c r="C38" s="3" t="s">
        <v>348</v>
      </c>
      <c r="D38" s="3" t="s">
        <v>123</v>
      </c>
      <c r="E38" s="3" t="s">
        <v>124</v>
      </c>
      <c r="F38" s="3" t="s">
        <v>350</v>
      </c>
      <c r="G38" s="4">
        <v>0.25</v>
      </c>
      <c r="H38" s="4">
        <v>0.5</v>
      </c>
      <c r="I38" s="4">
        <v>0.75</v>
      </c>
      <c r="J38" s="4">
        <v>1</v>
      </c>
      <c r="K38" s="6">
        <f t="shared" si="0"/>
        <v>0.25</v>
      </c>
      <c r="L38" s="6">
        <f t="shared" si="2"/>
        <v>0.25</v>
      </c>
      <c r="M38" s="2" t="s">
        <v>36</v>
      </c>
      <c r="N38" s="2"/>
    </row>
    <row r="39" spans="1:14" ht="15" customHeight="1" x14ac:dyDescent="0.25">
      <c r="A39" s="3" t="s">
        <v>99</v>
      </c>
      <c r="B39" s="3" t="s">
        <v>356</v>
      </c>
      <c r="C39" s="3" t="s">
        <v>357</v>
      </c>
      <c r="D39" s="3" t="s">
        <v>123</v>
      </c>
      <c r="E39" s="3" t="s">
        <v>124</v>
      </c>
      <c r="F39" s="3" t="s">
        <v>358</v>
      </c>
      <c r="G39" s="4">
        <v>0.25</v>
      </c>
      <c r="H39" s="4">
        <v>0.5</v>
      </c>
      <c r="I39" s="4">
        <v>0.75</v>
      </c>
      <c r="J39" s="4">
        <v>1</v>
      </c>
      <c r="K39" s="6">
        <f t="shared" si="0"/>
        <v>0.25</v>
      </c>
      <c r="L39" s="6">
        <f t="shared" si="2"/>
        <v>0.25</v>
      </c>
      <c r="M39" s="2" t="s">
        <v>36</v>
      </c>
      <c r="N39" s="2"/>
    </row>
    <row r="40" spans="1:14" ht="15" customHeight="1" x14ac:dyDescent="0.25">
      <c r="A40" s="3" t="s">
        <v>99</v>
      </c>
      <c r="B40" s="3" t="s">
        <v>362</v>
      </c>
      <c r="C40" s="3" t="s">
        <v>363</v>
      </c>
      <c r="D40" s="3" t="s">
        <v>123</v>
      </c>
      <c r="E40" s="3" t="s">
        <v>124</v>
      </c>
      <c r="F40" s="3" t="s">
        <v>364</v>
      </c>
      <c r="G40" s="4">
        <v>0.25</v>
      </c>
      <c r="H40" s="4">
        <v>0.5</v>
      </c>
      <c r="I40" s="4">
        <v>0.75</v>
      </c>
      <c r="J40" s="4">
        <v>1</v>
      </c>
      <c r="K40" s="6">
        <f t="shared" si="0"/>
        <v>0.25</v>
      </c>
      <c r="L40" s="6">
        <f t="shared" si="2"/>
        <v>0.25</v>
      </c>
      <c r="M40" s="2" t="s">
        <v>36</v>
      </c>
      <c r="N40" s="2"/>
    </row>
    <row r="41" spans="1:14" ht="15" customHeight="1" x14ac:dyDescent="0.25">
      <c r="A41" s="3" t="s">
        <v>99</v>
      </c>
      <c r="B41" s="3" t="s">
        <v>368</v>
      </c>
      <c r="C41" s="3" t="s">
        <v>369</v>
      </c>
      <c r="D41" s="3" t="s">
        <v>123</v>
      </c>
      <c r="E41" s="3" t="s">
        <v>124</v>
      </c>
      <c r="F41" s="3" t="s">
        <v>370</v>
      </c>
      <c r="G41" s="4">
        <v>0.25</v>
      </c>
      <c r="H41" s="4">
        <v>0.5</v>
      </c>
      <c r="I41" s="4">
        <v>0.75</v>
      </c>
      <c r="J41" s="4">
        <v>1</v>
      </c>
      <c r="K41" s="6">
        <f t="shared" si="0"/>
        <v>0.25</v>
      </c>
      <c r="L41" s="6">
        <f t="shared" si="2"/>
        <v>0.25</v>
      </c>
      <c r="M41" s="2" t="s">
        <v>36</v>
      </c>
      <c r="N41" s="2"/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1"/>
  <sheetViews>
    <sheetView showGridLines="0" workbookViewId="0">
      <selection activeCell="G2" sqref="G2"/>
    </sheetView>
  </sheetViews>
  <sheetFormatPr defaultRowHeight="15" x14ac:dyDescent="0.25"/>
  <cols>
    <col min="1" max="2" width="12" customWidth="1"/>
    <col min="3" max="3" width="36" customWidth="1"/>
    <col min="4" max="6" width="17" customWidth="1"/>
    <col min="7" max="7" width="27.5" customWidth="1"/>
    <col min="8" max="10" width="30" customWidth="1"/>
    <col min="11" max="11" width="15" customWidth="1"/>
  </cols>
  <sheetData>
    <row r="1" spans="1:11" ht="27" customHeight="1" x14ac:dyDescent="0.25">
      <c r="A1" s="10" t="s">
        <v>386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spans="1:11" x14ac:dyDescent="0.25">
      <c r="A3" s="1" t="s">
        <v>60</v>
      </c>
      <c r="B3" s="1" t="s">
        <v>105</v>
      </c>
      <c r="C3" s="1" t="s">
        <v>106</v>
      </c>
      <c r="D3" s="1" t="s">
        <v>387</v>
      </c>
      <c r="E3" s="1" t="s">
        <v>107</v>
      </c>
      <c r="F3" s="1" t="s">
        <v>114</v>
      </c>
      <c r="G3" s="1" t="s">
        <v>388</v>
      </c>
      <c r="H3" s="1" t="s">
        <v>389</v>
      </c>
      <c r="I3" s="1" t="s">
        <v>390</v>
      </c>
      <c r="J3" s="1" t="s">
        <v>391</v>
      </c>
      <c r="K3" s="1" t="s">
        <v>392</v>
      </c>
    </row>
    <row r="4" spans="1:11" ht="15" customHeight="1" x14ac:dyDescent="0.25">
      <c r="A4" s="3" t="s">
        <v>67</v>
      </c>
      <c r="B4" s="3" t="s">
        <v>121</v>
      </c>
      <c r="C4" s="3" t="s">
        <v>122</v>
      </c>
      <c r="D4" s="7">
        <v>0.72499999999999998</v>
      </c>
      <c r="E4" s="2" t="s">
        <v>123</v>
      </c>
      <c r="F4" s="2" t="s">
        <v>130</v>
      </c>
      <c r="G4" s="4" t="s">
        <v>68</v>
      </c>
      <c r="H4" s="4" t="s">
        <v>69</v>
      </c>
      <c r="I4" s="4" t="s">
        <v>393</v>
      </c>
      <c r="J4" s="4" t="s">
        <v>394</v>
      </c>
      <c r="K4" s="2" t="s">
        <v>395</v>
      </c>
    </row>
    <row r="5" spans="1:11" ht="15" customHeight="1" x14ac:dyDescent="0.25">
      <c r="A5" s="3" t="s">
        <v>67</v>
      </c>
      <c r="B5" s="3" t="s">
        <v>133</v>
      </c>
      <c r="C5" s="3" t="s">
        <v>134</v>
      </c>
      <c r="D5" s="7">
        <v>0.81718292336732146</v>
      </c>
      <c r="E5" s="2" t="s">
        <v>123</v>
      </c>
      <c r="F5" s="2" t="s">
        <v>130</v>
      </c>
      <c r="G5" s="4" t="s">
        <v>68</v>
      </c>
      <c r="H5" s="4" t="s">
        <v>69</v>
      </c>
      <c r="I5" s="4" t="s">
        <v>396</v>
      </c>
      <c r="J5" s="4" t="s">
        <v>394</v>
      </c>
      <c r="K5" s="2" t="s">
        <v>395</v>
      </c>
    </row>
    <row r="6" spans="1:11" ht="15" customHeight="1" x14ac:dyDescent="0.25">
      <c r="A6" s="3" t="s">
        <v>67</v>
      </c>
      <c r="B6" s="3" t="s">
        <v>138</v>
      </c>
      <c r="C6" s="3" t="s">
        <v>139</v>
      </c>
      <c r="D6" s="7">
        <v>4.5</v>
      </c>
      <c r="E6" s="2" t="s">
        <v>140</v>
      </c>
      <c r="F6" s="2" t="s">
        <v>130</v>
      </c>
      <c r="G6" s="4" t="s">
        <v>68</v>
      </c>
      <c r="H6" s="4" t="s">
        <v>69</v>
      </c>
      <c r="I6" s="4" t="s">
        <v>397</v>
      </c>
      <c r="J6" s="4" t="s">
        <v>394</v>
      </c>
      <c r="K6" s="2" t="s">
        <v>395</v>
      </c>
    </row>
    <row r="7" spans="1:11" ht="15" customHeight="1" x14ac:dyDescent="0.25">
      <c r="A7" s="3" t="s">
        <v>67</v>
      </c>
      <c r="B7" s="3" t="s">
        <v>147</v>
      </c>
      <c r="C7" s="3" t="s">
        <v>148</v>
      </c>
      <c r="D7" s="7">
        <v>0.87666571724298115</v>
      </c>
      <c r="E7" s="2" t="s">
        <v>123</v>
      </c>
      <c r="F7" s="2" t="s">
        <v>154</v>
      </c>
      <c r="G7" s="4" t="s">
        <v>68</v>
      </c>
      <c r="H7" s="4" t="s">
        <v>69</v>
      </c>
      <c r="I7" s="4" t="s">
        <v>398</v>
      </c>
      <c r="J7" s="4" t="s">
        <v>394</v>
      </c>
      <c r="K7" s="2" t="s">
        <v>395</v>
      </c>
    </row>
    <row r="8" spans="1:11" ht="15" customHeight="1" x14ac:dyDescent="0.25">
      <c r="A8" s="3" t="s">
        <v>67</v>
      </c>
      <c r="B8" s="3" t="s">
        <v>156</v>
      </c>
      <c r="C8" s="3" t="s">
        <v>157</v>
      </c>
      <c r="D8" s="7">
        <v>7.0450965952559681</v>
      </c>
      <c r="E8" s="2" t="s">
        <v>123</v>
      </c>
      <c r="F8" s="2" t="s">
        <v>154</v>
      </c>
      <c r="G8" s="4" t="s">
        <v>68</v>
      </c>
      <c r="H8" s="4" t="s">
        <v>69</v>
      </c>
      <c r="I8" s="4" t="s">
        <v>399</v>
      </c>
      <c r="J8" s="4" t="s">
        <v>394</v>
      </c>
      <c r="K8" s="2" t="s">
        <v>395</v>
      </c>
    </row>
    <row r="9" spans="1:11" ht="15" customHeight="1" x14ac:dyDescent="0.25">
      <c r="A9" s="3" t="s">
        <v>67</v>
      </c>
      <c r="B9" s="3" t="s">
        <v>165</v>
      </c>
      <c r="C9" s="3" t="s">
        <v>166</v>
      </c>
      <c r="D9" s="7">
        <v>1.8398792409504849</v>
      </c>
      <c r="E9" s="2" t="s">
        <v>123</v>
      </c>
      <c r="F9" s="2" t="s">
        <v>154</v>
      </c>
      <c r="G9" s="4" t="s">
        <v>68</v>
      </c>
      <c r="H9" s="4" t="s">
        <v>69</v>
      </c>
      <c r="I9" s="4" t="s">
        <v>400</v>
      </c>
      <c r="J9" s="4" t="s">
        <v>394</v>
      </c>
      <c r="K9" s="2" t="s">
        <v>395</v>
      </c>
    </row>
    <row r="10" spans="1:11" ht="15" customHeight="1" x14ac:dyDescent="0.25">
      <c r="A10" s="3" t="s">
        <v>76</v>
      </c>
      <c r="B10" s="3" t="s">
        <v>171</v>
      </c>
      <c r="C10" s="3" t="s">
        <v>172</v>
      </c>
      <c r="D10" s="7">
        <v>0.99375000000000002</v>
      </c>
      <c r="E10" s="2" t="s">
        <v>123</v>
      </c>
      <c r="F10" s="2" t="s">
        <v>177</v>
      </c>
      <c r="G10" s="4" t="s">
        <v>77</v>
      </c>
      <c r="H10" s="4" t="s">
        <v>401</v>
      </c>
      <c r="I10" s="4" t="s">
        <v>402</v>
      </c>
      <c r="J10" s="4" t="s">
        <v>403</v>
      </c>
      <c r="K10" s="2" t="s">
        <v>395</v>
      </c>
    </row>
    <row r="11" spans="1:11" ht="15" customHeight="1" x14ac:dyDescent="0.25">
      <c r="A11" s="3" t="s">
        <v>76</v>
      </c>
      <c r="B11" s="3" t="s">
        <v>179</v>
      </c>
      <c r="C11" s="3" t="s">
        <v>180</v>
      </c>
      <c r="D11" s="7">
        <v>0.99046393325311666</v>
      </c>
      <c r="E11" s="2" t="s">
        <v>123</v>
      </c>
      <c r="F11" s="2" t="s">
        <v>177</v>
      </c>
      <c r="G11" s="4" t="s">
        <v>77</v>
      </c>
      <c r="H11" s="4" t="s">
        <v>401</v>
      </c>
      <c r="I11" s="4" t="s">
        <v>402</v>
      </c>
      <c r="J11" s="4" t="s">
        <v>404</v>
      </c>
      <c r="K11" s="2" t="s">
        <v>395</v>
      </c>
    </row>
    <row r="12" spans="1:11" ht="15" customHeight="1" x14ac:dyDescent="0.25">
      <c r="A12" s="3" t="s">
        <v>76</v>
      </c>
      <c r="B12" s="3" t="s">
        <v>184</v>
      </c>
      <c r="C12" s="3" t="s">
        <v>185</v>
      </c>
      <c r="D12" s="7">
        <v>0.77155359092303755</v>
      </c>
      <c r="E12" s="2" t="s">
        <v>123</v>
      </c>
      <c r="F12" s="2" t="s">
        <v>177</v>
      </c>
      <c r="G12" s="4" t="s">
        <v>77</v>
      </c>
      <c r="H12" s="4" t="s">
        <v>401</v>
      </c>
      <c r="I12" s="4" t="s">
        <v>402</v>
      </c>
      <c r="J12" s="4" t="s">
        <v>405</v>
      </c>
      <c r="K12" s="2" t="s">
        <v>395</v>
      </c>
    </row>
    <row r="13" spans="1:11" ht="15" customHeight="1" x14ac:dyDescent="0.25">
      <c r="A13" s="3" t="s">
        <v>76</v>
      </c>
      <c r="B13" s="3" t="s">
        <v>190</v>
      </c>
      <c r="C13" s="3" t="s">
        <v>191</v>
      </c>
      <c r="D13" s="7">
        <v>0.83333333333333326</v>
      </c>
      <c r="E13" s="2" t="s">
        <v>123</v>
      </c>
      <c r="F13" s="2" t="s">
        <v>177</v>
      </c>
      <c r="G13" s="4" t="s">
        <v>77</v>
      </c>
      <c r="H13" s="4" t="s">
        <v>401</v>
      </c>
      <c r="I13" s="4" t="s">
        <v>402</v>
      </c>
      <c r="J13" s="4" t="s">
        <v>406</v>
      </c>
      <c r="K13" s="2" t="s">
        <v>395</v>
      </c>
    </row>
    <row r="14" spans="1:11" ht="15" customHeight="1" x14ac:dyDescent="0.25">
      <c r="A14" s="3" t="s">
        <v>76</v>
      </c>
      <c r="B14" s="3" t="s">
        <v>196</v>
      </c>
      <c r="C14" s="3" t="s">
        <v>197</v>
      </c>
      <c r="D14" s="7">
        <v>0</v>
      </c>
      <c r="E14" s="2" t="s">
        <v>123</v>
      </c>
      <c r="F14" s="2" t="s">
        <v>177</v>
      </c>
      <c r="G14" s="4" t="s">
        <v>77</v>
      </c>
      <c r="H14" s="4" t="s">
        <v>401</v>
      </c>
      <c r="I14" s="4" t="s">
        <v>402</v>
      </c>
      <c r="J14" s="4" t="s">
        <v>407</v>
      </c>
      <c r="K14" s="2" t="s">
        <v>395</v>
      </c>
    </row>
    <row r="15" spans="1:11" ht="15" customHeight="1" x14ac:dyDescent="0.25">
      <c r="A15" s="3" t="s">
        <v>82</v>
      </c>
      <c r="B15" s="3" t="s">
        <v>202</v>
      </c>
      <c r="C15" s="3" t="s">
        <v>203</v>
      </c>
      <c r="D15" s="7">
        <v>0.9819737926182841</v>
      </c>
      <c r="E15" s="2" t="s">
        <v>123</v>
      </c>
      <c r="F15" s="2" t="s">
        <v>208</v>
      </c>
      <c r="G15" s="4" t="s">
        <v>83</v>
      </c>
      <c r="H15" s="4" t="s">
        <v>408</v>
      </c>
      <c r="I15" s="4" t="s">
        <v>409</v>
      </c>
      <c r="J15" s="4" t="s">
        <v>410</v>
      </c>
      <c r="K15" s="2" t="s">
        <v>395</v>
      </c>
    </row>
    <row r="16" spans="1:11" ht="15" customHeight="1" x14ac:dyDescent="0.25">
      <c r="A16" s="3" t="s">
        <v>82</v>
      </c>
      <c r="B16" s="3" t="s">
        <v>210</v>
      </c>
      <c r="C16" s="3" t="s">
        <v>211</v>
      </c>
      <c r="D16" s="7">
        <v>0.95861352848101267</v>
      </c>
      <c r="E16" s="2" t="s">
        <v>123</v>
      </c>
      <c r="F16" s="2" t="s">
        <v>208</v>
      </c>
      <c r="G16" s="4" t="s">
        <v>83</v>
      </c>
      <c r="H16" s="4" t="s">
        <v>408</v>
      </c>
      <c r="I16" s="4" t="s">
        <v>409</v>
      </c>
      <c r="J16" s="4" t="s">
        <v>410</v>
      </c>
      <c r="K16" s="2" t="s">
        <v>395</v>
      </c>
    </row>
    <row r="17" spans="1:11" ht="15" customHeight="1" x14ac:dyDescent="0.25">
      <c r="A17" s="3" t="s">
        <v>82</v>
      </c>
      <c r="B17" s="3" t="s">
        <v>215</v>
      </c>
      <c r="C17" s="3" t="s">
        <v>216</v>
      </c>
      <c r="D17" s="7">
        <v>0.39790148373247952</v>
      </c>
      <c r="E17" s="2" t="s">
        <v>217</v>
      </c>
      <c r="F17" s="2" t="s">
        <v>208</v>
      </c>
      <c r="G17" s="4" t="s">
        <v>83</v>
      </c>
      <c r="H17" s="4" t="s">
        <v>408</v>
      </c>
      <c r="I17" s="4" t="s">
        <v>409</v>
      </c>
      <c r="J17" s="4" t="s">
        <v>410</v>
      </c>
      <c r="K17" s="2" t="s">
        <v>395</v>
      </c>
    </row>
    <row r="18" spans="1:11" ht="15" customHeight="1" x14ac:dyDescent="0.25">
      <c r="A18" s="3" t="s">
        <v>82</v>
      </c>
      <c r="B18" s="3" t="s">
        <v>222</v>
      </c>
      <c r="C18" s="3" t="s">
        <v>223</v>
      </c>
      <c r="D18" s="7">
        <v>0.3442534490523983</v>
      </c>
      <c r="E18" s="2" t="s">
        <v>123</v>
      </c>
      <c r="F18" s="2" t="s">
        <v>208</v>
      </c>
      <c r="G18" s="4" t="s">
        <v>83</v>
      </c>
      <c r="H18" s="4" t="s">
        <v>408</v>
      </c>
      <c r="I18" s="4" t="s">
        <v>409</v>
      </c>
      <c r="J18" s="4" t="s">
        <v>410</v>
      </c>
      <c r="K18" s="2" t="s">
        <v>395</v>
      </c>
    </row>
    <row r="19" spans="1:11" ht="15" customHeight="1" x14ac:dyDescent="0.25">
      <c r="A19" s="3" t="s">
        <v>82</v>
      </c>
      <c r="B19" s="3" t="s">
        <v>227</v>
      </c>
      <c r="C19" s="3" t="s">
        <v>228</v>
      </c>
      <c r="D19" s="7">
        <v>0.43260758789703413</v>
      </c>
      <c r="E19" s="2" t="s">
        <v>123</v>
      </c>
      <c r="F19" s="2" t="s">
        <v>208</v>
      </c>
      <c r="G19" s="4" t="s">
        <v>83</v>
      </c>
      <c r="H19" s="4" t="s">
        <v>408</v>
      </c>
      <c r="I19" s="4" t="s">
        <v>409</v>
      </c>
      <c r="J19" s="4" t="s">
        <v>410</v>
      </c>
      <c r="K19" s="2" t="s">
        <v>395</v>
      </c>
    </row>
    <row r="20" spans="1:11" ht="15" customHeight="1" x14ac:dyDescent="0.25">
      <c r="A20" s="3" t="s">
        <v>87</v>
      </c>
      <c r="B20" s="3" t="s">
        <v>232</v>
      </c>
      <c r="C20" s="3" t="s">
        <v>233</v>
      </c>
      <c r="D20" s="7">
        <v>1041.7706584759974</v>
      </c>
      <c r="E20" s="2" t="s">
        <v>234</v>
      </c>
      <c r="F20" s="2" t="s">
        <v>239</v>
      </c>
      <c r="G20" s="4" t="s">
        <v>88</v>
      </c>
      <c r="H20" s="4" t="s">
        <v>89</v>
      </c>
      <c r="I20" s="4" t="s">
        <v>411</v>
      </c>
      <c r="J20" s="4" t="s">
        <v>412</v>
      </c>
      <c r="K20" s="2" t="s">
        <v>395</v>
      </c>
    </row>
    <row r="21" spans="1:11" ht="15" customHeight="1" x14ac:dyDescent="0.25">
      <c r="A21" s="3" t="s">
        <v>87</v>
      </c>
      <c r="B21" s="3" t="s">
        <v>241</v>
      </c>
      <c r="C21" s="3" t="s">
        <v>242</v>
      </c>
      <c r="D21" s="7">
        <v>0.22960575375370904</v>
      </c>
      <c r="E21" s="2" t="s">
        <v>243</v>
      </c>
      <c r="F21" s="2" t="s">
        <v>239</v>
      </c>
      <c r="G21" s="4" t="s">
        <v>88</v>
      </c>
      <c r="H21" s="4" t="s">
        <v>89</v>
      </c>
      <c r="I21" s="4" t="s">
        <v>413</v>
      </c>
      <c r="J21" s="4" t="s">
        <v>412</v>
      </c>
      <c r="K21" s="2" t="s">
        <v>395</v>
      </c>
    </row>
    <row r="22" spans="1:11" ht="15" customHeight="1" x14ac:dyDescent="0.25">
      <c r="A22" s="3" t="s">
        <v>87</v>
      </c>
      <c r="B22" s="3" t="s">
        <v>247</v>
      </c>
      <c r="C22" s="3" t="s">
        <v>248</v>
      </c>
      <c r="D22" s="7">
        <v>0.21587532967923723</v>
      </c>
      <c r="E22" s="2" t="s">
        <v>243</v>
      </c>
      <c r="F22" s="2" t="s">
        <v>239</v>
      </c>
      <c r="G22" s="4" t="s">
        <v>88</v>
      </c>
      <c r="H22" s="4" t="s">
        <v>89</v>
      </c>
      <c r="I22" s="4" t="s">
        <v>414</v>
      </c>
      <c r="J22" s="4" t="s">
        <v>412</v>
      </c>
      <c r="K22" s="2" t="s">
        <v>395</v>
      </c>
    </row>
    <row r="23" spans="1:11" ht="15" customHeight="1" x14ac:dyDescent="0.25">
      <c r="A23" s="3" t="s">
        <v>87</v>
      </c>
      <c r="B23" s="3" t="s">
        <v>253</v>
      </c>
      <c r="C23" s="3" t="s">
        <v>254</v>
      </c>
      <c r="D23" s="7">
        <v>125.02781052037633</v>
      </c>
      <c r="E23" s="2" t="s">
        <v>255</v>
      </c>
      <c r="F23" s="2" t="s">
        <v>260</v>
      </c>
      <c r="G23" s="4" t="s">
        <v>88</v>
      </c>
      <c r="H23" s="4" t="s">
        <v>89</v>
      </c>
      <c r="I23" s="4" t="s">
        <v>415</v>
      </c>
      <c r="J23" s="4" t="s">
        <v>412</v>
      </c>
      <c r="K23" s="2" t="s">
        <v>395</v>
      </c>
    </row>
    <row r="24" spans="1:11" ht="15" customHeight="1" x14ac:dyDescent="0.25">
      <c r="A24" s="3" t="s">
        <v>87</v>
      </c>
      <c r="B24" s="3" t="s">
        <v>261</v>
      </c>
      <c r="C24" s="3" t="s">
        <v>262</v>
      </c>
      <c r="D24" s="7">
        <v>2.7269710024471028E-2</v>
      </c>
      <c r="E24" s="2" t="s">
        <v>263</v>
      </c>
      <c r="F24" s="2" t="s">
        <v>260</v>
      </c>
      <c r="G24" s="4" t="s">
        <v>88</v>
      </c>
      <c r="H24" s="4" t="s">
        <v>89</v>
      </c>
      <c r="I24" s="4" t="s">
        <v>416</v>
      </c>
      <c r="J24" s="4" t="s">
        <v>412</v>
      </c>
      <c r="K24" s="2" t="s">
        <v>395</v>
      </c>
    </row>
    <row r="25" spans="1:11" ht="15" customHeight="1" x14ac:dyDescent="0.25">
      <c r="A25" s="3" t="s">
        <v>87</v>
      </c>
      <c r="B25" s="3" t="s">
        <v>267</v>
      </c>
      <c r="C25" s="3" t="s">
        <v>268</v>
      </c>
      <c r="D25" s="7">
        <v>2.5638981365007658E-2</v>
      </c>
      <c r="E25" s="2" t="s">
        <v>263</v>
      </c>
      <c r="F25" s="2" t="s">
        <v>260</v>
      </c>
      <c r="G25" s="4" t="s">
        <v>88</v>
      </c>
      <c r="H25" s="4" t="s">
        <v>89</v>
      </c>
      <c r="I25" s="4" t="s">
        <v>417</v>
      </c>
      <c r="J25" s="4" t="s">
        <v>412</v>
      </c>
      <c r="K25" s="2" t="s">
        <v>395</v>
      </c>
    </row>
    <row r="26" spans="1:11" ht="15" customHeight="1" x14ac:dyDescent="0.25">
      <c r="A26" s="3" t="s">
        <v>87</v>
      </c>
      <c r="B26" s="3" t="s">
        <v>272</v>
      </c>
      <c r="C26" s="3" t="s">
        <v>273</v>
      </c>
      <c r="D26" s="7">
        <v>9.2583037616575589E-2</v>
      </c>
      <c r="E26" s="2" t="s">
        <v>123</v>
      </c>
      <c r="F26" s="2" t="s">
        <v>279</v>
      </c>
      <c r="G26" s="4" t="s">
        <v>88</v>
      </c>
      <c r="H26" s="4" t="s">
        <v>89</v>
      </c>
      <c r="I26" s="4" t="s">
        <v>418</v>
      </c>
      <c r="J26" s="4" t="s">
        <v>419</v>
      </c>
      <c r="K26" s="2" t="s">
        <v>395</v>
      </c>
    </row>
    <row r="27" spans="1:11" ht="15" customHeight="1" x14ac:dyDescent="0.25">
      <c r="A27" s="3" t="s">
        <v>87</v>
      </c>
      <c r="B27" s="3" t="s">
        <v>281</v>
      </c>
      <c r="C27" s="3" t="s">
        <v>282</v>
      </c>
      <c r="D27" s="7">
        <v>0.80611897953339418</v>
      </c>
      <c r="E27" s="2" t="s">
        <v>123</v>
      </c>
      <c r="F27" s="2" t="s">
        <v>260</v>
      </c>
      <c r="G27" s="4" t="s">
        <v>88</v>
      </c>
      <c r="H27" s="4" t="s">
        <v>89</v>
      </c>
      <c r="I27" s="4" t="s">
        <v>420</v>
      </c>
      <c r="J27" s="4" t="s">
        <v>412</v>
      </c>
      <c r="K27" s="2" t="s">
        <v>395</v>
      </c>
    </row>
    <row r="28" spans="1:11" ht="15" customHeight="1" x14ac:dyDescent="0.25">
      <c r="A28" s="3" t="s">
        <v>93</v>
      </c>
      <c r="B28" s="3" t="s">
        <v>287</v>
      </c>
      <c r="C28" s="3" t="s">
        <v>288</v>
      </c>
      <c r="D28" s="7">
        <v>454.87965603945833</v>
      </c>
      <c r="E28" s="2" t="s">
        <v>289</v>
      </c>
      <c r="F28" s="2" t="s">
        <v>208</v>
      </c>
      <c r="G28" s="4" t="s">
        <v>94</v>
      </c>
      <c r="H28" s="4" t="s">
        <v>89</v>
      </c>
      <c r="I28" s="4" t="s">
        <v>411</v>
      </c>
      <c r="J28" s="4" t="s">
        <v>421</v>
      </c>
      <c r="K28" s="2" t="s">
        <v>395</v>
      </c>
    </row>
    <row r="29" spans="1:11" ht="15" customHeight="1" x14ac:dyDescent="0.25">
      <c r="A29" s="3" t="s">
        <v>93</v>
      </c>
      <c r="B29" s="3" t="s">
        <v>294</v>
      </c>
      <c r="C29" s="3" t="s">
        <v>295</v>
      </c>
      <c r="D29" s="7">
        <v>0.34659797262552594</v>
      </c>
      <c r="E29" s="2" t="s">
        <v>123</v>
      </c>
      <c r="F29" s="2" t="s">
        <v>208</v>
      </c>
      <c r="G29" s="4" t="s">
        <v>94</v>
      </c>
      <c r="H29" s="4" t="s">
        <v>89</v>
      </c>
      <c r="I29" s="4" t="s">
        <v>413</v>
      </c>
      <c r="J29" s="4" t="s">
        <v>421</v>
      </c>
      <c r="K29" s="2" t="s">
        <v>395</v>
      </c>
    </row>
    <row r="30" spans="1:11" ht="15" customHeight="1" x14ac:dyDescent="0.25">
      <c r="A30" s="3" t="s">
        <v>93</v>
      </c>
      <c r="B30" s="3" t="s">
        <v>299</v>
      </c>
      <c r="C30" s="3" t="s">
        <v>300</v>
      </c>
      <c r="D30" s="7">
        <v>9.0615316337890578E-2</v>
      </c>
      <c r="E30" s="2" t="s">
        <v>123</v>
      </c>
      <c r="F30" s="2" t="s">
        <v>208</v>
      </c>
      <c r="G30" s="4" t="s">
        <v>94</v>
      </c>
      <c r="H30" s="4" t="s">
        <v>89</v>
      </c>
      <c r="I30" s="4" t="s">
        <v>414</v>
      </c>
      <c r="J30" s="4" t="s">
        <v>421</v>
      </c>
      <c r="K30" s="2" t="s">
        <v>395</v>
      </c>
    </row>
    <row r="31" spans="1:11" ht="15" customHeight="1" x14ac:dyDescent="0.25">
      <c r="A31" s="3" t="s">
        <v>93</v>
      </c>
      <c r="B31" s="3" t="s">
        <v>304</v>
      </c>
      <c r="C31" s="3" t="s">
        <v>305</v>
      </c>
      <c r="D31" s="7">
        <v>1.0071750145918217</v>
      </c>
      <c r="E31" s="2" t="s">
        <v>123</v>
      </c>
      <c r="F31" s="2" t="s">
        <v>208</v>
      </c>
      <c r="G31" s="4" t="s">
        <v>94</v>
      </c>
      <c r="H31" s="4" t="s">
        <v>89</v>
      </c>
      <c r="I31" s="4" t="s">
        <v>415</v>
      </c>
      <c r="J31" s="4" t="s">
        <v>421</v>
      </c>
      <c r="K31" s="2" t="s">
        <v>395</v>
      </c>
    </row>
    <row r="32" spans="1:11" ht="15" customHeight="1" x14ac:dyDescent="0.25">
      <c r="A32" s="3" t="s">
        <v>93</v>
      </c>
      <c r="B32" s="3" t="s">
        <v>312</v>
      </c>
      <c r="C32" s="3" t="s">
        <v>313</v>
      </c>
      <c r="D32" s="7">
        <v>0.56628899075120642</v>
      </c>
      <c r="E32" s="2" t="s">
        <v>123</v>
      </c>
      <c r="F32" s="2" t="s">
        <v>208</v>
      </c>
      <c r="G32" s="4" t="s">
        <v>94</v>
      </c>
      <c r="H32" s="4" t="s">
        <v>89</v>
      </c>
      <c r="I32" s="4" t="s">
        <v>416</v>
      </c>
      <c r="J32" s="4" t="s">
        <v>421</v>
      </c>
      <c r="K32" s="2" t="s">
        <v>395</v>
      </c>
    </row>
    <row r="33" spans="1:11" ht="15" customHeight="1" x14ac:dyDescent="0.25">
      <c r="A33" s="3" t="s">
        <v>93</v>
      </c>
      <c r="B33" s="3" t="s">
        <v>317</v>
      </c>
      <c r="C33" s="3" t="s">
        <v>318</v>
      </c>
      <c r="D33" s="7">
        <v>0.54884268983162765</v>
      </c>
      <c r="E33" s="2" t="s">
        <v>123</v>
      </c>
      <c r="F33" s="2" t="s">
        <v>208</v>
      </c>
      <c r="G33" s="4" t="s">
        <v>94</v>
      </c>
      <c r="H33" s="4" t="s">
        <v>89</v>
      </c>
      <c r="I33" s="4" t="s">
        <v>417</v>
      </c>
      <c r="J33" s="4" t="s">
        <v>421</v>
      </c>
      <c r="K33" s="2" t="s">
        <v>395</v>
      </c>
    </row>
    <row r="34" spans="1:11" ht="15" customHeight="1" x14ac:dyDescent="0.25">
      <c r="A34" s="3" t="s">
        <v>93</v>
      </c>
      <c r="B34" s="3" t="s">
        <v>323</v>
      </c>
      <c r="C34" s="3" t="s">
        <v>324</v>
      </c>
      <c r="D34" s="7">
        <v>0.19744236000046361</v>
      </c>
      <c r="E34" s="2" t="s">
        <v>123</v>
      </c>
      <c r="F34" s="2" t="s">
        <v>208</v>
      </c>
      <c r="G34" s="4" t="s">
        <v>94</v>
      </c>
      <c r="H34" s="4" t="s">
        <v>89</v>
      </c>
      <c r="I34" s="4" t="s">
        <v>418</v>
      </c>
      <c r="J34" s="4" t="s">
        <v>421</v>
      </c>
      <c r="K34" s="2" t="s">
        <v>395</v>
      </c>
    </row>
    <row r="35" spans="1:11" ht="15" customHeight="1" x14ac:dyDescent="0.25">
      <c r="A35" s="3" t="s">
        <v>93</v>
      </c>
      <c r="B35" s="3" t="s">
        <v>328</v>
      </c>
      <c r="C35" s="3" t="s">
        <v>329</v>
      </c>
      <c r="D35" s="7">
        <v>67.9146412605797</v>
      </c>
      <c r="E35" s="2" t="s">
        <v>289</v>
      </c>
      <c r="F35" s="2" t="s">
        <v>208</v>
      </c>
      <c r="G35" s="4" t="s">
        <v>94</v>
      </c>
      <c r="H35" s="4" t="s">
        <v>89</v>
      </c>
      <c r="I35" s="4" t="s">
        <v>420</v>
      </c>
      <c r="J35" s="4" t="s">
        <v>421</v>
      </c>
      <c r="K35" s="2" t="s">
        <v>395</v>
      </c>
    </row>
    <row r="36" spans="1:11" ht="15" customHeight="1" x14ac:dyDescent="0.25">
      <c r="A36" s="3" t="s">
        <v>93</v>
      </c>
      <c r="B36" s="3" t="s">
        <v>335</v>
      </c>
      <c r="C36" s="3" t="s">
        <v>336</v>
      </c>
      <c r="D36" s="7">
        <v>0.41686880937942183</v>
      </c>
      <c r="E36" s="2" t="s">
        <v>123</v>
      </c>
      <c r="F36" s="2" t="s">
        <v>340</v>
      </c>
      <c r="G36" s="4" t="s">
        <v>94</v>
      </c>
      <c r="H36" s="4" t="s">
        <v>89</v>
      </c>
      <c r="I36" s="4" t="s">
        <v>422</v>
      </c>
      <c r="J36" s="4" t="s">
        <v>423</v>
      </c>
      <c r="K36" s="2" t="s">
        <v>395</v>
      </c>
    </row>
    <row r="37" spans="1:11" ht="15" customHeight="1" x14ac:dyDescent="0.25">
      <c r="A37" s="3" t="s">
        <v>93</v>
      </c>
      <c r="B37" s="3" t="s">
        <v>342</v>
      </c>
      <c r="C37" s="3" t="s">
        <v>343</v>
      </c>
      <c r="D37" s="7">
        <v>0.9681647521388449</v>
      </c>
      <c r="E37" s="2" t="s">
        <v>123</v>
      </c>
      <c r="F37" s="2" t="s">
        <v>208</v>
      </c>
      <c r="G37" s="4" t="s">
        <v>94</v>
      </c>
      <c r="H37" s="4" t="s">
        <v>89</v>
      </c>
      <c r="I37" s="4" t="s">
        <v>424</v>
      </c>
      <c r="J37" s="4" t="s">
        <v>421</v>
      </c>
      <c r="K37" s="2" t="s">
        <v>395</v>
      </c>
    </row>
    <row r="38" spans="1:11" ht="15" customHeight="1" x14ac:dyDescent="0.25">
      <c r="A38" s="3" t="s">
        <v>99</v>
      </c>
      <c r="B38" s="3" t="s">
        <v>347</v>
      </c>
      <c r="C38" s="3" t="s">
        <v>348</v>
      </c>
      <c r="D38" s="7">
        <v>0.8125</v>
      </c>
      <c r="E38" s="2" t="s">
        <v>123</v>
      </c>
      <c r="F38" s="2" t="s">
        <v>354</v>
      </c>
      <c r="G38" s="4" t="s">
        <v>100</v>
      </c>
      <c r="H38" s="4" t="s">
        <v>89</v>
      </c>
      <c r="I38" s="4" t="s">
        <v>411</v>
      </c>
      <c r="J38" s="4" t="s">
        <v>425</v>
      </c>
      <c r="K38" s="2" t="s">
        <v>395</v>
      </c>
    </row>
    <row r="39" spans="1:11" ht="15" customHeight="1" x14ac:dyDescent="0.25">
      <c r="A39" s="3" t="s">
        <v>99</v>
      </c>
      <c r="B39" s="3" t="s">
        <v>356</v>
      </c>
      <c r="C39" s="3" t="s">
        <v>357</v>
      </c>
      <c r="D39" s="7">
        <v>0.625</v>
      </c>
      <c r="E39" s="2" t="s">
        <v>123</v>
      </c>
      <c r="F39" s="2" t="s">
        <v>354</v>
      </c>
      <c r="G39" s="4" t="s">
        <v>100</v>
      </c>
      <c r="H39" s="4" t="s">
        <v>89</v>
      </c>
      <c r="I39" s="4" t="s">
        <v>413</v>
      </c>
      <c r="J39" s="4" t="s">
        <v>425</v>
      </c>
      <c r="K39" s="2" t="s">
        <v>395</v>
      </c>
    </row>
    <row r="40" spans="1:11" ht="15" customHeight="1" x14ac:dyDescent="0.25">
      <c r="A40" s="3" t="s">
        <v>99</v>
      </c>
      <c r="B40" s="3" t="s">
        <v>362</v>
      </c>
      <c r="C40" s="3" t="s">
        <v>363</v>
      </c>
      <c r="D40" s="7">
        <v>0.5</v>
      </c>
      <c r="E40" s="2" t="s">
        <v>123</v>
      </c>
      <c r="F40" s="2" t="s">
        <v>354</v>
      </c>
      <c r="G40" s="4" t="s">
        <v>100</v>
      </c>
      <c r="H40" s="4" t="s">
        <v>89</v>
      </c>
      <c r="I40" s="4" t="s">
        <v>414</v>
      </c>
      <c r="J40" s="4" t="s">
        <v>425</v>
      </c>
      <c r="K40" s="2" t="s">
        <v>395</v>
      </c>
    </row>
    <row r="41" spans="1:11" ht="15" customHeight="1" x14ac:dyDescent="0.25">
      <c r="A41" s="3" t="s">
        <v>99</v>
      </c>
      <c r="B41" s="3" t="s">
        <v>368</v>
      </c>
      <c r="C41" s="3" t="s">
        <v>369</v>
      </c>
      <c r="D41" s="7">
        <v>0.4375</v>
      </c>
      <c r="E41" s="2" t="s">
        <v>123</v>
      </c>
      <c r="F41" s="2" t="s">
        <v>354</v>
      </c>
      <c r="G41" s="4" t="s">
        <v>100</v>
      </c>
      <c r="H41" s="4" t="s">
        <v>89</v>
      </c>
      <c r="I41" s="4" t="s">
        <v>415</v>
      </c>
      <c r="J41" s="4" t="s">
        <v>425</v>
      </c>
      <c r="K41" s="2" t="s">
        <v>395</v>
      </c>
    </row>
  </sheetData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28"/>
  <sheetViews>
    <sheetView showGridLines="0" topLeftCell="A174" workbookViewId="0">
      <selection activeCell="M198" sqref="M198"/>
    </sheetView>
  </sheetViews>
  <sheetFormatPr defaultRowHeight="15" x14ac:dyDescent="0.25"/>
  <cols>
    <col min="1" max="2" width="12" customWidth="1"/>
    <col min="3" max="4" width="14" customWidth="1"/>
    <col min="5" max="5" width="23" customWidth="1"/>
    <col min="6" max="9" width="30" customWidth="1"/>
  </cols>
  <sheetData>
    <row r="1" spans="1:9" ht="27" customHeight="1" x14ac:dyDescent="0.25">
      <c r="A1" s="10" t="s">
        <v>426</v>
      </c>
      <c r="B1" s="10"/>
      <c r="C1" s="10"/>
      <c r="D1" s="10"/>
      <c r="E1" s="10"/>
      <c r="F1" s="10"/>
      <c r="G1" s="10"/>
      <c r="H1" s="10"/>
      <c r="I1" s="10"/>
    </row>
    <row r="3" spans="1:9" x14ac:dyDescent="0.25">
      <c r="A3" s="1" t="s">
        <v>60</v>
      </c>
      <c r="B3" s="1" t="s">
        <v>105</v>
      </c>
      <c r="C3" s="1" t="s">
        <v>427</v>
      </c>
      <c r="D3" s="1" t="s">
        <v>387</v>
      </c>
      <c r="E3" s="1" t="s">
        <v>428</v>
      </c>
      <c r="F3" s="1" t="s">
        <v>388</v>
      </c>
      <c r="G3" s="1" t="s">
        <v>389</v>
      </c>
      <c r="H3" s="1" t="s">
        <v>390</v>
      </c>
      <c r="I3" s="1" t="s">
        <v>429</v>
      </c>
    </row>
    <row r="4" spans="1:9" ht="15" customHeight="1" x14ac:dyDescent="0.25">
      <c r="A4" s="3" t="s">
        <v>67</v>
      </c>
      <c r="B4" s="3" t="s">
        <v>121</v>
      </c>
      <c r="C4" s="3">
        <v>2016</v>
      </c>
      <c r="D4" s="7">
        <v>1</v>
      </c>
      <c r="E4" s="2" t="s">
        <v>430</v>
      </c>
      <c r="F4" s="4" t="s">
        <v>68</v>
      </c>
      <c r="G4" s="4" t="s">
        <v>69</v>
      </c>
      <c r="H4" s="4" t="s">
        <v>431</v>
      </c>
      <c r="I4" s="2"/>
    </row>
    <row r="5" spans="1:9" ht="15" customHeight="1" x14ac:dyDescent="0.25">
      <c r="A5" s="3" t="s">
        <v>67</v>
      </c>
      <c r="B5" s="3" t="s">
        <v>121</v>
      </c>
      <c r="C5" s="3">
        <v>2017</v>
      </c>
      <c r="D5" s="7">
        <v>0.75</v>
      </c>
      <c r="E5" s="2" t="s">
        <v>430</v>
      </c>
      <c r="F5" s="4" t="s">
        <v>68</v>
      </c>
      <c r="G5" s="4" t="s">
        <v>69</v>
      </c>
      <c r="H5" s="4" t="s">
        <v>432</v>
      </c>
      <c r="I5" s="2"/>
    </row>
    <row r="6" spans="1:9" ht="15" customHeight="1" x14ac:dyDescent="0.25">
      <c r="A6" s="3" t="s">
        <v>67</v>
      </c>
      <c r="B6" s="3" t="s">
        <v>121</v>
      </c>
      <c r="C6" s="3">
        <v>2018</v>
      </c>
      <c r="D6" s="7">
        <v>0.83333333333333337</v>
      </c>
      <c r="E6" s="2" t="s">
        <v>430</v>
      </c>
      <c r="F6" s="4" t="s">
        <v>68</v>
      </c>
      <c r="G6" s="4" t="s">
        <v>69</v>
      </c>
      <c r="H6" s="4" t="s">
        <v>433</v>
      </c>
      <c r="I6" s="2"/>
    </row>
    <row r="7" spans="1:9" ht="15" customHeight="1" x14ac:dyDescent="0.25">
      <c r="A7" s="3" t="s">
        <v>67</v>
      </c>
      <c r="B7" s="3" t="s">
        <v>121</v>
      </c>
      <c r="C7" s="3">
        <v>2019</v>
      </c>
      <c r="D7" s="7">
        <v>0.25</v>
      </c>
      <c r="E7" s="2" t="s">
        <v>430</v>
      </c>
      <c r="F7" s="4" t="s">
        <v>68</v>
      </c>
      <c r="G7" s="4" t="s">
        <v>69</v>
      </c>
      <c r="H7" s="4" t="s">
        <v>434</v>
      </c>
      <c r="I7" s="2"/>
    </row>
    <row r="8" spans="1:9" ht="15" customHeight="1" x14ac:dyDescent="0.25">
      <c r="A8" s="3" t="s">
        <v>67</v>
      </c>
      <c r="B8" s="3" t="s">
        <v>121</v>
      </c>
      <c r="C8" s="3">
        <v>2020</v>
      </c>
      <c r="D8" s="7">
        <v>0.91666666666666663</v>
      </c>
      <c r="E8" s="2" t="s">
        <v>430</v>
      </c>
      <c r="F8" s="4" t="s">
        <v>68</v>
      </c>
      <c r="G8" s="4" t="s">
        <v>69</v>
      </c>
      <c r="H8" s="4" t="s">
        <v>435</v>
      </c>
      <c r="I8" s="2"/>
    </row>
    <row r="9" spans="1:9" ht="15" customHeight="1" x14ac:dyDescent="0.25">
      <c r="A9" s="3" t="s">
        <v>67</v>
      </c>
      <c r="B9" s="3" t="s">
        <v>121</v>
      </c>
      <c r="C9" s="3">
        <v>2021</v>
      </c>
      <c r="D9" s="7">
        <v>0.91666666666666663</v>
      </c>
      <c r="E9" s="2" t="s">
        <v>430</v>
      </c>
      <c r="F9" s="4" t="s">
        <v>68</v>
      </c>
      <c r="G9" s="4" t="s">
        <v>69</v>
      </c>
      <c r="H9" s="4" t="s">
        <v>436</v>
      </c>
      <c r="I9" s="2"/>
    </row>
    <row r="10" spans="1:9" ht="15" customHeight="1" x14ac:dyDescent="0.25">
      <c r="A10" s="3" t="s">
        <v>67</v>
      </c>
      <c r="B10" s="3" t="s">
        <v>121</v>
      </c>
      <c r="C10" s="3">
        <v>2022</v>
      </c>
      <c r="D10" s="7">
        <v>0.16666666666666666</v>
      </c>
      <c r="E10" s="2" t="s">
        <v>430</v>
      </c>
      <c r="F10" s="4" t="s">
        <v>68</v>
      </c>
      <c r="G10" s="4" t="s">
        <v>69</v>
      </c>
      <c r="H10" s="4" t="s">
        <v>437</v>
      </c>
      <c r="I10" s="2"/>
    </row>
    <row r="11" spans="1:9" ht="15" customHeight="1" x14ac:dyDescent="0.25">
      <c r="A11" s="3" t="s">
        <v>67</v>
      </c>
      <c r="B11" s="3" t="s">
        <v>121</v>
      </c>
      <c r="C11" s="3">
        <v>2023</v>
      </c>
      <c r="D11" s="7">
        <v>0.41666666666666669</v>
      </c>
      <c r="E11" s="2" t="s">
        <v>430</v>
      </c>
      <c r="F11" s="4" t="s">
        <v>68</v>
      </c>
      <c r="G11" s="4" t="s">
        <v>69</v>
      </c>
      <c r="H11" s="4" t="s">
        <v>438</v>
      </c>
      <c r="I11" s="2"/>
    </row>
    <row r="12" spans="1:9" ht="15" customHeight="1" x14ac:dyDescent="0.25">
      <c r="A12" s="3" t="s">
        <v>67</v>
      </c>
      <c r="B12" s="3" t="s">
        <v>121</v>
      </c>
      <c r="C12" s="3">
        <v>2024</v>
      </c>
      <c r="D12" s="7">
        <v>1</v>
      </c>
      <c r="E12" s="2" t="s">
        <v>430</v>
      </c>
      <c r="F12" s="4" t="s">
        <v>68</v>
      </c>
      <c r="G12" s="4" t="s">
        <v>69</v>
      </c>
      <c r="H12" s="4" t="s">
        <v>439</v>
      </c>
      <c r="I12" s="2"/>
    </row>
    <row r="13" spans="1:9" ht="15" customHeight="1" x14ac:dyDescent="0.25">
      <c r="A13" s="3" t="s">
        <v>67</v>
      </c>
      <c r="B13" s="3" t="s">
        <v>121</v>
      </c>
      <c r="C13" s="3">
        <v>2025</v>
      </c>
      <c r="D13" s="7">
        <v>1</v>
      </c>
      <c r="E13" s="2" t="s">
        <v>430</v>
      </c>
      <c r="F13" s="4" t="s">
        <v>68</v>
      </c>
      <c r="G13" s="4" t="s">
        <v>69</v>
      </c>
      <c r="H13" s="4" t="s">
        <v>440</v>
      </c>
      <c r="I13" s="2"/>
    </row>
    <row r="14" spans="1:9" ht="15" customHeight="1" x14ac:dyDescent="0.25">
      <c r="A14" s="3" t="s">
        <v>67</v>
      </c>
      <c r="B14" s="3" t="s">
        <v>133</v>
      </c>
      <c r="C14" s="3">
        <v>2016</v>
      </c>
      <c r="D14" s="7">
        <v>1</v>
      </c>
      <c r="E14" s="2" t="s">
        <v>430</v>
      </c>
      <c r="F14" s="4" t="s">
        <v>68</v>
      </c>
      <c r="G14" s="4" t="s">
        <v>69</v>
      </c>
      <c r="H14" s="4" t="s">
        <v>441</v>
      </c>
      <c r="I14" s="2"/>
    </row>
    <row r="15" spans="1:9" ht="15" customHeight="1" x14ac:dyDescent="0.25">
      <c r="A15" s="3" t="s">
        <v>67</v>
      </c>
      <c r="B15" s="3" t="s">
        <v>133</v>
      </c>
      <c r="C15" s="3">
        <v>2017</v>
      </c>
      <c r="D15" s="7">
        <v>0.96357804573573891</v>
      </c>
      <c r="E15" s="2" t="s">
        <v>430</v>
      </c>
      <c r="F15" s="4" t="s">
        <v>68</v>
      </c>
      <c r="G15" s="4" t="s">
        <v>69</v>
      </c>
      <c r="H15" s="4" t="s">
        <v>442</v>
      </c>
      <c r="I15" s="2"/>
    </row>
    <row r="16" spans="1:9" ht="15" customHeight="1" x14ac:dyDescent="0.25">
      <c r="A16" s="3" t="s">
        <v>67</v>
      </c>
      <c r="B16" s="3" t="s">
        <v>133</v>
      </c>
      <c r="C16" s="3">
        <v>2018</v>
      </c>
      <c r="D16" s="7">
        <v>0.93986503921045683</v>
      </c>
      <c r="E16" s="2" t="s">
        <v>430</v>
      </c>
      <c r="F16" s="4" t="s">
        <v>68</v>
      </c>
      <c r="G16" s="4" t="s">
        <v>69</v>
      </c>
      <c r="H16" s="4" t="s">
        <v>443</v>
      </c>
      <c r="I16" s="2"/>
    </row>
    <row r="17" spans="1:9" ht="15" customHeight="1" x14ac:dyDescent="0.25">
      <c r="A17" s="3" t="s">
        <v>67</v>
      </c>
      <c r="B17" s="3" t="s">
        <v>133</v>
      </c>
      <c r="C17" s="3">
        <v>2019</v>
      </c>
      <c r="D17" s="7">
        <v>5.9809026275220334E-2</v>
      </c>
      <c r="E17" s="2" t="s">
        <v>430</v>
      </c>
      <c r="F17" s="4" t="s">
        <v>68</v>
      </c>
      <c r="G17" s="4" t="s">
        <v>69</v>
      </c>
      <c r="H17" s="4" t="s">
        <v>444</v>
      </c>
      <c r="I17" s="2"/>
    </row>
    <row r="18" spans="1:9" ht="15" customHeight="1" x14ac:dyDescent="0.25">
      <c r="A18" s="3" t="s">
        <v>67</v>
      </c>
      <c r="B18" s="3" t="s">
        <v>133</v>
      </c>
      <c r="C18" s="3">
        <v>2020</v>
      </c>
      <c r="D18" s="7">
        <v>0.98303477797853234</v>
      </c>
      <c r="E18" s="2" t="s">
        <v>430</v>
      </c>
      <c r="F18" s="4" t="s">
        <v>68</v>
      </c>
      <c r="G18" s="4" t="s">
        <v>69</v>
      </c>
      <c r="H18" s="4" t="s">
        <v>445</v>
      </c>
      <c r="I18" s="2"/>
    </row>
    <row r="19" spans="1:9" ht="15" customHeight="1" x14ac:dyDescent="0.25">
      <c r="A19" s="3" t="s">
        <v>67</v>
      </c>
      <c r="B19" s="3" t="s">
        <v>133</v>
      </c>
      <c r="C19" s="3">
        <v>2021</v>
      </c>
      <c r="D19" s="7">
        <v>0.99999758993955734</v>
      </c>
      <c r="E19" s="2" t="s">
        <v>430</v>
      </c>
      <c r="F19" s="4" t="s">
        <v>68</v>
      </c>
      <c r="G19" s="4" t="s">
        <v>69</v>
      </c>
      <c r="H19" s="4" t="s">
        <v>446</v>
      </c>
      <c r="I19" s="2"/>
    </row>
    <row r="20" spans="1:9" ht="15" customHeight="1" x14ac:dyDescent="0.25">
      <c r="A20" s="3" t="s">
        <v>67</v>
      </c>
      <c r="B20" s="3" t="s">
        <v>133</v>
      </c>
      <c r="C20" s="3">
        <v>2022</v>
      </c>
      <c r="D20" s="7">
        <v>0.8777645866741588</v>
      </c>
      <c r="E20" s="2" t="s">
        <v>430</v>
      </c>
      <c r="F20" s="4" t="s">
        <v>68</v>
      </c>
      <c r="G20" s="4" t="s">
        <v>69</v>
      </c>
      <c r="H20" s="4" t="s">
        <v>447</v>
      </c>
      <c r="I20" s="2"/>
    </row>
    <row r="21" spans="1:9" ht="15" customHeight="1" x14ac:dyDescent="0.25">
      <c r="A21" s="3" t="s">
        <v>67</v>
      </c>
      <c r="B21" s="3" t="s">
        <v>133</v>
      </c>
      <c r="C21" s="3">
        <v>2023</v>
      </c>
      <c r="D21" s="7">
        <v>0.3477801678595499</v>
      </c>
      <c r="E21" s="2" t="s">
        <v>430</v>
      </c>
      <c r="F21" s="4" t="s">
        <v>68</v>
      </c>
      <c r="G21" s="4" t="s">
        <v>69</v>
      </c>
      <c r="H21" s="4" t="s">
        <v>448</v>
      </c>
      <c r="I21" s="2"/>
    </row>
    <row r="22" spans="1:9" ht="15" customHeight="1" x14ac:dyDescent="0.25">
      <c r="A22" s="3" t="s">
        <v>67</v>
      </c>
      <c r="B22" s="3" t="s">
        <v>133</v>
      </c>
      <c r="C22" s="3">
        <v>2024</v>
      </c>
      <c r="D22" s="7">
        <v>1</v>
      </c>
      <c r="E22" s="2" t="s">
        <v>430</v>
      </c>
      <c r="F22" s="4" t="s">
        <v>68</v>
      </c>
      <c r="G22" s="4" t="s">
        <v>69</v>
      </c>
      <c r="H22" s="4" t="s">
        <v>449</v>
      </c>
      <c r="I22" s="2"/>
    </row>
    <row r="23" spans="1:9" ht="15" customHeight="1" x14ac:dyDescent="0.25">
      <c r="A23" s="3" t="s">
        <v>67</v>
      </c>
      <c r="B23" s="3" t="s">
        <v>133</v>
      </c>
      <c r="C23" s="3">
        <v>2025</v>
      </c>
      <c r="D23" s="7">
        <v>1</v>
      </c>
      <c r="E23" s="2" t="s">
        <v>430</v>
      </c>
      <c r="F23" s="4" t="s">
        <v>68</v>
      </c>
      <c r="G23" s="4" t="s">
        <v>69</v>
      </c>
      <c r="H23" s="4" t="s">
        <v>450</v>
      </c>
      <c r="I23" s="2"/>
    </row>
    <row r="24" spans="1:9" ht="15" customHeight="1" x14ac:dyDescent="0.25">
      <c r="A24" s="3" t="s">
        <v>67</v>
      </c>
      <c r="B24" s="3" t="s">
        <v>138</v>
      </c>
      <c r="C24" s="3">
        <v>2016</v>
      </c>
      <c r="D24" s="7">
        <v>0</v>
      </c>
      <c r="E24" s="2" t="s">
        <v>430</v>
      </c>
      <c r="F24" s="4" t="s">
        <v>68</v>
      </c>
      <c r="G24" s="4" t="s">
        <v>69</v>
      </c>
      <c r="H24" s="4" t="s">
        <v>451</v>
      </c>
      <c r="I24" s="2"/>
    </row>
    <row r="25" spans="1:9" ht="15" customHeight="1" x14ac:dyDescent="0.25">
      <c r="A25" s="3" t="s">
        <v>67</v>
      </c>
      <c r="B25" s="3" t="s">
        <v>138</v>
      </c>
      <c r="C25" s="3">
        <v>2017</v>
      </c>
      <c r="D25" s="7">
        <v>1</v>
      </c>
      <c r="E25" s="2" t="s">
        <v>430</v>
      </c>
      <c r="F25" s="4" t="s">
        <v>68</v>
      </c>
      <c r="G25" s="4" t="s">
        <v>69</v>
      </c>
      <c r="H25" s="4" t="s">
        <v>452</v>
      </c>
      <c r="I25" s="2"/>
    </row>
    <row r="26" spans="1:9" ht="15" customHeight="1" x14ac:dyDescent="0.25">
      <c r="A26" s="3" t="s">
        <v>67</v>
      </c>
      <c r="B26" s="3" t="s">
        <v>138</v>
      </c>
      <c r="C26" s="3">
        <v>2018</v>
      </c>
      <c r="D26" s="7">
        <v>4</v>
      </c>
      <c r="E26" s="2" t="s">
        <v>430</v>
      </c>
      <c r="F26" s="4" t="s">
        <v>68</v>
      </c>
      <c r="G26" s="4" t="s">
        <v>69</v>
      </c>
      <c r="H26" s="4" t="s">
        <v>453</v>
      </c>
      <c r="I26" s="2"/>
    </row>
    <row r="27" spans="1:9" ht="15" customHeight="1" x14ac:dyDescent="0.25">
      <c r="A27" s="3" t="s">
        <v>67</v>
      </c>
      <c r="B27" s="3" t="s">
        <v>138</v>
      </c>
      <c r="C27" s="3">
        <v>2019</v>
      </c>
      <c r="D27" s="7">
        <v>9</v>
      </c>
      <c r="E27" s="2" t="s">
        <v>430</v>
      </c>
      <c r="F27" s="4" t="s">
        <v>68</v>
      </c>
      <c r="G27" s="4" t="s">
        <v>69</v>
      </c>
      <c r="H27" s="4" t="s">
        <v>454</v>
      </c>
      <c r="I27" s="2"/>
    </row>
    <row r="28" spans="1:9" ht="15" customHeight="1" x14ac:dyDescent="0.25">
      <c r="A28" s="3" t="s">
        <v>67</v>
      </c>
      <c r="B28" s="3" t="s">
        <v>138</v>
      </c>
      <c r="C28" s="3">
        <v>2020</v>
      </c>
      <c r="D28" s="7">
        <v>1</v>
      </c>
      <c r="E28" s="2" t="s">
        <v>430</v>
      </c>
      <c r="F28" s="4" t="s">
        <v>68</v>
      </c>
      <c r="G28" s="4" t="s">
        <v>69</v>
      </c>
      <c r="H28" s="4" t="s">
        <v>455</v>
      </c>
      <c r="I28" s="2"/>
    </row>
    <row r="29" spans="1:9" ht="15" customHeight="1" x14ac:dyDescent="0.25">
      <c r="A29" s="3" t="s">
        <v>67</v>
      </c>
      <c r="B29" s="3" t="s">
        <v>138</v>
      </c>
      <c r="C29" s="3">
        <v>2021</v>
      </c>
      <c r="D29" s="7">
        <v>0</v>
      </c>
      <c r="E29" s="2" t="s">
        <v>430</v>
      </c>
      <c r="F29" s="4" t="s">
        <v>68</v>
      </c>
      <c r="G29" s="4" t="s">
        <v>69</v>
      </c>
      <c r="H29" s="4" t="s">
        <v>456</v>
      </c>
      <c r="I29" s="2"/>
    </row>
    <row r="30" spans="1:9" ht="15" customHeight="1" x14ac:dyDescent="0.25">
      <c r="A30" s="3" t="s">
        <v>67</v>
      </c>
      <c r="B30" s="3" t="s">
        <v>138</v>
      </c>
      <c r="C30" s="3">
        <v>2022</v>
      </c>
      <c r="D30" s="7">
        <v>5.5</v>
      </c>
      <c r="E30" s="2" t="s">
        <v>430</v>
      </c>
      <c r="F30" s="4" t="s">
        <v>68</v>
      </c>
      <c r="G30" s="4" t="s">
        <v>69</v>
      </c>
      <c r="H30" s="4" t="s">
        <v>457</v>
      </c>
      <c r="I30" s="2"/>
    </row>
    <row r="31" spans="1:9" ht="15" customHeight="1" x14ac:dyDescent="0.25">
      <c r="A31" s="3" t="s">
        <v>67</v>
      </c>
      <c r="B31" s="3" t="s">
        <v>138</v>
      </c>
      <c r="C31" s="3">
        <v>2023</v>
      </c>
      <c r="D31" s="7">
        <v>7</v>
      </c>
      <c r="E31" s="2" t="s">
        <v>430</v>
      </c>
      <c r="F31" s="4" t="s">
        <v>68</v>
      </c>
      <c r="G31" s="4" t="s">
        <v>69</v>
      </c>
      <c r="H31" s="4" t="s">
        <v>458</v>
      </c>
      <c r="I31" s="2"/>
    </row>
    <row r="32" spans="1:9" ht="15" customHeight="1" x14ac:dyDescent="0.25">
      <c r="A32" s="3" t="s">
        <v>67</v>
      </c>
      <c r="B32" s="3" t="s">
        <v>138</v>
      </c>
      <c r="C32" s="3">
        <v>2024</v>
      </c>
      <c r="D32" s="7">
        <v>0</v>
      </c>
      <c r="E32" s="2" t="s">
        <v>430</v>
      </c>
      <c r="F32" s="4" t="s">
        <v>68</v>
      </c>
      <c r="G32" s="4" t="s">
        <v>69</v>
      </c>
      <c r="H32" s="4" t="s">
        <v>459</v>
      </c>
      <c r="I32" s="2"/>
    </row>
    <row r="33" spans="1:9" ht="15" customHeight="1" x14ac:dyDescent="0.25">
      <c r="A33" s="3" t="s">
        <v>67</v>
      </c>
      <c r="B33" s="3" t="s">
        <v>138</v>
      </c>
      <c r="C33" s="3">
        <v>2025</v>
      </c>
      <c r="D33" s="7">
        <v>0</v>
      </c>
      <c r="E33" s="2" t="s">
        <v>430</v>
      </c>
      <c r="F33" s="4" t="s">
        <v>68</v>
      </c>
      <c r="G33" s="4" t="s">
        <v>69</v>
      </c>
      <c r="H33" s="4" t="s">
        <v>460</v>
      </c>
      <c r="I33" s="2"/>
    </row>
    <row r="34" spans="1:9" ht="15" customHeight="1" x14ac:dyDescent="0.25">
      <c r="A34" s="3" t="s">
        <v>67</v>
      </c>
      <c r="B34" s="3" t="s">
        <v>147</v>
      </c>
      <c r="C34" s="3">
        <v>2016</v>
      </c>
      <c r="D34" s="7">
        <v>1.5612658867377252</v>
      </c>
      <c r="E34" s="2" t="s">
        <v>430</v>
      </c>
      <c r="F34" s="4" t="s">
        <v>68</v>
      </c>
      <c r="G34" s="4" t="s">
        <v>69</v>
      </c>
      <c r="H34" s="4" t="s">
        <v>461</v>
      </c>
      <c r="I34" s="2"/>
    </row>
    <row r="35" spans="1:9" ht="15" customHeight="1" x14ac:dyDescent="0.25">
      <c r="A35" s="3" t="s">
        <v>67</v>
      </c>
      <c r="B35" s="3" t="s">
        <v>147</v>
      </c>
      <c r="C35" s="3">
        <v>2017</v>
      </c>
      <c r="D35" s="7">
        <v>2.3320146325846425</v>
      </c>
      <c r="E35" s="2" t="s">
        <v>430</v>
      </c>
      <c r="F35" s="4" t="s">
        <v>68</v>
      </c>
      <c r="G35" s="4" t="s">
        <v>69</v>
      </c>
      <c r="H35" s="4" t="s">
        <v>462</v>
      </c>
      <c r="I35" s="2"/>
    </row>
    <row r="36" spans="1:9" ht="15" customHeight="1" x14ac:dyDescent="0.25">
      <c r="A36" s="3" t="s">
        <v>67</v>
      </c>
      <c r="B36" s="3" t="s">
        <v>147</v>
      </c>
      <c r="C36" s="3">
        <v>2018</v>
      </c>
      <c r="D36" s="7">
        <v>2.2886757337171111</v>
      </c>
      <c r="E36" s="2" t="s">
        <v>430</v>
      </c>
      <c r="F36" s="4" t="s">
        <v>68</v>
      </c>
      <c r="G36" s="4" t="s">
        <v>69</v>
      </c>
      <c r="H36" s="4" t="s">
        <v>463</v>
      </c>
      <c r="I36" s="2"/>
    </row>
    <row r="37" spans="1:9" ht="15" customHeight="1" x14ac:dyDescent="0.25">
      <c r="A37" s="3" t="s">
        <v>67</v>
      </c>
      <c r="B37" s="3" t="s">
        <v>147</v>
      </c>
      <c r="C37" s="3">
        <v>2019</v>
      </c>
      <c r="D37" s="7">
        <v>2.3680953229908295</v>
      </c>
      <c r="E37" s="2" t="s">
        <v>430</v>
      </c>
      <c r="F37" s="4" t="s">
        <v>68</v>
      </c>
      <c r="G37" s="4" t="s">
        <v>69</v>
      </c>
      <c r="H37" s="4" t="s">
        <v>464</v>
      </c>
      <c r="I37" s="2"/>
    </row>
    <row r="38" spans="1:9" ht="15" customHeight="1" x14ac:dyDescent="0.25">
      <c r="A38" s="3" t="s">
        <v>67</v>
      </c>
      <c r="B38" s="3" t="s">
        <v>147</v>
      </c>
      <c r="C38" s="3">
        <v>2020</v>
      </c>
      <c r="D38" s="7">
        <v>1.5273719669165629</v>
      </c>
      <c r="E38" s="2" t="s">
        <v>430</v>
      </c>
      <c r="F38" s="4" t="s">
        <v>68</v>
      </c>
      <c r="G38" s="4" t="s">
        <v>69</v>
      </c>
      <c r="H38" s="4" t="s">
        <v>465</v>
      </c>
      <c r="I38" s="2"/>
    </row>
    <row r="39" spans="1:9" ht="15" customHeight="1" x14ac:dyDescent="0.25">
      <c r="A39" s="3" t="s">
        <v>67</v>
      </c>
      <c r="B39" s="3" t="s">
        <v>147</v>
      </c>
      <c r="C39" s="3">
        <v>2021</v>
      </c>
      <c r="D39" s="7">
        <v>1.8549709911156431</v>
      </c>
      <c r="E39" s="2" t="s">
        <v>430</v>
      </c>
      <c r="F39" s="4" t="s">
        <v>68</v>
      </c>
      <c r="G39" s="4" t="s">
        <v>69</v>
      </c>
      <c r="H39" s="4" t="s">
        <v>466</v>
      </c>
      <c r="I39" s="2"/>
    </row>
    <row r="40" spans="1:9" ht="15" customHeight="1" x14ac:dyDescent="0.25">
      <c r="A40" s="3" t="s">
        <v>67</v>
      </c>
      <c r="B40" s="3" t="s">
        <v>147</v>
      </c>
      <c r="C40" s="3">
        <v>2022</v>
      </c>
      <c r="D40" s="7">
        <v>2.3569792876042075</v>
      </c>
      <c r="E40" s="2" t="s">
        <v>430</v>
      </c>
      <c r="F40" s="4" t="s">
        <v>68</v>
      </c>
      <c r="G40" s="4" t="s">
        <v>69</v>
      </c>
      <c r="H40" s="4" t="s">
        <v>467</v>
      </c>
      <c r="I40" s="2"/>
    </row>
    <row r="41" spans="1:9" ht="15" customHeight="1" x14ac:dyDescent="0.25">
      <c r="A41" s="3" t="s">
        <v>67</v>
      </c>
      <c r="B41" s="3" t="s">
        <v>147</v>
      </c>
      <c r="C41" s="3">
        <v>2023</v>
      </c>
      <c r="D41" s="7">
        <v>2.4581428636806364</v>
      </c>
      <c r="E41" s="2" t="s">
        <v>430</v>
      </c>
      <c r="F41" s="4" t="s">
        <v>68</v>
      </c>
      <c r="G41" s="4" t="s">
        <v>69</v>
      </c>
      <c r="H41" s="4" t="s">
        <v>468</v>
      </c>
      <c r="I41" s="2"/>
    </row>
    <row r="42" spans="1:9" ht="15" customHeight="1" x14ac:dyDescent="0.25">
      <c r="A42" s="3" t="s">
        <v>67</v>
      </c>
      <c r="B42" s="3" t="s">
        <v>147</v>
      </c>
      <c r="C42" s="3">
        <v>2024</v>
      </c>
      <c r="D42" s="7">
        <v>1.1979349328248481</v>
      </c>
      <c r="E42" s="2" t="s">
        <v>430</v>
      </c>
      <c r="F42" s="4" t="s">
        <v>68</v>
      </c>
      <c r="G42" s="4" t="s">
        <v>69</v>
      </c>
      <c r="H42" s="4" t="s">
        <v>469</v>
      </c>
      <c r="I42" s="2"/>
    </row>
    <row r="43" spans="1:9" ht="15" customHeight="1" x14ac:dyDescent="0.25">
      <c r="A43" s="3" t="s">
        <v>67</v>
      </c>
      <c r="B43" s="3" t="s">
        <v>147</v>
      </c>
      <c r="C43" s="3">
        <v>2025</v>
      </c>
      <c r="D43" s="7">
        <v>1.6766237856729889</v>
      </c>
      <c r="E43" s="2" t="s">
        <v>430</v>
      </c>
      <c r="F43" s="4" t="s">
        <v>68</v>
      </c>
      <c r="G43" s="4" t="s">
        <v>69</v>
      </c>
      <c r="H43" s="4" t="s">
        <v>470</v>
      </c>
      <c r="I43" s="2"/>
    </row>
    <row r="44" spans="1:9" ht="15" customHeight="1" x14ac:dyDescent="0.25">
      <c r="A44" s="3" t="s">
        <v>67</v>
      </c>
      <c r="B44" s="3" t="s">
        <v>156</v>
      </c>
      <c r="C44" s="3">
        <v>2016</v>
      </c>
      <c r="D44" s="7">
        <v>25.869852424958317</v>
      </c>
      <c r="E44" s="2" t="s">
        <v>430</v>
      </c>
      <c r="F44" s="4" t="s">
        <v>68</v>
      </c>
      <c r="G44" s="4" t="s">
        <v>69</v>
      </c>
      <c r="H44" s="4" t="s">
        <v>471</v>
      </c>
      <c r="I44" s="2"/>
    </row>
    <row r="45" spans="1:9" ht="15" customHeight="1" x14ac:dyDescent="0.25">
      <c r="A45" s="3" t="s">
        <v>67</v>
      </c>
      <c r="B45" s="3" t="s">
        <v>156</v>
      </c>
      <c r="C45" s="3">
        <v>2017</v>
      </c>
      <c r="D45" s="7">
        <v>90.830935457300612</v>
      </c>
      <c r="E45" s="2" t="s">
        <v>430</v>
      </c>
      <c r="F45" s="4" t="s">
        <v>68</v>
      </c>
      <c r="G45" s="4" t="s">
        <v>69</v>
      </c>
      <c r="H45" s="4" t="s">
        <v>472</v>
      </c>
      <c r="I45" s="2"/>
    </row>
    <row r="46" spans="1:9" ht="15" customHeight="1" x14ac:dyDescent="0.25">
      <c r="A46" s="3" t="s">
        <v>67</v>
      </c>
      <c r="B46" s="3" t="s">
        <v>156</v>
      </c>
      <c r="C46" s="3">
        <v>2018</v>
      </c>
      <c r="D46" s="7">
        <v>4.8587336492057336</v>
      </c>
      <c r="E46" s="2" t="s">
        <v>430</v>
      </c>
      <c r="F46" s="4" t="s">
        <v>68</v>
      </c>
      <c r="G46" s="4" t="s">
        <v>69</v>
      </c>
      <c r="H46" s="4" t="s">
        <v>473</v>
      </c>
      <c r="I46" s="2"/>
    </row>
    <row r="47" spans="1:9" ht="15" customHeight="1" x14ac:dyDescent="0.25">
      <c r="A47" s="3" t="s">
        <v>67</v>
      </c>
      <c r="B47" s="3" t="s">
        <v>156</v>
      </c>
      <c r="C47" s="3">
        <v>2019</v>
      </c>
      <c r="D47" s="7">
        <v>27.329636227286098</v>
      </c>
      <c r="E47" s="2" t="s">
        <v>430</v>
      </c>
      <c r="F47" s="4" t="s">
        <v>68</v>
      </c>
      <c r="G47" s="4" t="s">
        <v>69</v>
      </c>
      <c r="H47" s="4" t="s">
        <v>474</v>
      </c>
      <c r="I47" s="2"/>
    </row>
    <row r="48" spans="1:9" ht="15" customHeight="1" x14ac:dyDescent="0.25">
      <c r="A48" s="3" t="s">
        <v>67</v>
      </c>
      <c r="B48" s="3" t="s">
        <v>156</v>
      </c>
      <c r="C48" s="3">
        <v>2020</v>
      </c>
      <c r="D48" s="7">
        <v>12.700056464861085</v>
      </c>
      <c r="E48" s="2" t="s">
        <v>430</v>
      </c>
      <c r="F48" s="4" t="s">
        <v>68</v>
      </c>
      <c r="G48" s="4" t="s">
        <v>69</v>
      </c>
      <c r="H48" s="4" t="s">
        <v>475</v>
      </c>
      <c r="I48" s="2"/>
    </row>
    <row r="49" spans="1:9" ht="15" customHeight="1" x14ac:dyDescent="0.25">
      <c r="A49" s="3" t="s">
        <v>67</v>
      </c>
      <c r="B49" s="3" t="s">
        <v>156</v>
      </c>
      <c r="C49" s="3">
        <v>2021</v>
      </c>
      <c r="D49" s="7">
        <v>5.2828921077305413</v>
      </c>
      <c r="E49" s="2" t="s">
        <v>430</v>
      </c>
      <c r="F49" s="4" t="s">
        <v>68</v>
      </c>
      <c r="G49" s="4" t="s">
        <v>69</v>
      </c>
      <c r="H49" s="4" t="s">
        <v>476</v>
      </c>
      <c r="I49" s="2"/>
    </row>
    <row r="50" spans="1:9" ht="15" customHeight="1" x14ac:dyDescent="0.25">
      <c r="A50" s="3" t="s">
        <v>67</v>
      </c>
      <c r="B50" s="3" t="s">
        <v>156</v>
      </c>
      <c r="C50" s="3">
        <v>2022</v>
      </c>
      <c r="D50" s="7">
        <v>10.67244792253225</v>
      </c>
      <c r="E50" s="2" t="s">
        <v>430</v>
      </c>
      <c r="F50" s="4" t="s">
        <v>68</v>
      </c>
      <c r="G50" s="4" t="s">
        <v>69</v>
      </c>
      <c r="H50" s="4" t="s">
        <v>477</v>
      </c>
      <c r="I50" s="2"/>
    </row>
    <row r="51" spans="1:9" ht="15" customHeight="1" x14ac:dyDescent="0.25">
      <c r="A51" s="3" t="s">
        <v>67</v>
      </c>
      <c r="B51" s="3" t="s">
        <v>156</v>
      </c>
      <c r="C51" s="3">
        <v>2023</v>
      </c>
      <c r="D51" s="7">
        <v>9.9082908802905845</v>
      </c>
      <c r="E51" s="2" t="s">
        <v>430</v>
      </c>
      <c r="F51" s="4" t="s">
        <v>68</v>
      </c>
      <c r="G51" s="4" t="s">
        <v>69</v>
      </c>
      <c r="H51" s="4" t="s">
        <v>478</v>
      </c>
      <c r="I51" s="2"/>
    </row>
    <row r="52" spans="1:9" ht="15" customHeight="1" x14ac:dyDescent="0.25">
      <c r="A52" s="3" t="s">
        <v>67</v>
      </c>
      <c r="B52" s="3" t="s">
        <v>156</v>
      </c>
      <c r="C52" s="3">
        <v>2024</v>
      </c>
      <c r="D52" s="7">
        <v>4.0023524371363521</v>
      </c>
      <c r="E52" s="2" t="s">
        <v>430</v>
      </c>
      <c r="F52" s="4" t="s">
        <v>68</v>
      </c>
      <c r="G52" s="4" t="s">
        <v>69</v>
      </c>
      <c r="H52" s="4" t="s">
        <v>479</v>
      </c>
      <c r="I52" s="2"/>
    </row>
    <row r="53" spans="1:9" ht="15" customHeight="1" x14ac:dyDescent="0.25">
      <c r="A53" s="3" t="s">
        <v>67</v>
      </c>
      <c r="B53" s="3" t="s">
        <v>156</v>
      </c>
      <c r="C53" s="3">
        <v>2025</v>
      </c>
      <c r="D53" s="7">
        <v>2.4105140198593156</v>
      </c>
      <c r="E53" s="2" t="s">
        <v>430</v>
      </c>
      <c r="F53" s="4" t="s">
        <v>68</v>
      </c>
      <c r="G53" s="4" t="s">
        <v>69</v>
      </c>
      <c r="H53" s="4" t="s">
        <v>480</v>
      </c>
      <c r="I53" s="2"/>
    </row>
    <row r="54" spans="1:9" ht="15" customHeight="1" x14ac:dyDescent="0.25">
      <c r="A54" s="3" t="s">
        <v>67</v>
      </c>
      <c r="B54" s="3" t="s">
        <v>165</v>
      </c>
      <c r="C54" s="3">
        <v>2016</v>
      </c>
      <c r="D54" s="7">
        <v>6.7561038801348081</v>
      </c>
      <c r="E54" s="2" t="s">
        <v>430</v>
      </c>
      <c r="F54" s="4" t="s">
        <v>68</v>
      </c>
      <c r="G54" s="4" t="s">
        <v>69</v>
      </c>
      <c r="H54" s="4" t="s">
        <v>481</v>
      </c>
      <c r="I54" s="2"/>
    </row>
    <row r="55" spans="1:9" ht="15" customHeight="1" x14ac:dyDescent="0.25">
      <c r="A55" s="3" t="s">
        <v>67</v>
      </c>
      <c r="B55" s="3" t="s">
        <v>165</v>
      </c>
      <c r="C55" s="3">
        <v>2017</v>
      </c>
      <c r="D55" s="7">
        <v>23.721172637510001</v>
      </c>
      <c r="E55" s="2" t="s">
        <v>430</v>
      </c>
      <c r="F55" s="4" t="s">
        <v>68</v>
      </c>
      <c r="G55" s="4" t="s">
        <v>69</v>
      </c>
      <c r="H55" s="4" t="s">
        <v>482</v>
      </c>
      <c r="I55" s="2"/>
    </row>
    <row r="56" spans="1:9" ht="15" customHeight="1" x14ac:dyDescent="0.25">
      <c r="A56" s="3" t="s">
        <v>67</v>
      </c>
      <c r="B56" s="3" t="s">
        <v>165</v>
      </c>
      <c r="C56" s="3">
        <v>2018</v>
      </c>
      <c r="D56" s="7">
        <v>1.2688943377300037</v>
      </c>
      <c r="E56" s="2" t="s">
        <v>430</v>
      </c>
      <c r="F56" s="4" t="s">
        <v>68</v>
      </c>
      <c r="G56" s="4" t="s">
        <v>69</v>
      </c>
      <c r="H56" s="4" t="s">
        <v>483</v>
      </c>
      <c r="I56" s="2"/>
    </row>
    <row r="57" spans="1:9" ht="15" customHeight="1" x14ac:dyDescent="0.25">
      <c r="A57" s="3" t="s">
        <v>67</v>
      </c>
      <c r="B57" s="3" t="s">
        <v>165</v>
      </c>
      <c r="C57" s="3">
        <v>2019</v>
      </c>
      <c r="D57" s="7">
        <v>7.1373372497364729</v>
      </c>
      <c r="E57" s="2" t="s">
        <v>430</v>
      </c>
      <c r="F57" s="4" t="s">
        <v>68</v>
      </c>
      <c r="G57" s="4" t="s">
        <v>69</v>
      </c>
      <c r="H57" s="4" t="s">
        <v>484</v>
      </c>
      <c r="I57" s="2"/>
    </row>
    <row r="58" spans="1:9" ht="15" customHeight="1" x14ac:dyDescent="0.25">
      <c r="A58" s="3" t="s">
        <v>67</v>
      </c>
      <c r="B58" s="3" t="s">
        <v>165</v>
      </c>
      <c r="C58" s="3">
        <v>2020</v>
      </c>
      <c r="D58" s="7">
        <v>3.3167139630607068</v>
      </c>
      <c r="E58" s="2" t="s">
        <v>430</v>
      </c>
      <c r="F58" s="4" t="s">
        <v>68</v>
      </c>
      <c r="G58" s="4" t="s">
        <v>69</v>
      </c>
      <c r="H58" s="4" t="s">
        <v>485</v>
      </c>
      <c r="I58" s="2"/>
    </row>
    <row r="59" spans="1:9" ht="15" customHeight="1" x14ac:dyDescent="0.25">
      <c r="A59" s="3" t="s">
        <v>67</v>
      </c>
      <c r="B59" s="3" t="s">
        <v>165</v>
      </c>
      <c r="C59" s="3">
        <v>2021</v>
      </c>
      <c r="D59" s="7">
        <v>1.3796664658565163</v>
      </c>
      <c r="E59" s="2" t="s">
        <v>430</v>
      </c>
      <c r="F59" s="4" t="s">
        <v>68</v>
      </c>
      <c r="G59" s="4" t="s">
        <v>69</v>
      </c>
      <c r="H59" s="4" t="s">
        <v>486</v>
      </c>
      <c r="I59" s="2"/>
    </row>
    <row r="60" spans="1:9" ht="15" customHeight="1" x14ac:dyDescent="0.25">
      <c r="A60" s="3" t="s">
        <v>67</v>
      </c>
      <c r="B60" s="3" t="s">
        <v>165</v>
      </c>
      <c r="C60" s="3">
        <v>2022</v>
      </c>
      <c r="D60" s="7">
        <v>2.7871889501152802</v>
      </c>
      <c r="E60" s="2" t="s">
        <v>430</v>
      </c>
      <c r="F60" s="4" t="s">
        <v>68</v>
      </c>
      <c r="G60" s="4" t="s">
        <v>69</v>
      </c>
      <c r="H60" s="4" t="s">
        <v>487</v>
      </c>
      <c r="I60" s="2"/>
    </row>
    <row r="61" spans="1:9" ht="15" customHeight="1" x14ac:dyDescent="0.25">
      <c r="A61" s="3" t="s">
        <v>67</v>
      </c>
      <c r="B61" s="3" t="s">
        <v>165</v>
      </c>
      <c r="C61" s="3">
        <v>2023</v>
      </c>
      <c r="D61" s="7">
        <v>2.5876236695209296</v>
      </c>
      <c r="E61" s="2" t="s">
        <v>430</v>
      </c>
      <c r="F61" s="4" t="s">
        <v>68</v>
      </c>
      <c r="G61" s="4" t="s">
        <v>69</v>
      </c>
      <c r="H61" s="4" t="s">
        <v>488</v>
      </c>
      <c r="I61" s="2"/>
    </row>
    <row r="62" spans="1:9" ht="15" customHeight="1" x14ac:dyDescent="0.25">
      <c r="A62" s="3" t="s">
        <v>67</v>
      </c>
      <c r="B62" s="3" t="s">
        <v>165</v>
      </c>
      <c r="C62" s="3">
        <v>2024</v>
      </c>
      <c r="D62" s="7">
        <v>1.045244031006392</v>
      </c>
      <c r="E62" s="2" t="s">
        <v>430</v>
      </c>
      <c r="F62" s="4" t="s">
        <v>68</v>
      </c>
      <c r="G62" s="4" t="s">
        <v>69</v>
      </c>
      <c r="H62" s="4" t="s">
        <v>489</v>
      </c>
      <c r="I62" s="2"/>
    </row>
    <row r="63" spans="1:9" ht="15" customHeight="1" x14ac:dyDescent="0.25">
      <c r="A63" s="3" t="s">
        <v>67</v>
      </c>
      <c r="B63" s="3" t="s">
        <v>165</v>
      </c>
      <c r="C63" s="3">
        <v>2025</v>
      </c>
      <c r="D63" s="7">
        <v>0.62952361904388077</v>
      </c>
      <c r="E63" s="2" t="s">
        <v>430</v>
      </c>
      <c r="F63" s="4" t="s">
        <v>68</v>
      </c>
      <c r="G63" s="4" t="s">
        <v>69</v>
      </c>
      <c r="H63" s="4" t="s">
        <v>490</v>
      </c>
      <c r="I63" s="2"/>
    </row>
    <row r="64" spans="1:9" ht="15" customHeight="1" x14ac:dyDescent="0.25">
      <c r="A64" s="3" t="s">
        <v>76</v>
      </c>
      <c r="B64" s="3" t="s">
        <v>171</v>
      </c>
      <c r="C64" s="3">
        <v>2016</v>
      </c>
      <c r="D64" s="7">
        <v>1</v>
      </c>
      <c r="E64" s="2" t="s">
        <v>491</v>
      </c>
      <c r="F64" s="4" t="s">
        <v>77</v>
      </c>
      <c r="G64" s="4" t="s">
        <v>492</v>
      </c>
      <c r="H64" s="4" t="s">
        <v>493</v>
      </c>
      <c r="I64" s="2" t="s">
        <v>494</v>
      </c>
    </row>
    <row r="65" spans="1:9" ht="15" customHeight="1" x14ac:dyDescent="0.25">
      <c r="A65" s="3" t="s">
        <v>76</v>
      </c>
      <c r="B65" s="3" t="s">
        <v>171</v>
      </c>
      <c r="C65" s="3">
        <v>2017</v>
      </c>
      <c r="D65" s="7">
        <v>1</v>
      </c>
      <c r="E65" s="2" t="s">
        <v>491</v>
      </c>
      <c r="F65" s="4" t="s">
        <v>77</v>
      </c>
      <c r="G65" s="4" t="s">
        <v>492</v>
      </c>
      <c r="H65" s="4" t="s">
        <v>493</v>
      </c>
      <c r="I65" s="2" t="s">
        <v>494</v>
      </c>
    </row>
    <row r="66" spans="1:9" ht="15" customHeight="1" x14ac:dyDescent="0.25">
      <c r="A66" s="3" t="s">
        <v>76</v>
      </c>
      <c r="B66" s="3" t="s">
        <v>171</v>
      </c>
      <c r="C66" s="3">
        <v>2018</v>
      </c>
      <c r="D66" s="7">
        <v>1</v>
      </c>
      <c r="E66" s="2" t="s">
        <v>491</v>
      </c>
      <c r="F66" s="4" t="s">
        <v>77</v>
      </c>
      <c r="G66" s="4" t="s">
        <v>492</v>
      </c>
      <c r="H66" s="4" t="s">
        <v>493</v>
      </c>
      <c r="I66" s="2" t="s">
        <v>494</v>
      </c>
    </row>
    <row r="67" spans="1:9" ht="15" customHeight="1" x14ac:dyDescent="0.25">
      <c r="A67" s="3" t="s">
        <v>76</v>
      </c>
      <c r="B67" s="3" t="s">
        <v>171</v>
      </c>
      <c r="C67" s="3">
        <v>2019</v>
      </c>
      <c r="D67" s="7">
        <v>1</v>
      </c>
      <c r="E67" s="2" t="s">
        <v>491</v>
      </c>
      <c r="F67" s="4" t="s">
        <v>77</v>
      </c>
      <c r="G67" s="4" t="s">
        <v>492</v>
      </c>
      <c r="H67" s="4" t="s">
        <v>493</v>
      </c>
      <c r="I67" s="2" t="s">
        <v>494</v>
      </c>
    </row>
    <row r="68" spans="1:9" ht="15" customHeight="1" x14ac:dyDescent="0.25">
      <c r="A68" s="3" t="s">
        <v>76</v>
      </c>
      <c r="B68" s="3" t="s">
        <v>171</v>
      </c>
      <c r="C68" s="3">
        <v>2020</v>
      </c>
      <c r="D68" s="7">
        <v>1</v>
      </c>
      <c r="E68" s="2" t="s">
        <v>491</v>
      </c>
      <c r="F68" s="4" t="s">
        <v>77</v>
      </c>
      <c r="G68" s="4" t="s">
        <v>492</v>
      </c>
      <c r="H68" s="4" t="s">
        <v>493</v>
      </c>
      <c r="I68" s="2" t="s">
        <v>494</v>
      </c>
    </row>
    <row r="69" spans="1:9" ht="15" customHeight="1" x14ac:dyDescent="0.25">
      <c r="A69" s="3" t="s">
        <v>76</v>
      </c>
      <c r="B69" s="3" t="s">
        <v>171</v>
      </c>
      <c r="C69" s="3">
        <v>2021</v>
      </c>
      <c r="D69" s="7">
        <v>1</v>
      </c>
      <c r="E69" s="2" t="s">
        <v>491</v>
      </c>
      <c r="F69" s="4" t="s">
        <v>77</v>
      </c>
      <c r="G69" s="4" t="s">
        <v>492</v>
      </c>
      <c r="H69" s="4" t="s">
        <v>493</v>
      </c>
      <c r="I69" s="2" t="s">
        <v>494</v>
      </c>
    </row>
    <row r="70" spans="1:9" ht="15" customHeight="1" x14ac:dyDescent="0.25">
      <c r="A70" s="3" t="s">
        <v>76</v>
      </c>
      <c r="B70" s="3" t="s">
        <v>171</v>
      </c>
      <c r="C70" s="3">
        <v>2022</v>
      </c>
      <c r="D70" s="7">
        <v>1</v>
      </c>
      <c r="E70" s="2" t="s">
        <v>491</v>
      </c>
      <c r="F70" s="4" t="s">
        <v>77</v>
      </c>
      <c r="G70" s="4" t="s">
        <v>492</v>
      </c>
      <c r="H70" s="4" t="s">
        <v>493</v>
      </c>
      <c r="I70" s="2" t="s">
        <v>494</v>
      </c>
    </row>
    <row r="71" spans="1:9" ht="15" customHeight="1" x14ac:dyDescent="0.25">
      <c r="A71" s="3" t="s">
        <v>76</v>
      </c>
      <c r="B71" s="3" t="s">
        <v>171</v>
      </c>
      <c r="C71" s="3">
        <v>2023</v>
      </c>
      <c r="D71" s="7">
        <v>0.9375</v>
      </c>
      <c r="E71" s="2" t="s">
        <v>491</v>
      </c>
      <c r="F71" s="4" t="s">
        <v>77</v>
      </c>
      <c r="G71" s="4" t="s">
        <v>492</v>
      </c>
      <c r="H71" s="4" t="s">
        <v>493</v>
      </c>
      <c r="I71" s="2" t="s">
        <v>494</v>
      </c>
    </row>
    <row r="72" spans="1:9" ht="15" customHeight="1" x14ac:dyDescent="0.25">
      <c r="A72" s="3" t="s">
        <v>76</v>
      </c>
      <c r="B72" s="3" t="s">
        <v>171</v>
      </c>
      <c r="C72" s="3">
        <v>2024</v>
      </c>
      <c r="D72" s="7">
        <v>1</v>
      </c>
      <c r="E72" s="2" t="s">
        <v>491</v>
      </c>
      <c r="F72" s="4" t="s">
        <v>77</v>
      </c>
      <c r="G72" s="4" t="s">
        <v>492</v>
      </c>
      <c r="H72" s="4" t="s">
        <v>493</v>
      </c>
      <c r="I72" s="2" t="s">
        <v>494</v>
      </c>
    </row>
    <row r="73" spans="1:9" ht="15" customHeight="1" x14ac:dyDescent="0.25">
      <c r="A73" s="3" t="s">
        <v>76</v>
      </c>
      <c r="B73" s="3" t="s">
        <v>171</v>
      </c>
      <c r="C73" s="3">
        <v>2025</v>
      </c>
      <c r="D73" s="7">
        <v>1</v>
      </c>
      <c r="E73" s="2" t="s">
        <v>491</v>
      </c>
      <c r="F73" s="4" t="s">
        <v>77</v>
      </c>
      <c r="G73" s="4" t="s">
        <v>492</v>
      </c>
      <c r="H73" s="4" t="s">
        <v>493</v>
      </c>
      <c r="I73" s="2" t="s">
        <v>494</v>
      </c>
    </row>
    <row r="74" spans="1:9" ht="15" customHeight="1" x14ac:dyDescent="0.25">
      <c r="A74" s="3" t="s">
        <v>76</v>
      </c>
      <c r="B74" s="3" t="s">
        <v>179</v>
      </c>
      <c r="C74" s="3">
        <v>2016</v>
      </c>
      <c r="D74" s="7">
        <v>1</v>
      </c>
      <c r="E74" s="2" t="s">
        <v>491</v>
      </c>
      <c r="F74" s="4" t="s">
        <v>77</v>
      </c>
      <c r="G74" s="4" t="s">
        <v>492</v>
      </c>
      <c r="H74" s="4" t="s">
        <v>493</v>
      </c>
      <c r="I74" s="2" t="s">
        <v>494</v>
      </c>
    </row>
    <row r="75" spans="1:9" ht="15" customHeight="1" x14ac:dyDescent="0.25">
      <c r="A75" s="3" t="s">
        <v>76</v>
      </c>
      <c r="B75" s="3" t="s">
        <v>179</v>
      </c>
      <c r="C75" s="3">
        <v>2017</v>
      </c>
      <c r="D75" s="7">
        <v>1</v>
      </c>
      <c r="E75" s="2" t="s">
        <v>491</v>
      </c>
      <c r="F75" s="4" t="s">
        <v>77</v>
      </c>
      <c r="G75" s="4" t="s">
        <v>492</v>
      </c>
      <c r="H75" s="4" t="s">
        <v>493</v>
      </c>
      <c r="I75" s="2" t="s">
        <v>494</v>
      </c>
    </row>
    <row r="76" spans="1:9" ht="15" customHeight="1" x14ac:dyDescent="0.25">
      <c r="A76" s="3" t="s">
        <v>76</v>
      </c>
      <c r="B76" s="3" t="s">
        <v>179</v>
      </c>
      <c r="C76" s="3">
        <v>2018</v>
      </c>
      <c r="D76" s="7">
        <v>1</v>
      </c>
      <c r="E76" s="2" t="s">
        <v>491</v>
      </c>
      <c r="F76" s="4" t="s">
        <v>77</v>
      </c>
      <c r="G76" s="4" t="s">
        <v>492</v>
      </c>
      <c r="H76" s="4" t="s">
        <v>493</v>
      </c>
      <c r="I76" s="2" t="s">
        <v>494</v>
      </c>
    </row>
    <row r="77" spans="1:9" ht="15" customHeight="1" x14ac:dyDescent="0.25">
      <c r="A77" s="3" t="s">
        <v>76</v>
      </c>
      <c r="B77" s="3" t="s">
        <v>179</v>
      </c>
      <c r="C77" s="3">
        <v>2019</v>
      </c>
      <c r="D77" s="7">
        <v>1</v>
      </c>
      <c r="E77" s="2" t="s">
        <v>491</v>
      </c>
      <c r="F77" s="4" t="s">
        <v>77</v>
      </c>
      <c r="G77" s="4" t="s">
        <v>492</v>
      </c>
      <c r="H77" s="4" t="s">
        <v>493</v>
      </c>
      <c r="I77" s="2" t="s">
        <v>494</v>
      </c>
    </row>
    <row r="78" spans="1:9" ht="15" customHeight="1" x14ac:dyDescent="0.25">
      <c r="A78" s="3" t="s">
        <v>76</v>
      </c>
      <c r="B78" s="3" t="s">
        <v>179</v>
      </c>
      <c r="C78" s="3">
        <v>2020</v>
      </c>
      <c r="D78" s="7">
        <v>1</v>
      </c>
      <c r="E78" s="2" t="s">
        <v>491</v>
      </c>
      <c r="F78" s="4" t="s">
        <v>77</v>
      </c>
      <c r="G78" s="4" t="s">
        <v>492</v>
      </c>
      <c r="H78" s="4" t="s">
        <v>493</v>
      </c>
      <c r="I78" s="2" t="s">
        <v>494</v>
      </c>
    </row>
    <row r="79" spans="1:9" ht="15" customHeight="1" x14ac:dyDescent="0.25">
      <c r="A79" s="3" t="s">
        <v>76</v>
      </c>
      <c r="B79" s="3" t="s">
        <v>179</v>
      </c>
      <c r="C79" s="3">
        <v>2021</v>
      </c>
      <c r="D79" s="7">
        <v>1</v>
      </c>
      <c r="E79" s="2" t="s">
        <v>491</v>
      </c>
      <c r="F79" s="4" t="s">
        <v>77</v>
      </c>
      <c r="G79" s="4" t="s">
        <v>492</v>
      </c>
      <c r="H79" s="4" t="s">
        <v>493</v>
      </c>
      <c r="I79" s="2" t="s">
        <v>494</v>
      </c>
    </row>
    <row r="80" spans="1:9" ht="15" customHeight="1" x14ac:dyDescent="0.25">
      <c r="A80" s="3" t="s">
        <v>76</v>
      </c>
      <c r="B80" s="3" t="s">
        <v>179</v>
      </c>
      <c r="C80" s="3">
        <v>2022</v>
      </c>
      <c r="D80" s="7">
        <v>1</v>
      </c>
      <c r="E80" s="2" t="s">
        <v>491</v>
      </c>
      <c r="F80" s="4" t="s">
        <v>77</v>
      </c>
      <c r="G80" s="4" t="s">
        <v>492</v>
      </c>
      <c r="H80" s="4" t="s">
        <v>493</v>
      </c>
      <c r="I80" s="2" t="s">
        <v>494</v>
      </c>
    </row>
    <row r="81" spans="1:9" ht="15" customHeight="1" x14ac:dyDescent="0.25">
      <c r="A81" s="3" t="s">
        <v>76</v>
      </c>
      <c r="B81" s="3" t="s">
        <v>179</v>
      </c>
      <c r="C81" s="3">
        <v>2023</v>
      </c>
      <c r="D81" s="7">
        <v>0.92482710094008835</v>
      </c>
      <c r="E81" s="2" t="s">
        <v>491</v>
      </c>
      <c r="F81" s="4" t="s">
        <v>77</v>
      </c>
      <c r="G81" s="4" t="s">
        <v>492</v>
      </c>
      <c r="H81" s="4" t="s">
        <v>493</v>
      </c>
      <c r="I81" s="2" t="s">
        <v>494</v>
      </c>
    </row>
    <row r="82" spans="1:9" ht="15" customHeight="1" x14ac:dyDescent="0.25">
      <c r="A82" s="3" t="s">
        <v>76</v>
      </c>
      <c r="B82" s="3" t="s">
        <v>179</v>
      </c>
      <c r="C82" s="3">
        <v>2024</v>
      </c>
      <c r="D82" s="7">
        <v>1</v>
      </c>
      <c r="E82" s="2" t="s">
        <v>491</v>
      </c>
      <c r="F82" s="4" t="s">
        <v>77</v>
      </c>
      <c r="G82" s="4" t="s">
        <v>492</v>
      </c>
      <c r="H82" s="4" t="s">
        <v>493</v>
      </c>
      <c r="I82" s="2" t="s">
        <v>494</v>
      </c>
    </row>
    <row r="83" spans="1:9" ht="15" customHeight="1" x14ac:dyDescent="0.25">
      <c r="A83" s="3" t="s">
        <v>76</v>
      </c>
      <c r="B83" s="3" t="s">
        <v>179</v>
      </c>
      <c r="C83" s="3">
        <v>2025</v>
      </c>
      <c r="D83" s="7">
        <v>1</v>
      </c>
      <c r="E83" s="2" t="s">
        <v>491</v>
      </c>
      <c r="F83" s="4" t="s">
        <v>77</v>
      </c>
      <c r="G83" s="4" t="s">
        <v>492</v>
      </c>
      <c r="H83" s="4" t="s">
        <v>493</v>
      </c>
      <c r="I83" s="2" t="s">
        <v>494</v>
      </c>
    </row>
    <row r="84" spans="1:9" ht="15" customHeight="1" x14ac:dyDescent="0.25">
      <c r="A84" s="3" t="s">
        <v>76</v>
      </c>
      <c r="B84" s="3" t="s">
        <v>184</v>
      </c>
      <c r="C84" s="3">
        <v>2016</v>
      </c>
      <c r="D84" s="7">
        <v>1</v>
      </c>
      <c r="E84" s="2" t="s">
        <v>491</v>
      </c>
      <c r="F84" s="4" t="s">
        <v>77</v>
      </c>
      <c r="G84" s="4" t="s">
        <v>492</v>
      </c>
      <c r="H84" s="4" t="s">
        <v>493</v>
      </c>
      <c r="I84" s="2" t="s">
        <v>494</v>
      </c>
    </row>
    <row r="85" spans="1:9" ht="15" customHeight="1" x14ac:dyDescent="0.25">
      <c r="A85" s="3" t="s">
        <v>76</v>
      </c>
      <c r="B85" s="3" t="s">
        <v>184</v>
      </c>
      <c r="C85" s="3">
        <v>2017</v>
      </c>
      <c r="D85" s="7">
        <v>1</v>
      </c>
      <c r="E85" s="2" t="s">
        <v>491</v>
      </c>
      <c r="F85" s="4" t="s">
        <v>77</v>
      </c>
      <c r="G85" s="4" t="s">
        <v>492</v>
      </c>
      <c r="H85" s="4" t="s">
        <v>493</v>
      </c>
      <c r="I85" s="2" t="s">
        <v>494</v>
      </c>
    </row>
    <row r="86" spans="1:9" ht="15" customHeight="1" x14ac:dyDescent="0.25">
      <c r="A86" s="3" t="s">
        <v>76</v>
      </c>
      <c r="B86" s="3" t="s">
        <v>184</v>
      </c>
      <c r="C86" s="3">
        <v>2018</v>
      </c>
      <c r="D86" s="7">
        <v>1</v>
      </c>
      <c r="E86" s="2" t="s">
        <v>491</v>
      </c>
      <c r="F86" s="4" t="s">
        <v>77</v>
      </c>
      <c r="G86" s="4" t="s">
        <v>492</v>
      </c>
      <c r="H86" s="4" t="s">
        <v>493</v>
      </c>
      <c r="I86" s="2" t="s">
        <v>494</v>
      </c>
    </row>
    <row r="87" spans="1:9" ht="15" customHeight="1" x14ac:dyDescent="0.25">
      <c r="A87" s="3" t="s">
        <v>76</v>
      </c>
      <c r="B87" s="3" t="s">
        <v>184</v>
      </c>
      <c r="C87" s="3">
        <v>2019</v>
      </c>
      <c r="D87" s="7">
        <v>1</v>
      </c>
      <c r="E87" s="2" t="s">
        <v>491</v>
      </c>
      <c r="F87" s="4" t="s">
        <v>77</v>
      </c>
      <c r="G87" s="4" t="s">
        <v>492</v>
      </c>
      <c r="H87" s="4" t="s">
        <v>493</v>
      </c>
      <c r="I87" s="2" t="s">
        <v>494</v>
      </c>
    </row>
    <row r="88" spans="1:9" ht="15" customHeight="1" x14ac:dyDescent="0.25">
      <c r="A88" s="3" t="s">
        <v>76</v>
      </c>
      <c r="B88" s="3" t="s">
        <v>184</v>
      </c>
      <c r="C88" s="3">
        <v>2020</v>
      </c>
      <c r="D88" s="7">
        <v>1</v>
      </c>
      <c r="E88" s="2" t="s">
        <v>491</v>
      </c>
      <c r="F88" s="4" t="s">
        <v>77</v>
      </c>
      <c r="G88" s="4" t="s">
        <v>492</v>
      </c>
      <c r="H88" s="4" t="s">
        <v>493</v>
      </c>
      <c r="I88" s="2" t="s">
        <v>494</v>
      </c>
    </row>
    <row r="89" spans="1:9" ht="15" customHeight="1" x14ac:dyDescent="0.25">
      <c r="A89" s="3" t="s">
        <v>76</v>
      </c>
      <c r="B89" s="3" t="s">
        <v>184</v>
      </c>
      <c r="C89" s="3">
        <v>2021</v>
      </c>
      <c r="D89" s="7">
        <v>1</v>
      </c>
      <c r="E89" s="2" t="s">
        <v>491</v>
      </c>
      <c r="F89" s="4" t="s">
        <v>77</v>
      </c>
      <c r="G89" s="4" t="s">
        <v>492</v>
      </c>
      <c r="H89" s="4" t="s">
        <v>493</v>
      </c>
      <c r="I89" s="2" t="s">
        <v>494</v>
      </c>
    </row>
    <row r="90" spans="1:9" ht="15" customHeight="1" x14ac:dyDescent="0.25">
      <c r="A90" s="3" t="s">
        <v>76</v>
      </c>
      <c r="B90" s="3" t="s">
        <v>184</v>
      </c>
      <c r="C90" s="3">
        <v>2022</v>
      </c>
      <c r="D90" s="7">
        <v>1</v>
      </c>
      <c r="E90" s="2" t="s">
        <v>491</v>
      </c>
      <c r="F90" s="4" t="s">
        <v>77</v>
      </c>
      <c r="G90" s="4" t="s">
        <v>492</v>
      </c>
      <c r="H90" s="4" t="s">
        <v>493</v>
      </c>
      <c r="I90" s="2" t="s">
        <v>494</v>
      </c>
    </row>
    <row r="91" spans="1:9" ht="15" customHeight="1" x14ac:dyDescent="0.25">
      <c r="A91" s="3" t="s">
        <v>76</v>
      </c>
      <c r="B91" s="3" t="s">
        <v>184</v>
      </c>
      <c r="C91" s="3">
        <v>2023</v>
      </c>
      <c r="D91" s="7">
        <v>0.77155359092303755</v>
      </c>
      <c r="E91" s="2" t="s">
        <v>491</v>
      </c>
      <c r="F91" s="4" t="s">
        <v>77</v>
      </c>
      <c r="G91" s="4" t="s">
        <v>492</v>
      </c>
      <c r="H91" s="4" t="s">
        <v>493</v>
      </c>
      <c r="I91" s="2" t="s">
        <v>494</v>
      </c>
    </row>
    <row r="92" spans="1:9" ht="15" customHeight="1" x14ac:dyDescent="0.25">
      <c r="A92" s="3" t="s">
        <v>76</v>
      </c>
      <c r="B92" s="3" t="s">
        <v>184</v>
      </c>
      <c r="C92" s="3">
        <v>2024</v>
      </c>
      <c r="D92" s="7">
        <v>1</v>
      </c>
      <c r="E92" s="2" t="s">
        <v>491</v>
      </c>
      <c r="F92" s="4" t="s">
        <v>77</v>
      </c>
      <c r="G92" s="4" t="s">
        <v>492</v>
      </c>
      <c r="H92" s="4" t="s">
        <v>493</v>
      </c>
      <c r="I92" s="2" t="s">
        <v>494</v>
      </c>
    </row>
    <row r="93" spans="1:9" ht="15" customHeight="1" x14ac:dyDescent="0.25">
      <c r="A93" s="3" t="s">
        <v>76</v>
      </c>
      <c r="B93" s="3" t="s">
        <v>184</v>
      </c>
      <c r="C93" s="3">
        <v>2025</v>
      </c>
      <c r="D93" s="7">
        <v>1</v>
      </c>
      <c r="E93" s="2" t="s">
        <v>491</v>
      </c>
      <c r="F93" s="4" t="s">
        <v>77</v>
      </c>
      <c r="G93" s="4" t="s">
        <v>492</v>
      </c>
      <c r="H93" s="4" t="s">
        <v>493</v>
      </c>
      <c r="I93" s="2" t="s">
        <v>494</v>
      </c>
    </row>
    <row r="94" spans="1:9" ht="15" customHeight="1" x14ac:dyDescent="0.25">
      <c r="A94" s="3" t="s">
        <v>76</v>
      </c>
      <c r="B94" s="3" t="s">
        <v>190</v>
      </c>
      <c r="C94" s="3">
        <v>2016</v>
      </c>
      <c r="D94" s="7">
        <v>1</v>
      </c>
      <c r="E94" s="2" t="s">
        <v>491</v>
      </c>
      <c r="F94" s="4" t="s">
        <v>77</v>
      </c>
      <c r="G94" s="4" t="s">
        <v>492</v>
      </c>
      <c r="H94" s="4" t="s">
        <v>493</v>
      </c>
      <c r="I94" s="2" t="s">
        <v>494</v>
      </c>
    </row>
    <row r="95" spans="1:9" ht="15" customHeight="1" x14ac:dyDescent="0.25">
      <c r="A95" s="3" t="s">
        <v>76</v>
      </c>
      <c r="B95" s="3" t="s">
        <v>190</v>
      </c>
      <c r="C95" s="3">
        <v>2017</v>
      </c>
      <c r="D95" s="7">
        <v>1</v>
      </c>
      <c r="E95" s="2" t="s">
        <v>491</v>
      </c>
      <c r="F95" s="4" t="s">
        <v>77</v>
      </c>
      <c r="G95" s="4" t="s">
        <v>492</v>
      </c>
      <c r="H95" s="4" t="s">
        <v>493</v>
      </c>
      <c r="I95" s="2" t="s">
        <v>494</v>
      </c>
    </row>
    <row r="96" spans="1:9" ht="15" customHeight="1" x14ac:dyDescent="0.25">
      <c r="A96" s="3" t="s">
        <v>76</v>
      </c>
      <c r="B96" s="3" t="s">
        <v>190</v>
      </c>
      <c r="C96" s="3">
        <v>2018</v>
      </c>
      <c r="D96" s="7">
        <v>1</v>
      </c>
      <c r="E96" s="2" t="s">
        <v>491</v>
      </c>
      <c r="F96" s="4" t="s">
        <v>77</v>
      </c>
      <c r="G96" s="4" t="s">
        <v>492</v>
      </c>
      <c r="H96" s="4" t="s">
        <v>493</v>
      </c>
      <c r="I96" s="2" t="s">
        <v>494</v>
      </c>
    </row>
    <row r="97" spans="1:9" ht="15" customHeight="1" x14ac:dyDescent="0.25">
      <c r="A97" s="3" t="s">
        <v>76</v>
      </c>
      <c r="B97" s="3" t="s">
        <v>190</v>
      </c>
      <c r="C97" s="3">
        <v>2019</v>
      </c>
      <c r="D97" s="7">
        <v>1</v>
      </c>
      <c r="E97" s="2" t="s">
        <v>491</v>
      </c>
      <c r="F97" s="4" t="s">
        <v>77</v>
      </c>
      <c r="G97" s="4" t="s">
        <v>492</v>
      </c>
      <c r="H97" s="4" t="s">
        <v>493</v>
      </c>
      <c r="I97" s="2" t="s">
        <v>494</v>
      </c>
    </row>
    <row r="98" spans="1:9" ht="15" customHeight="1" x14ac:dyDescent="0.25">
      <c r="A98" s="3" t="s">
        <v>76</v>
      </c>
      <c r="B98" s="3" t="s">
        <v>190</v>
      </c>
      <c r="C98" s="3">
        <v>2020</v>
      </c>
      <c r="D98" s="7">
        <v>1</v>
      </c>
      <c r="E98" s="2" t="s">
        <v>491</v>
      </c>
      <c r="F98" s="4" t="s">
        <v>77</v>
      </c>
      <c r="G98" s="4" t="s">
        <v>492</v>
      </c>
      <c r="H98" s="4" t="s">
        <v>493</v>
      </c>
      <c r="I98" s="2" t="s">
        <v>494</v>
      </c>
    </row>
    <row r="99" spans="1:9" ht="15" customHeight="1" x14ac:dyDescent="0.25">
      <c r="A99" s="3" t="s">
        <v>76</v>
      </c>
      <c r="B99" s="3" t="s">
        <v>190</v>
      </c>
      <c r="C99" s="3">
        <v>2021</v>
      </c>
      <c r="D99" s="7">
        <v>1</v>
      </c>
      <c r="E99" s="2" t="s">
        <v>491</v>
      </c>
      <c r="F99" s="4" t="s">
        <v>77</v>
      </c>
      <c r="G99" s="4" t="s">
        <v>492</v>
      </c>
      <c r="H99" s="4" t="s">
        <v>493</v>
      </c>
      <c r="I99" s="2" t="s">
        <v>494</v>
      </c>
    </row>
    <row r="100" spans="1:9" ht="15" customHeight="1" x14ac:dyDescent="0.25">
      <c r="A100" s="3" t="s">
        <v>76</v>
      </c>
      <c r="B100" s="3" t="s">
        <v>190</v>
      </c>
      <c r="C100" s="3">
        <v>2022</v>
      </c>
      <c r="D100" s="7">
        <v>1</v>
      </c>
      <c r="E100" s="2" t="s">
        <v>491</v>
      </c>
      <c r="F100" s="4" t="s">
        <v>77</v>
      </c>
      <c r="G100" s="4" t="s">
        <v>492</v>
      </c>
      <c r="H100" s="4" t="s">
        <v>493</v>
      </c>
      <c r="I100" s="2" t="s">
        <v>494</v>
      </c>
    </row>
    <row r="101" spans="1:9" ht="15" customHeight="1" x14ac:dyDescent="0.25">
      <c r="A101" s="3" t="s">
        <v>76</v>
      </c>
      <c r="B101" s="3" t="s">
        <v>190</v>
      </c>
      <c r="C101" s="3">
        <v>2023</v>
      </c>
      <c r="D101" s="7">
        <v>0.83333333333333326</v>
      </c>
      <c r="E101" s="2" t="s">
        <v>491</v>
      </c>
      <c r="F101" s="4" t="s">
        <v>77</v>
      </c>
      <c r="G101" s="4" t="s">
        <v>492</v>
      </c>
      <c r="H101" s="4" t="s">
        <v>493</v>
      </c>
      <c r="I101" s="2" t="s">
        <v>494</v>
      </c>
    </row>
    <row r="102" spans="1:9" ht="15" customHeight="1" x14ac:dyDescent="0.25">
      <c r="A102" s="3" t="s">
        <v>76</v>
      </c>
      <c r="B102" s="3" t="s">
        <v>190</v>
      </c>
      <c r="C102" s="3">
        <v>2024</v>
      </c>
      <c r="D102" s="7">
        <v>1</v>
      </c>
      <c r="E102" s="2" t="s">
        <v>491</v>
      </c>
      <c r="F102" s="4" t="s">
        <v>77</v>
      </c>
      <c r="G102" s="4" t="s">
        <v>492</v>
      </c>
      <c r="H102" s="4" t="s">
        <v>493</v>
      </c>
      <c r="I102" s="2" t="s">
        <v>494</v>
      </c>
    </row>
    <row r="103" spans="1:9" ht="15" customHeight="1" x14ac:dyDescent="0.25">
      <c r="A103" s="3" t="s">
        <v>76</v>
      </c>
      <c r="B103" s="3" t="s">
        <v>190</v>
      </c>
      <c r="C103" s="3">
        <v>2025</v>
      </c>
      <c r="D103" s="7">
        <v>1</v>
      </c>
      <c r="E103" s="2" t="s">
        <v>491</v>
      </c>
      <c r="F103" s="4" t="s">
        <v>77</v>
      </c>
      <c r="G103" s="4" t="s">
        <v>492</v>
      </c>
      <c r="H103" s="4" t="s">
        <v>493</v>
      </c>
      <c r="I103" s="2" t="s">
        <v>494</v>
      </c>
    </row>
    <row r="104" spans="1:9" ht="15" customHeight="1" x14ac:dyDescent="0.25">
      <c r="A104" s="3" t="s">
        <v>76</v>
      </c>
      <c r="B104" s="3" t="s">
        <v>196</v>
      </c>
      <c r="C104" s="3">
        <v>2016</v>
      </c>
      <c r="D104" s="7">
        <v>0</v>
      </c>
      <c r="E104" s="2" t="s">
        <v>491</v>
      </c>
      <c r="F104" s="4" t="s">
        <v>77</v>
      </c>
      <c r="G104" s="4" t="s">
        <v>492</v>
      </c>
      <c r="H104" s="4" t="s">
        <v>493</v>
      </c>
      <c r="I104" s="2" t="s">
        <v>494</v>
      </c>
    </row>
    <row r="105" spans="1:9" ht="15" customHeight="1" x14ac:dyDescent="0.25">
      <c r="A105" s="3" t="s">
        <v>76</v>
      </c>
      <c r="B105" s="3" t="s">
        <v>196</v>
      </c>
      <c r="C105" s="3">
        <v>2017</v>
      </c>
      <c r="D105" s="7">
        <v>0</v>
      </c>
      <c r="E105" s="2" t="s">
        <v>491</v>
      </c>
      <c r="F105" s="4" t="s">
        <v>77</v>
      </c>
      <c r="G105" s="4" t="s">
        <v>492</v>
      </c>
      <c r="H105" s="4" t="s">
        <v>493</v>
      </c>
      <c r="I105" s="2" t="s">
        <v>494</v>
      </c>
    </row>
    <row r="106" spans="1:9" ht="15" customHeight="1" x14ac:dyDescent="0.25">
      <c r="A106" s="3" t="s">
        <v>76</v>
      </c>
      <c r="B106" s="3" t="s">
        <v>196</v>
      </c>
      <c r="C106" s="3">
        <v>2018</v>
      </c>
      <c r="D106" s="7">
        <v>0</v>
      </c>
      <c r="E106" s="2" t="s">
        <v>491</v>
      </c>
      <c r="F106" s="4" t="s">
        <v>77</v>
      </c>
      <c r="G106" s="4" t="s">
        <v>492</v>
      </c>
      <c r="H106" s="4" t="s">
        <v>493</v>
      </c>
      <c r="I106" s="2" t="s">
        <v>494</v>
      </c>
    </row>
    <row r="107" spans="1:9" ht="15" customHeight="1" x14ac:dyDescent="0.25">
      <c r="A107" s="3" t="s">
        <v>76</v>
      </c>
      <c r="B107" s="3" t="s">
        <v>196</v>
      </c>
      <c r="C107" s="3">
        <v>2019</v>
      </c>
      <c r="D107" s="7">
        <v>0</v>
      </c>
      <c r="E107" s="2" t="s">
        <v>491</v>
      </c>
      <c r="F107" s="4" t="s">
        <v>77</v>
      </c>
      <c r="G107" s="4" t="s">
        <v>492</v>
      </c>
      <c r="H107" s="4" t="s">
        <v>493</v>
      </c>
      <c r="I107" s="2" t="s">
        <v>494</v>
      </c>
    </row>
    <row r="108" spans="1:9" ht="15" customHeight="1" x14ac:dyDescent="0.25">
      <c r="A108" s="3" t="s">
        <v>76</v>
      </c>
      <c r="B108" s="3" t="s">
        <v>196</v>
      </c>
      <c r="C108" s="3">
        <v>2020</v>
      </c>
      <c r="D108" s="7">
        <v>0</v>
      </c>
      <c r="E108" s="2" t="s">
        <v>491</v>
      </c>
      <c r="F108" s="4" t="s">
        <v>77</v>
      </c>
      <c r="G108" s="4" t="s">
        <v>492</v>
      </c>
      <c r="H108" s="4" t="s">
        <v>493</v>
      </c>
      <c r="I108" s="2" t="s">
        <v>494</v>
      </c>
    </row>
    <row r="109" spans="1:9" ht="15" customHeight="1" x14ac:dyDescent="0.25">
      <c r="A109" s="3" t="s">
        <v>76</v>
      </c>
      <c r="B109" s="3" t="s">
        <v>196</v>
      </c>
      <c r="C109" s="3">
        <v>2021</v>
      </c>
      <c r="D109" s="7">
        <v>0</v>
      </c>
      <c r="E109" s="2" t="s">
        <v>491</v>
      </c>
      <c r="F109" s="4" t="s">
        <v>77</v>
      </c>
      <c r="G109" s="4" t="s">
        <v>492</v>
      </c>
      <c r="H109" s="4" t="s">
        <v>493</v>
      </c>
      <c r="I109" s="2" t="s">
        <v>494</v>
      </c>
    </row>
    <row r="110" spans="1:9" ht="15" customHeight="1" x14ac:dyDescent="0.25">
      <c r="A110" s="3" t="s">
        <v>76</v>
      </c>
      <c r="B110" s="3" t="s">
        <v>196</v>
      </c>
      <c r="C110" s="3">
        <v>2022</v>
      </c>
      <c r="D110" s="7">
        <v>0</v>
      </c>
      <c r="E110" s="2" t="s">
        <v>491</v>
      </c>
      <c r="F110" s="4" t="s">
        <v>77</v>
      </c>
      <c r="G110" s="4" t="s">
        <v>492</v>
      </c>
      <c r="H110" s="4" t="s">
        <v>493</v>
      </c>
      <c r="I110" s="2" t="s">
        <v>494</v>
      </c>
    </row>
    <row r="111" spans="1:9" ht="15" customHeight="1" x14ac:dyDescent="0.25">
      <c r="A111" s="3" t="s">
        <v>76</v>
      </c>
      <c r="B111" s="3" t="s">
        <v>196</v>
      </c>
      <c r="C111" s="3">
        <v>2023</v>
      </c>
      <c r="D111" s="7">
        <v>0</v>
      </c>
      <c r="E111" s="2" t="s">
        <v>491</v>
      </c>
      <c r="F111" s="4" t="s">
        <v>77</v>
      </c>
      <c r="G111" s="4" t="s">
        <v>492</v>
      </c>
      <c r="H111" s="4" t="s">
        <v>493</v>
      </c>
      <c r="I111" s="2" t="s">
        <v>494</v>
      </c>
    </row>
    <row r="112" spans="1:9" ht="15" customHeight="1" x14ac:dyDescent="0.25">
      <c r="A112" s="3" t="s">
        <v>76</v>
      </c>
      <c r="B112" s="3" t="s">
        <v>196</v>
      </c>
      <c r="C112" s="3">
        <v>2024</v>
      </c>
      <c r="D112" s="7">
        <v>0</v>
      </c>
      <c r="E112" s="2" t="s">
        <v>491</v>
      </c>
      <c r="F112" s="4" t="s">
        <v>77</v>
      </c>
      <c r="G112" s="4" t="s">
        <v>492</v>
      </c>
      <c r="H112" s="4" t="s">
        <v>493</v>
      </c>
      <c r="I112" s="2" t="s">
        <v>494</v>
      </c>
    </row>
    <row r="113" spans="1:9" ht="15" customHeight="1" x14ac:dyDescent="0.25">
      <c r="A113" s="3" t="s">
        <v>76</v>
      </c>
      <c r="B113" s="3" t="s">
        <v>196</v>
      </c>
      <c r="C113" s="3">
        <v>2025</v>
      </c>
      <c r="D113" s="7">
        <v>0</v>
      </c>
      <c r="E113" s="2" t="s">
        <v>491</v>
      </c>
      <c r="F113" s="4" t="s">
        <v>77</v>
      </c>
      <c r="G113" s="4" t="s">
        <v>492</v>
      </c>
      <c r="H113" s="4" t="s">
        <v>493</v>
      </c>
      <c r="I113" s="2" t="s">
        <v>494</v>
      </c>
    </row>
    <row r="114" spans="1:9" ht="15" customHeight="1" x14ac:dyDescent="0.25">
      <c r="A114" s="3" t="s">
        <v>82</v>
      </c>
      <c r="B114" s="3" t="s">
        <v>202</v>
      </c>
      <c r="C114" s="3">
        <v>2016</v>
      </c>
      <c r="D114" s="7">
        <v>0.97626513317191288</v>
      </c>
      <c r="E114" s="2" t="s">
        <v>491</v>
      </c>
      <c r="F114" s="4" t="s">
        <v>83</v>
      </c>
      <c r="G114" s="4" t="s">
        <v>408</v>
      </c>
      <c r="H114" s="4" t="s">
        <v>495</v>
      </c>
      <c r="I114" s="2" t="s">
        <v>496</v>
      </c>
    </row>
    <row r="115" spans="1:9" ht="15" customHeight="1" x14ac:dyDescent="0.25">
      <c r="A115" s="3" t="s">
        <v>82</v>
      </c>
      <c r="B115" s="3" t="s">
        <v>202</v>
      </c>
      <c r="C115" s="3">
        <v>2017</v>
      </c>
      <c r="D115" s="7">
        <v>0.97501815980629547</v>
      </c>
      <c r="E115" s="2" t="s">
        <v>491</v>
      </c>
      <c r="F115" s="4" t="s">
        <v>83</v>
      </c>
      <c r="G115" s="4" t="s">
        <v>408</v>
      </c>
      <c r="H115" s="4" t="s">
        <v>495</v>
      </c>
      <c r="I115" s="2" t="s">
        <v>496</v>
      </c>
    </row>
    <row r="116" spans="1:9" ht="15" customHeight="1" x14ac:dyDescent="0.25">
      <c r="A116" s="3" t="s">
        <v>82</v>
      </c>
      <c r="B116" s="3" t="s">
        <v>202</v>
      </c>
      <c r="C116" s="3">
        <v>2018</v>
      </c>
      <c r="D116" s="7">
        <v>0.97593220338983055</v>
      </c>
      <c r="E116" s="2" t="s">
        <v>491</v>
      </c>
      <c r="F116" s="4" t="s">
        <v>83</v>
      </c>
      <c r="G116" s="4" t="s">
        <v>408</v>
      </c>
      <c r="H116" s="4" t="s">
        <v>495</v>
      </c>
      <c r="I116" s="2" t="s">
        <v>496</v>
      </c>
    </row>
    <row r="117" spans="1:9" ht="15" customHeight="1" x14ac:dyDescent="0.25">
      <c r="A117" s="3" t="s">
        <v>82</v>
      </c>
      <c r="B117" s="3" t="s">
        <v>202</v>
      </c>
      <c r="C117" s="3">
        <v>2019</v>
      </c>
      <c r="D117" s="7">
        <v>0.97490920096852307</v>
      </c>
      <c r="E117" s="2" t="s">
        <v>491</v>
      </c>
      <c r="F117" s="4" t="s">
        <v>83</v>
      </c>
      <c r="G117" s="4" t="s">
        <v>408</v>
      </c>
      <c r="H117" s="4" t="s">
        <v>495</v>
      </c>
      <c r="I117" s="2" t="s">
        <v>496</v>
      </c>
    </row>
    <row r="118" spans="1:9" ht="15" customHeight="1" x14ac:dyDescent="0.25">
      <c r="A118" s="3" t="s">
        <v>82</v>
      </c>
      <c r="B118" s="3" t="s">
        <v>202</v>
      </c>
      <c r="C118" s="3">
        <v>2020</v>
      </c>
      <c r="D118" s="7">
        <v>0.97582324455205804</v>
      </c>
      <c r="E118" s="2" t="s">
        <v>491</v>
      </c>
      <c r="F118" s="4" t="s">
        <v>83</v>
      </c>
      <c r="G118" s="4" t="s">
        <v>408</v>
      </c>
      <c r="H118" s="4" t="s">
        <v>495</v>
      </c>
      <c r="I118" s="2" t="s">
        <v>496</v>
      </c>
    </row>
    <row r="119" spans="1:9" ht="15" customHeight="1" x14ac:dyDescent="0.25">
      <c r="A119" s="3" t="s">
        <v>82</v>
      </c>
      <c r="B119" s="3" t="s">
        <v>202</v>
      </c>
      <c r="C119" s="3">
        <v>2021</v>
      </c>
      <c r="D119" s="7">
        <v>0.97512106537530263</v>
      </c>
      <c r="E119" s="2" t="s">
        <v>491</v>
      </c>
      <c r="F119" s="4" t="s">
        <v>83</v>
      </c>
      <c r="G119" s="4" t="s">
        <v>408</v>
      </c>
      <c r="H119" s="4" t="s">
        <v>495</v>
      </c>
      <c r="I119" s="2" t="s">
        <v>496</v>
      </c>
    </row>
    <row r="120" spans="1:9" ht="15" customHeight="1" x14ac:dyDescent="0.25">
      <c r="A120" s="3" t="s">
        <v>82</v>
      </c>
      <c r="B120" s="3" t="s">
        <v>202</v>
      </c>
      <c r="C120" s="3">
        <v>2022</v>
      </c>
      <c r="D120" s="7">
        <v>0.99161486486486483</v>
      </c>
      <c r="E120" s="2" t="s">
        <v>491</v>
      </c>
      <c r="F120" s="4" t="s">
        <v>83</v>
      </c>
      <c r="G120" s="4" t="s">
        <v>408</v>
      </c>
      <c r="H120" s="4" t="s">
        <v>495</v>
      </c>
      <c r="I120" s="2" t="s">
        <v>496</v>
      </c>
    </row>
    <row r="121" spans="1:9" ht="15" customHeight="1" x14ac:dyDescent="0.25">
      <c r="A121" s="3" t="s">
        <v>82</v>
      </c>
      <c r="B121" s="3" t="s">
        <v>202</v>
      </c>
      <c r="C121" s="3">
        <v>2023</v>
      </c>
      <c r="D121" s="7">
        <v>0.99130405405405408</v>
      </c>
      <c r="E121" s="2" t="s">
        <v>491</v>
      </c>
      <c r="F121" s="4" t="s">
        <v>83</v>
      </c>
      <c r="G121" s="4" t="s">
        <v>408</v>
      </c>
      <c r="H121" s="4" t="s">
        <v>495</v>
      </c>
      <c r="I121" s="2" t="s">
        <v>496</v>
      </c>
    </row>
    <row r="122" spans="1:9" ht="15" customHeight="1" x14ac:dyDescent="0.25">
      <c r="A122" s="3" t="s">
        <v>82</v>
      </c>
      <c r="B122" s="3" t="s">
        <v>202</v>
      </c>
      <c r="C122" s="3">
        <v>2024</v>
      </c>
      <c r="D122" s="7">
        <v>0.99172972972972973</v>
      </c>
      <c r="E122" s="2" t="s">
        <v>491</v>
      </c>
      <c r="F122" s="4" t="s">
        <v>83</v>
      </c>
      <c r="G122" s="4" t="s">
        <v>408</v>
      </c>
      <c r="H122" s="4" t="s">
        <v>495</v>
      </c>
      <c r="I122" s="2" t="s">
        <v>496</v>
      </c>
    </row>
    <row r="123" spans="1:9" ht="15" customHeight="1" x14ac:dyDescent="0.25">
      <c r="A123" s="3" t="s">
        <v>82</v>
      </c>
      <c r="B123" s="3" t="s">
        <v>202</v>
      </c>
      <c r="C123" s="3">
        <v>2025</v>
      </c>
      <c r="D123" s="7">
        <v>0.99202027027027029</v>
      </c>
      <c r="E123" s="2" t="s">
        <v>491</v>
      </c>
      <c r="F123" s="4" t="s">
        <v>83</v>
      </c>
      <c r="G123" s="4" t="s">
        <v>408</v>
      </c>
      <c r="H123" s="4" t="s">
        <v>495</v>
      </c>
      <c r="I123" s="2" t="s">
        <v>496</v>
      </c>
    </row>
    <row r="124" spans="1:9" ht="15" customHeight="1" x14ac:dyDescent="0.25">
      <c r="A124" s="3" t="s">
        <v>82</v>
      </c>
      <c r="B124" s="3" t="s">
        <v>210</v>
      </c>
      <c r="C124" s="3">
        <v>2016</v>
      </c>
      <c r="D124" s="7">
        <v>0.95886075949367089</v>
      </c>
      <c r="E124" s="2" t="s">
        <v>491</v>
      </c>
      <c r="F124" s="4" t="s">
        <v>83</v>
      </c>
      <c r="G124" s="4" t="s">
        <v>408</v>
      </c>
      <c r="H124" s="4" t="s">
        <v>495</v>
      </c>
      <c r="I124" s="2" t="s">
        <v>496</v>
      </c>
    </row>
    <row r="125" spans="1:9" ht="15" customHeight="1" x14ac:dyDescent="0.25">
      <c r="A125" s="3" t="s">
        <v>82</v>
      </c>
      <c r="B125" s="3" t="s">
        <v>210</v>
      </c>
      <c r="C125" s="3">
        <v>2017</v>
      </c>
      <c r="D125" s="7">
        <v>0.96202531645569622</v>
      </c>
      <c r="E125" s="2" t="s">
        <v>491</v>
      </c>
      <c r="F125" s="4" t="s">
        <v>83</v>
      </c>
      <c r="G125" s="4" t="s">
        <v>408</v>
      </c>
      <c r="H125" s="4" t="s">
        <v>495</v>
      </c>
      <c r="I125" s="2" t="s">
        <v>496</v>
      </c>
    </row>
    <row r="126" spans="1:9" ht="15" customHeight="1" x14ac:dyDescent="0.25">
      <c r="A126" s="3" t="s">
        <v>82</v>
      </c>
      <c r="B126" s="3" t="s">
        <v>210</v>
      </c>
      <c r="C126" s="3">
        <v>2018</v>
      </c>
      <c r="D126" s="7">
        <v>0.96202531645569622</v>
      </c>
      <c r="E126" s="2" t="s">
        <v>491</v>
      </c>
      <c r="F126" s="4" t="s">
        <v>83</v>
      </c>
      <c r="G126" s="4" t="s">
        <v>408</v>
      </c>
      <c r="H126" s="4" t="s">
        <v>495</v>
      </c>
      <c r="I126" s="2" t="s">
        <v>496</v>
      </c>
    </row>
    <row r="127" spans="1:9" ht="15" customHeight="1" x14ac:dyDescent="0.25">
      <c r="A127" s="3" t="s">
        <v>82</v>
      </c>
      <c r="B127" s="3" t="s">
        <v>210</v>
      </c>
      <c r="C127" s="3">
        <v>2019</v>
      </c>
      <c r="D127" s="7">
        <v>0.95886075949367089</v>
      </c>
      <c r="E127" s="2" t="s">
        <v>491</v>
      </c>
      <c r="F127" s="4" t="s">
        <v>83</v>
      </c>
      <c r="G127" s="4" t="s">
        <v>408</v>
      </c>
      <c r="H127" s="4" t="s">
        <v>495</v>
      </c>
      <c r="I127" s="2" t="s">
        <v>496</v>
      </c>
    </row>
    <row r="128" spans="1:9" ht="15" customHeight="1" x14ac:dyDescent="0.25">
      <c r="A128" s="3" t="s">
        <v>82</v>
      </c>
      <c r="B128" s="3" t="s">
        <v>210</v>
      </c>
      <c r="C128" s="3">
        <v>2020</v>
      </c>
      <c r="D128" s="7">
        <v>0.96202531645569622</v>
      </c>
      <c r="E128" s="2" t="s">
        <v>491</v>
      </c>
      <c r="F128" s="4" t="s">
        <v>83</v>
      </c>
      <c r="G128" s="4" t="s">
        <v>408</v>
      </c>
      <c r="H128" s="4" t="s">
        <v>495</v>
      </c>
      <c r="I128" s="2" t="s">
        <v>496</v>
      </c>
    </row>
    <row r="129" spans="1:9" ht="15" customHeight="1" x14ac:dyDescent="0.25">
      <c r="A129" s="3" t="s">
        <v>82</v>
      </c>
      <c r="B129" s="3" t="s">
        <v>210</v>
      </c>
      <c r="C129" s="3">
        <v>2021</v>
      </c>
      <c r="D129" s="7">
        <v>0.96202531645569622</v>
      </c>
      <c r="E129" s="2" t="s">
        <v>491</v>
      </c>
      <c r="F129" s="4" t="s">
        <v>83</v>
      </c>
      <c r="G129" s="4" t="s">
        <v>408</v>
      </c>
      <c r="H129" s="4" t="s">
        <v>495</v>
      </c>
      <c r="I129" s="2" t="s">
        <v>496</v>
      </c>
    </row>
    <row r="130" spans="1:9" ht="15" customHeight="1" x14ac:dyDescent="0.25">
      <c r="A130" s="3" t="s">
        <v>82</v>
      </c>
      <c r="B130" s="3" t="s">
        <v>210</v>
      </c>
      <c r="C130" s="3">
        <v>2022</v>
      </c>
      <c r="D130" s="7">
        <v>0.953125</v>
      </c>
      <c r="E130" s="2" t="s">
        <v>491</v>
      </c>
      <c r="F130" s="4" t="s">
        <v>83</v>
      </c>
      <c r="G130" s="4" t="s">
        <v>408</v>
      </c>
      <c r="H130" s="4" t="s">
        <v>495</v>
      </c>
      <c r="I130" s="2" t="s">
        <v>496</v>
      </c>
    </row>
    <row r="131" spans="1:9" ht="15" customHeight="1" x14ac:dyDescent="0.25">
      <c r="A131" s="3" t="s">
        <v>82</v>
      </c>
      <c r="B131" s="3" t="s">
        <v>210</v>
      </c>
      <c r="C131" s="3">
        <v>2023</v>
      </c>
      <c r="D131" s="7">
        <v>0.9453125</v>
      </c>
      <c r="E131" s="2" t="s">
        <v>491</v>
      </c>
      <c r="F131" s="4" t="s">
        <v>83</v>
      </c>
      <c r="G131" s="4" t="s">
        <v>408</v>
      </c>
      <c r="H131" s="4" t="s">
        <v>495</v>
      </c>
      <c r="I131" s="2" t="s">
        <v>496</v>
      </c>
    </row>
    <row r="132" spans="1:9" ht="15" customHeight="1" x14ac:dyDescent="0.25">
      <c r="A132" s="3" t="s">
        <v>82</v>
      </c>
      <c r="B132" s="3" t="s">
        <v>210</v>
      </c>
      <c r="C132" s="3">
        <v>2024</v>
      </c>
      <c r="D132" s="7">
        <v>0.96354166666666674</v>
      </c>
      <c r="E132" s="2" t="s">
        <v>491</v>
      </c>
      <c r="F132" s="4" t="s">
        <v>83</v>
      </c>
      <c r="G132" s="4" t="s">
        <v>408</v>
      </c>
      <c r="H132" s="4" t="s">
        <v>495</v>
      </c>
      <c r="I132" s="2" t="s">
        <v>496</v>
      </c>
    </row>
    <row r="133" spans="1:9" ht="15" customHeight="1" x14ac:dyDescent="0.25">
      <c r="A133" s="3" t="s">
        <v>82</v>
      </c>
      <c r="B133" s="3" t="s">
        <v>210</v>
      </c>
      <c r="C133" s="3">
        <v>2025</v>
      </c>
      <c r="D133" s="7">
        <v>0.95833333333333326</v>
      </c>
      <c r="E133" s="2" t="s">
        <v>491</v>
      </c>
      <c r="F133" s="4" t="s">
        <v>83</v>
      </c>
      <c r="G133" s="4" t="s">
        <v>408</v>
      </c>
      <c r="H133" s="4" t="s">
        <v>495</v>
      </c>
      <c r="I133" s="2" t="s">
        <v>496</v>
      </c>
    </row>
    <row r="134" spans="1:9" ht="15" customHeight="1" x14ac:dyDescent="0.25">
      <c r="A134" s="3" t="s">
        <v>82</v>
      </c>
      <c r="B134" s="3" t="s">
        <v>215</v>
      </c>
      <c r="C134" s="3">
        <v>2016</v>
      </c>
      <c r="D134" s="7">
        <v>0.60129413079420369</v>
      </c>
      <c r="E134" s="2" t="s">
        <v>491</v>
      </c>
      <c r="F134" s="4" t="s">
        <v>83</v>
      </c>
      <c r="G134" s="4" t="s">
        <v>408</v>
      </c>
      <c r="H134" s="4" t="s">
        <v>495</v>
      </c>
      <c r="I134" s="2" t="s">
        <v>496</v>
      </c>
    </row>
    <row r="135" spans="1:9" ht="15" customHeight="1" x14ac:dyDescent="0.25">
      <c r="A135" s="3" t="s">
        <v>82</v>
      </c>
      <c r="B135" s="3" t="s">
        <v>215</v>
      </c>
      <c r="C135" s="3">
        <v>2017</v>
      </c>
      <c r="D135" s="7">
        <v>0.648332470898067</v>
      </c>
      <c r="E135" s="2" t="s">
        <v>491</v>
      </c>
      <c r="F135" s="4" t="s">
        <v>83</v>
      </c>
      <c r="G135" s="4" t="s">
        <v>408</v>
      </c>
      <c r="H135" s="4" t="s">
        <v>495</v>
      </c>
      <c r="I135" s="2" t="s">
        <v>496</v>
      </c>
    </row>
    <row r="136" spans="1:9" ht="15" customHeight="1" x14ac:dyDescent="0.25">
      <c r="A136" s="3" t="s">
        <v>82</v>
      </c>
      <c r="B136" s="3" t="s">
        <v>215</v>
      </c>
      <c r="C136" s="3">
        <v>2018</v>
      </c>
      <c r="D136" s="7">
        <v>0.61001838122224528</v>
      </c>
      <c r="E136" s="2" t="s">
        <v>491</v>
      </c>
      <c r="F136" s="4" t="s">
        <v>83</v>
      </c>
      <c r="G136" s="4" t="s">
        <v>408</v>
      </c>
      <c r="H136" s="4" t="s">
        <v>495</v>
      </c>
      <c r="I136" s="2" t="s">
        <v>496</v>
      </c>
    </row>
    <row r="137" spans="1:9" ht="15" customHeight="1" x14ac:dyDescent="0.25">
      <c r="A137" s="3" t="s">
        <v>82</v>
      </c>
      <c r="B137" s="3" t="s">
        <v>215</v>
      </c>
      <c r="C137" s="3">
        <v>2019</v>
      </c>
      <c r="D137" s="7">
        <v>0.63987617542859798</v>
      </c>
      <c r="E137" s="2" t="s">
        <v>491</v>
      </c>
      <c r="F137" s="4" t="s">
        <v>83</v>
      </c>
      <c r="G137" s="4" t="s">
        <v>408</v>
      </c>
      <c r="H137" s="4" t="s">
        <v>495</v>
      </c>
      <c r="I137" s="2" t="s">
        <v>496</v>
      </c>
    </row>
    <row r="138" spans="1:9" ht="15" customHeight="1" x14ac:dyDescent="0.25">
      <c r="A138" s="3" t="s">
        <v>82</v>
      </c>
      <c r="B138" s="3" t="s">
        <v>215</v>
      </c>
      <c r="C138" s="3">
        <v>2020</v>
      </c>
      <c r="D138" s="7">
        <v>0.61031491861637854</v>
      </c>
      <c r="E138" s="2" t="s">
        <v>491</v>
      </c>
      <c r="F138" s="4" t="s">
        <v>83</v>
      </c>
      <c r="G138" s="4" t="s">
        <v>408</v>
      </c>
      <c r="H138" s="4" t="s">
        <v>495</v>
      </c>
      <c r="I138" s="2" t="s">
        <v>496</v>
      </c>
    </row>
    <row r="139" spans="1:9" ht="15" customHeight="1" x14ac:dyDescent="0.25">
      <c r="A139" s="3" t="s">
        <v>82</v>
      </c>
      <c r="B139" s="3" t="s">
        <v>215</v>
      </c>
      <c r="C139" s="3">
        <v>2021</v>
      </c>
      <c r="D139" s="7">
        <v>0.63629196442602565</v>
      </c>
      <c r="E139" s="2" t="s">
        <v>491</v>
      </c>
      <c r="F139" s="4" t="s">
        <v>83</v>
      </c>
      <c r="G139" s="4" t="s">
        <v>408</v>
      </c>
      <c r="H139" s="4" t="s">
        <v>495</v>
      </c>
      <c r="I139" s="2" t="s">
        <v>496</v>
      </c>
    </row>
    <row r="140" spans="1:9" ht="15" customHeight="1" x14ac:dyDescent="0.25">
      <c r="A140" s="3" t="s">
        <v>82</v>
      </c>
      <c r="B140" s="3" t="s">
        <v>215</v>
      </c>
      <c r="C140" s="3">
        <v>2022</v>
      </c>
      <c r="D140" s="7">
        <v>5.8028261146902925E-2</v>
      </c>
      <c r="E140" s="2" t="s">
        <v>491</v>
      </c>
      <c r="F140" s="4" t="s">
        <v>83</v>
      </c>
      <c r="G140" s="4" t="s">
        <v>408</v>
      </c>
      <c r="H140" s="4" t="s">
        <v>495</v>
      </c>
      <c r="I140" s="2" t="s">
        <v>496</v>
      </c>
    </row>
    <row r="141" spans="1:9" ht="15" customHeight="1" x14ac:dyDescent="0.25">
      <c r="A141" s="3" t="s">
        <v>82</v>
      </c>
      <c r="B141" s="3" t="s">
        <v>215</v>
      </c>
      <c r="C141" s="3">
        <v>2023</v>
      </c>
      <c r="D141" s="7">
        <v>6.164326161378144E-2</v>
      </c>
      <c r="E141" s="2" t="s">
        <v>491</v>
      </c>
      <c r="F141" s="4" t="s">
        <v>83</v>
      </c>
      <c r="G141" s="4" t="s">
        <v>408</v>
      </c>
      <c r="H141" s="4" t="s">
        <v>495</v>
      </c>
      <c r="I141" s="2" t="s">
        <v>496</v>
      </c>
    </row>
    <row r="142" spans="1:9" ht="15" customHeight="1" x14ac:dyDescent="0.25">
      <c r="A142" s="3" t="s">
        <v>82</v>
      </c>
      <c r="B142" s="3" t="s">
        <v>215</v>
      </c>
      <c r="C142" s="3">
        <v>2024</v>
      </c>
      <c r="D142" s="7">
        <v>5.7374540416067821E-2</v>
      </c>
      <c r="E142" s="2" t="s">
        <v>491</v>
      </c>
      <c r="F142" s="4" t="s">
        <v>83</v>
      </c>
      <c r="G142" s="4" t="s">
        <v>408</v>
      </c>
      <c r="H142" s="4" t="s">
        <v>495</v>
      </c>
      <c r="I142" s="2" t="s">
        <v>496</v>
      </c>
    </row>
    <row r="143" spans="1:9" ht="15" customHeight="1" x14ac:dyDescent="0.25">
      <c r="A143" s="3" t="s">
        <v>82</v>
      </c>
      <c r="B143" s="3" t="s">
        <v>215</v>
      </c>
      <c r="C143" s="3">
        <v>2025</v>
      </c>
      <c r="D143" s="7">
        <v>5.5840732762524957E-2</v>
      </c>
      <c r="E143" s="2" t="s">
        <v>491</v>
      </c>
      <c r="F143" s="4" t="s">
        <v>83</v>
      </c>
      <c r="G143" s="4" t="s">
        <v>408</v>
      </c>
      <c r="H143" s="4" t="s">
        <v>495</v>
      </c>
      <c r="I143" s="2" t="s">
        <v>496</v>
      </c>
    </row>
    <row r="144" spans="1:9" ht="15" customHeight="1" x14ac:dyDescent="0.25">
      <c r="A144" s="3" t="s">
        <v>82</v>
      </c>
      <c r="B144" s="3" t="s">
        <v>222</v>
      </c>
      <c r="C144" s="3">
        <v>2016</v>
      </c>
      <c r="D144" s="7">
        <v>0.49990097303378367</v>
      </c>
      <c r="E144" s="2" t="s">
        <v>491</v>
      </c>
      <c r="F144" s="4" t="s">
        <v>83</v>
      </c>
      <c r="G144" s="4" t="s">
        <v>408</v>
      </c>
      <c r="H144" s="4" t="s">
        <v>495</v>
      </c>
      <c r="I144" s="2" t="s">
        <v>496</v>
      </c>
    </row>
    <row r="145" spans="1:9" ht="15" customHeight="1" x14ac:dyDescent="0.25">
      <c r="A145" s="3" t="s">
        <v>82</v>
      </c>
      <c r="B145" s="3" t="s">
        <v>222</v>
      </c>
      <c r="C145" s="3">
        <v>2017</v>
      </c>
      <c r="D145" s="7">
        <v>0.50104233997860226</v>
      </c>
      <c r="E145" s="2" t="s">
        <v>491</v>
      </c>
      <c r="F145" s="4" t="s">
        <v>83</v>
      </c>
      <c r="G145" s="4" t="s">
        <v>408</v>
      </c>
      <c r="H145" s="4" t="s">
        <v>495</v>
      </c>
      <c r="I145" s="2" t="s">
        <v>496</v>
      </c>
    </row>
    <row r="146" spans="1:9" ht="15" customHeight="1" x14ac:dyDescent="0.25">
      <c r="A146" s="3" t="s">
        <v>82</v>
      </c>
      <c r="B146" s="3" t="s">
        <v>222</v>
      </c>
      <c r="C146" s="3">
        <v>2018</v>
      </c>
      <c r="D146" s="7">
        <v>0.49936023851783951</v>
      </c>
      <c r="E146" s="2" t="s">
        <v>491</v>
      </c>
      <c r="F146" s="4" t="s">
        <v>83</v>
      </c>
      <c r="G146" s="4" t="s">
        <v>408</v>
      </c>
      <c r="H146" s="4" t="s">
        <v>495</v>
      </c>
      <c r="I146" s="2" t="s">
        <v>496</v>
      </c>
    </row>
    <row r="147" spans="1:9" ht="15" customHeight="1" x14ac:dyDescent="0.25">
      <c r="A147" s="3" t="s">
        <v>82</v>
      </c>
      <c r="B147" s="3" t="s">
        <v>222</v>
      </c>
      <c r="C147" s="3">
        <v>2019</v>
      </c>
      <c r="D147" s="7">
        <v>0.50076626991574302</v>
      </c>
      <c r="E147" s="2" t="s">
        <v>491</v>
      </c>
      <c r="F147" s="4" t="s">
        <v>83</v>
      </c>
      <c r="G147" s="4" t="s">
        <v>408</v>
      </c>
      <c r="H147" s="4" t="s">
        <v>495</v>
      </c>
      <c r="I147" s="2" t="s">
        <v>496</v>
      </c>
    </row>
    <row r="148" spans="1:9" ht="15" customHeight="1" x14ac:dyDescent="0.25">
      <c r="A148" s="3" t="s">
        <v>82</v>
      </c>
      <c r="B148" s="3" t="s">
        <v>222</v>
      </c>
      <c r="C148" s="3">
        <v>2020</v>
      </c>
      <c r="D148" s="7">
        <v>0.49944204348617283</v>
      </c>
      <c r="E148" s="2" t="s">
        <v>491</v>
      </c>
      <c r="F148" s="4" t="s">
        <v>83</v>
      </c>
      <c r="G148" s="4" t="s">
        <v>408</v>
      </c>
      <c r="H148" s="4" t="s">
        <v>495</v>
      </c>
      <c r="I148" s="2" t="s">
        <v>496</v>
      </c>
    </row>
    <row r="149" spans="1:9" ht="15" customHeight="1" x14ac:dyDescent="0.25">
      <c r="A149" s="3" t="s">
        <v>82</v>
      </c>
      <c r="B149" s="3" t="s">
        <v>222</v>
      </c>
      <c r="C149" s="3">
        <v>2021</v>
      </c>
      <c r="D149" s="7">
        <v>0.50087192680142223</v>
      </c>
      <c r="E149" s="2" t="s">
        <v>491</v>
      </c>
      <c r="F149" s="4" t="s">
        <v>83</v>
      </c>
      <c r="G149" s="4" t="s">
        <v>408</v>
      </c>
      <c r="H149" s="4" t="s">
        <v>495</v>
      </c>
      <c r="I149" s="2" t="s">
        <v>496</v>
      </c>
    </row>
    <row r="150" spans="1:9" ht="15" customHeight="1" x14ac:dyDescent="0.25">
      <c r="A150" s="3" t="s">
        <v>82</v>
      </c>
      <c r="B150" s="3" t="s">
        <v>222</v>
      </c>
      <c r="C150" s="3">
        <v>2022</v>
      </c>
      <c r="D150" s="7">
        <v>0.10650384456983088</v>
      </c>
      <c r="E150" s="2" t="s">
        <v>491</v>
      </c>
      <c r="F150" s="4" t="s">
        <v>83</v>
      </c>
      <c r="G150" s="4" t="s">
        <v>408</v>
      </c>
      <c r="H150" s="4" t="s">
        <v>495</v>
      </c>
      <c r="I150" s="2" t="s">
        <v>496</v>
      </c>
    </row>
    <row r="151" spans="1:9" ht="15" customHeight="1" x14ac:dyDescent="0.25">
      <c r="A151" s="3" t="s">
        <v>82</v>
      </c>
      <c r="B151" s="3" t="s">
        <v>222</v>
      </c>
      <c r="C151" s="3">
        <v>2023</v>
      </c>
      <c r="D151" s="7">
        <v>0.10963377767787187</v>
      </c>
      <c r="E151" s="2" t="s">
        <v>491</v>
      </c>
      <c r="F151" s="4" t="s">
        <v>83</v>
      </c>
      <c r="G151" s="4" t="s">
        <v>408</v>
      </c>
      <c r="H151" s="4" t="s">
        <v>495</v>
      </c>
      <c r="I151" s="2" t="s">
        <v>496</v>
      </c>
    </row>
    <row r="152" spans="1:9" ht="15" customHeight="1" x14ac:dyDescent="0.25">
      <c r="A152" s="3" t="s">
        <v>82</v>
      </c>
      <c r="B152" s="3" t="s">
        <v>222</v>
      </c>
      <c r="C152" s="3">
        <v>2024</v>
      </c>
      <c r="D152" s="7">
        <v>0.11192854642322793</v>
      </c>
      <c r="E152" s="2" t="s">
        <v>491</v>
      </c>
      <c r="F152" s="4" t="s">
        <v>83</v>
      </c>
      <c r="G152" s="4" t="s">
        <v>408</v>
      </c>
      <c r="H152" s="4" t="s">
        <v>495</v>
      </c>
      <c r="I152" s="2" t="s">
        <v>496</v>
      </c>
    </row>
    <row r="153" spans="1:9" ht="15" customHeight="1" x14ac:dyDescent="0.25">
      <c r="A153" s="3" t="s">
        <v>82</v>
      </c>
      <c r="B153" s="3" t="s">
        <v>222</v>
      </c>
      <c r="C153" s="3">
        <v>2025</v>
      </c>
      <c r="D153" s="7">
        <v>0.11308453011948852</v>
      </c>
      <c r="E153" s="2" t="s">
        <v>491</v>
      </c>
      <c r="F153" s="4" t="s">
        <v>83</v>
      </c>
      <c r="G153" s="4" t="s">
        <v>408</v>
      </c>
      <c r="H153" s="4" t="s">
        <v>495</v>
      </c>
      <c r="I153" s="2" t="s">
        <v>496</v>
      </c>
    </row>
    <row r="154" spans="1:9" ht="15" customHeight="1" x14ac:dyDescent="0.25">
      <c r="A154" s="3" t="s">
        <v>82</v>
      </c>
      <c r="B154" s="3" t="s">
        <v>227</v>
      </c>
      <c r="C154" s="3">
        <v>2016</v>
      </c>
      <c r="D154" s="7">
        <v>0.55037188596831998</v>
      </c>
      <c r="E154" s="2" t="s">
        <v>491</v>
      </c>
      <c r="F154" s="4" t="s">
        <v>83</v>
      </c>
      <c r="G154" s="4" t="s">
        <v>408</v>
      </c>
      <c r="H154" s="4" t="s">
        <v>495</v>
      </c>
      <c r="I154" s="2" t="s">
        <v>496</v>
      </c>
    </row>
    <row r="155" spans="1:9" ht="15" customHeight="1" x14ac:dyDescent="0.25">
      <c r="A155" s="3" t="s">
        <v>82</v>
      </c>
      <c r="B155" s="3" t="s">
        <v>227</v>
      </c>
      <c r="C155" s="3">
        <v>2017</v>
      </c>
      <c r="D155" s="7">
        <v>0.55458603892268399</v>
      </c>
      <c r="E155" s="2" t="s">
        <v>491</v>
      </c>
      <c r="F155" s="4" t="s">
        <v>83</v>
      </c>
      <c r="G155" s="4" t="s">
        <v>408</v>
      </c>
      <c r="H155" s="4" t="s">
        <v>495</v>
      </c>
      <c r="I155" s="2" t="s">
        <v>496</v>
      </c>
    </row>
    <row r="156" spans="1:9" ht="15" customHeight="1" x14ac:dyDescent="0.25">
      <c r="A156" s="3" t="s">
        <v>82</v>
      </c>
      <c r="B156" s="3" t="s">
        <v>227</v>
      </c>
      <c r="C156" s="3">
        <v>2018</v>
      </c>
      <c r="D156" s="7">
        <v>0.55690083336291918</v>
      </c>
      <c r="E156" s="2" t="s">
        <v>491</v>
      </c>
      <c r="F156" s="4" t="s">
        <v>83</v>
      </c>
      <c r="G156" s="4" t="s">
        <v>408</v>
      </c>
      <c r="H156" s="4" t="s">
        <v>495</v>
      </c>
      <c r="I156" s="2" t="s">
        <v>496</v>
      </c>
    </row>
    <row r="157" spans="1:9" ht="15" customHeight="1" x14ac:dyDescent="0.25">
      <c r="A157" s="3" t="s">
        <v>82</v>
      </c>
      <c r="B157" s="3" t="s">
        <v>227</v>
      </c>
      <c r="C157" s="3">
        <v>2019</v>
      </c>
      <c r="D157" s="7">
        <v>0.55432799525165355</v>
      </c>
      <c r="E157" s="2" t="s">
        <v>491</v>
      </c>
      <c r="F157" s="4" t="s">
        <v>83</v>
      </c>
      <c r="G157" s="4" t="s">
        <v>408</v>
      </c>
      <c r="H157" s="4" t="s">
        <v>495</v>
      </c>
      <c r="I157" s="2" t="s">
        <v>496</v>
      </c>
    </row>
    <row r="158" spans="1:9" ht="15" customHeight="1" x14ac:dyDescent="0.25">
      <c r="A158" s="3" t="s">
        <v>82</v>
      </c>
      <c r="B158" s="3" t="s">
        <v>227</v>
      </c>
      <c r="C158" s="3">
        <v>2020</v>
      </c>
      <c r="D158" s="7">
        <v>0.55392088872786138</v>
      </c>
      <c r="E158" s="2" t="s">
        <v>491</v>
      </c>
      <c r="F158" s="4" t="s">
        <v>83</v>
      </c>
      <c r="G158" s="4" t="s">
        <v>408</v>
      </c>
      <c r="H158" s="4" t="s">
        <v>495</v>
      </c>
      <c r="I158" s="2" t="s">
        <v>496</v>
      </c>
    </row>
    <row r="159" spans="1:9" ht="15" customHeight="1" x14ac:dyDescent="0.25">
      <c r="A159" s="3" t="s">
        <v>82</v>
      </c>
      <c r="B159" s="3" t="s">
        <v>227</v>
      </c>
      <c r="C159" s="3">
        <v>2021</v>
      </c>
      <c r="D159" s="7">
        <v>0.55567438180648487</v>
      </c>
      <c r="E159" s="2" t="s">
        <v>491</v>
      </c>
      <c r="F159" s="4" t="s">
        <v>83</v>
      </c>
      <c r="G159" s="4" t="s">
        <v>408</v>
      </c>
      <c r="H159" s="4" t="s">
        <v>495</v>
      </c>
      <c r="I159" s="2" t="s">
        <v>496</v>
      </c>
    </row>
    <row r="160" spans="1:9" ht="15" customHeight="1" x14ac:dyDescent="0.25">
      <c r="A160" s="3" t="s">
        <v>82</v>
      </c>
      <c r="B160" s="3" t="s">
        <v>227</v>
      </c>
      <c r="C160" s="3">
        <v>2022</v>
      </c>
      <c r="D160" s="7">
        <v>0.27403071283385083</v>
      </c>
      <c r="E160" s="2" t="s">
        <v>491</v>
      </c>
      <c r="F160" s="4" t="s">
        <v>83</v>
      </c>
      <c r="G160" s="4" t="s">
        <v>408</v>
      </c>
      <c r="H160" s="4" t="s">
        <v>495</v>
      </c>
      <c r="I160" s="2" t="s">
        <v>496</v>
      </c>
    </row>
    <row r="161" spans="1:9" ht="15" customHeight="1" x14ac:dyDescent="0.25">
      <c r="A161" s="3" t="s">
        <v>82</v>
      </c>
      <c r="B161" s="3" t="s">
        <v>227</v>
      </c>
      <c r="C161" s="3">
        <v>2023</v>
      </c>
      <c r="D161" s="7">
        <v>0.23593792807775577</v>
      </c>
      <c r="E161" s="2" t="s">
        <v>491</v>
      </c>
      <c r="F161" s="4" t="s">
        <v>83</v>
      </c>
      <c r="G161" s="4" t="s">
        <v>408</v>
      </c>
      <c r="H161" s="4" t="s">
        <v>495</v>
      </c>
      <c r="I161" s="2" t="s">
        <v>496</v>
      </c>
    </row>
    <row r="162" spans="1:9" ht="15" customHeight="1" x14ac:dyDescent="0.25">
      <c r="A162" s="3" t="s">
        <v>82</v>
      </c>
      <c r="B162" s="3" t="s">
        <v>227</v>
      </c>
      <c r="C162" s="3">
        <v>2024</v>
      </c>
      <c r="D162" s="7">
        <v>0.24219633706031113</v>
      </c>
      <c r="E162" s="2" t="s">
        <v>491</v>
      </c>
      <c r="F162" s="4" t="s">
        <v>83</v>
      </c>
      <c r="G162" s="4" t="s">
        <v>408</v>
      </c>
      <c r="H162" s="4" t="s">
        <v>495</v>
      </c>
      <c r="I162" s="2" t="s">
        <v>496</v>
      </c>
    </row>
    <row r="163" spans="1:9" ht="15" customHeight="1" x14ac:dyDescent="0.25">
      <c r="A163" s="3" t="s">
        <v>82</v>
      </c>
      <c r="B163" s="3" t="s">
        <v>227</v>
      </c>
      <c r="C163" s="3">
        <v>2025</v>
      </c>
      <c r="D163" s="7">
        <v>0.24812887695850092</v>
      </c>
      <c r="E163" s="2" t="s">
        <v>491</v>
      </c>
      <c r="F163" s="4" t="s">
        <v>83</v>
      </c>
      <c r="G163" s="4" t="s">
        <v>408</v>
      </c>
      <c r="H163" s="4" t="s">
        <v>495</v>
      </c>
      <c r="I163" s="2" t="s">
        <v>496</v>
      </c>
    </row>
    <row r="164" spans="1:9" ht="15" customHeight="1" x14ac:dyDescent="0.25">
      <c r="A164" s="3" t="s">
        <v>87</v>
      </c>
      <c r="B164" s="3" t="s">
        <v>232</v>
      </c>
      <c r="C164" s="3">
        <v>2018</v>
      </c>
      <c r="D164" s="7">
        <v>953.71314134288934</v>
      </c>
      <c r="E164" s="2" t="s">
        <v>430</v>
      </c>
      <c r="F164" s="4" t="s">
        <v>88</v>
      </c>
      <c r="G164" s="4" t="s">
        <v>89</v>
      </c>
      <c r="H164" s="4" t="s">
        <v>422</v>
      </c>
      <c r="I164" s="2" t="s">
        <v>497</v>
      </c>
    </row>
    <row r="165" spans="1:9" ht="15" customHeight="1" x14ac:dyDescent="0.25">
      <c r="A165" s="3" t="s">
        <v>87</v>
      </c>
      <c r="B165" s="3" t="s">
        <v>232</v>
      </c>
      <c r="C165" s="3">
        <v>2019</v>
      </c>
      <c r="D165" s="7">
        <v>1171.1746220996829</v>
      </c>
      <c r="E165" s="2" t="s">
        <v>430</v>
      </c>
      <c r="F165" s="4" t="s">
        <v>88</v>
      </c>
      <c r="G165" s="4" t="s">
        <v>89</v>
      </c>
      <c r="H165" s="4" t="s">
        <v>424</v>
      </c>
      <c r="I165" s="2" t="s">
        <v>497</v>
      </c>
    </row>
    <row r="166" spans="1:9" ht="15" customHeight="1" x14ac:dyDescent="0.25">
      <c r="A166" s="3" t="s">
        <v>87</v>
      </c>
      <c r="B166" s="3" t="s">
        <v>232</v>
      </c>
      <c r="C166" s="3">
        <v>2020</v>
      </c>
      <c r="D166" s="7">
        <v>1171.7135443582608</v>
      </c>
      <c r="E166" s="2" t="s">
        <v>430</v>
      </c>
      <c r="F166" s="4" t="s">
        <v>88</v>
      </c>
      <c r="G166" s="4" t="s">
        <v>89</v>
      </c>
      <c r="H166" s="4" t="s">
        <v>498</v>
      </c>
      <c r="I166" s="2" t="s">
        <v>497</v>
      </c>
    </row>
    <row r="167" spans="1:9" ht="15" customHeight="1" x14ac:dyDescent="0.25">
      <c r="A167" s="3" t="s">
        <v>87</v>
      </c>
      <c r="B167" s="3" t="s">
        <v>232</v>
      </c>
      <c r="C167" s="3">
        <v>2021</v>
      </c>
      <c r="D167" s="7">
        <v>1080.7629333221587</v>
      </c>
      <c r="E167" s="2" t="s">
        <v>430</v>
      </c>
      <c r="F167" s="4" t="s">
        <v>88</v>
      </c>
      <c r="G167" s="4" t="s">
        <v>89</v>
      </c>
      <c r="H167" s="4" t="s">
        <v>499</v>
      </c>
      <c r="I167" s="2" t="s">
        <v>497</v>
      </c>
    </row>
    <row r="168" spans="1:9" ht="15" customHeight="1" x14ac:dyDescent="0.25">
      <c r="A168" s="3" t="s">
        <v>87</v>
      </c>
      <c r="B168" s="3" t="s">
        <v>232</v>
      </c>
      <c r="C168" s="3">
        <v>2022</v>
      </c>
      <c r="D168" s="7">
        <v>1062.6300992946042</v>
      </c>
      <c r="E168" s="2" t="s">
        <v>430</v>
      </c>
      <c r="F168" s="4" t="s">
        <v>88</v>
      </c>
      <c r="G168" s="4" t="s">
        <v>89</v>
      </c>
      <c r="H168" s="4" t="s">
        <v>500</v>
      </c>
      <c r="I168" s="2" t="s">
        <v>497</v>
      </c>
    </row>
    <row r="169" spans="1:9" ht="15" customHeight="1" x14ac:dyDescent="0.25">
      <c r="A169" s="3" t="s">
        <v>87</v>
      </c>
      <c r="B169" s="3" t="s">
        <v>232</v>
      </c>
      <c r="C169" s="3">
        <v>2023</v>
      </c>
      <c r="D169" s="7">
        <v>1150.982546884472</v>
      </c>
      <c r="E169" s="2" t="s">
        <v>430</v>
      </c>
      <c r="F169" s="4" t="s">
        <v>88</v>
      </c>
      <c r="G169" s="4" t="s">
        <v>89</v>
      </c>
      <c r="H169" s="4" t="s">
        <v>501</v>
      </c>
      <c r="I169" s="2" t="s">
        <v>497</v>
      </c>
    </row>
    <row r="170" spans="1:9" ht="15" customHeight="1" x14ac:dyDescent="0.25">
      <c r="A170" s="3" t="s">
        <v>87</v>
      </c>
      <c r="B170" s="3" t="s">
        <v>232</v>
      </c>
      <c r="C170" s="3">
        <v>2024</v>
      </c>
      <c r="D170" s="7">
        <v>975.21534653120534</v>
      </c>
      <c r="E170" s="2" t="s">
        <v>430</v>
      </c>
      <c r="F170" s="4" t="s">
        <v>88</v>
      </c>
      <c r="G170" s="4" t="s">
        <v>89</v>
      </c>
      <c r="H170" s="4" t="s">
        <v>502</v>
      </c>
      <c r="I170" s="2" t="s">
        <v>497</v>
      </c>
    </row>
    <row r="171" spans="1:9" ht="15" customHeight="1" x14ac:dyDescent="0.25">
      <c r="A171" s="3" t="s">
        <v>87</v>
      </c>
      <c r="B171" s="3" t="s">
        <v>232</v>
      </c>
      <c r="C171" s="3">
        <v>2025</v>
      </c>
      <c r="D171" s="7">
        <v>767.9730339747058</v>
      </c>
      <c r="E171" s="2" t="s">
        <v>430</v>
      </c>
      <c r="F171" s="4" t="s">
        <v>88</v>
      </c>
      <c r="G171" s="4" t="s">
        <v>89</v>
      </c>
      <c r="H171" s="4" t="s">
        <v>503</v>
      </c>
      <c r="I171" s="2" t="s">
        <v>497</v>
      </c>
    </row>
    <row r="172" spans="1:9" ht="15" customHeight="1" x14ac:dyDescent="0.25">
      <c r="A172" s="3" t="s">
        <v>87</v>
      </c>
      <c r="B172" s="3" t="s">
        <v>241</v>
      </c>
      <c r="C172" s="3">
        <v>2018</v>
      </c>
      <c r="D172" s="7">
        <v>0.23565531927995431</v>
      </c>
      <c r="E172" s="2" t="s">
        <v>430</v>
      </c>
      <c r="F172" s="4" t="s">
        <v>88</v>
      </c>
      <c r="G172" s="4" t="s">
        <v>89</v>
      </c>
      <c r="H172" s="4" t="s">
        <v>504</v>
      </c>
      <c r="I172" s="2" t="s">
        <v>497</v>
      </c>
    </row>
    <row r="173" spans="1:9" ht="15" customHeight="1" x14ac:dyDescent="0.25">
      <c r="A173" s="3" t="s">
        <v>87</v>
      </c>
      <c r="B173" s="3" t="s">
        <v>241</v>
      </c>
      <c r="C173" s="3">
        <v>2019</v>
      </c>
      <c r="D173" s="7">
        <v>0.24376313146067866</v>
      </c>
      <c r="E173" s="2" t="s">
        <v>430</v>
      </c>
      <c r="F173" s="4" t="s">
        <v>88</v>
      </c>
      <c r="G173" s="4" t="s">
        <v>89</v>
      </c>
      <c r="H173" s="4" t="s">
        <v>505</v>
      </c>
      <c r="I173" s="2" t="s">
        <v>497</v>
      </c>
    </row>
    <row r="174" spans="1:9" ht="15" customHeight="1" x14ac:dyDescent="0.25">
      <c r="A174" s="3" t="s">
        <v>87</v>
      </c>
      <c r="B174" s="3" t="s">
        <v>241</v>
      </c>
      <c r="C174" s="3">
        <v>2020</v>
      </c>
      <c r="D174" s="7">
        <v>0.25221274244667352</v>
      </c>
      <c r="E174" s="2" t="s">
        <v>430</v>
      </c>
      <c r="F174" s="4" t="s">
        <v>88</v>
      </c>
      <c r="G174" s="4" t="s">
        <v>89</v>
      </c>
      <c r="H174" s="4" t="s">
        <v>506</v>
      </c>
      <c r="I174" s="2" t="s">
        <v>497</v>
      </c>
    </row>
    <row r="175" spans="1:9" ht="15" customHeight="1" x14ac:dyDescent="0.25">
      <c r="A175" s="3" t="s">
        <v>87</v>
      </c>
      <c r="B175" s="3" t="s">
        <v>241</v>
      </c>
      <c r="C175" s="3">
        <v>2021</v>
      </c>
      <c r="D175" s="7">
        <v>0.24008390755399256</v>
      </c>
      <c r="E175" s="2" t="s">
        <v>430</v>
      </c>
      <c r="F175" s="4" t="s">
        <v>88</v>
      </c>
      <c r="G175" s="4" t="s">
        <v>89</v>
      </c>
      <c r="H175" s="4" t="s">
        <v>507</v>
      </c>
      <c r="I175" s="2" t="s">
        <v>497</v>
      </c>
    </row>
    <row r="176" spans="1:9" ht="15" customHeight="1" x14ac:dyDescent="0.25">
      <c r="A176" s="3" t="s">
        <v>87</v>
      </c>
      <c r="B176" s="3" t="s">
        <v>241</v>
      </c>
      <c r="C176" s="3">
        <v>2022</v>
      </c>
      <c r="D176" s="7">
        <v>0.2392316466750761</v>
      </c>
      <c r="E176" s="2" t="s">
        <v>430</v>
      </c>
      <c r="F176" s="4" t="s">
        <v>88</v>
      </c>
      <c r="G176" s="4" t="s">
        <v>89</v>
      </c>
      <c r="H176" s="4" t="s">
        <v>508</v>
      </c>
      <c r="I176" s="2" t="s">
        <v>497</v>
      </c>
    </row>
    <row r="177" spans="1:9" ht="15" customHeight="1" x14ac:dyDescent="0.25">
      <c r="A177" s="3" t="s">
        <v>87</v>
      </c>
      <c r="B177" s="3" t="s">
        <v>241</v>
      </c>
      <c r="C177" s="3">
        <v>2023</v>
      </c>
      <c r="D177" s="7">
        <v>0.2345321654194201</v>
      </c>
      <c r="E177" s="2" t="s">
        <v>430</v>
      </c>
      <c r="F177" s="4" t="s">
        <v>88</v>
      </c>
      <c r="G177" s="4" t="s">
        <v>89</v>
      </c>
      <c r="H177" s="4" t="s">
        <v>509</v>
      </c>
      <c r="I177" s="2" t="s">
        <v>497</v>
      </c>
    </row>
    <row r="178" spans="1:9" ht="15" customHeight="1" x14ac:dyDescent="0.25">
      <c r="A178" s="3" t="s">
        <v>87</v>
      </c>
      <c r="B178" s="3" t="s">
        <v>241</v>
      </c>
      <c r="C178" s="3">
        <v>2024</v>
      </c>
      <c r="D178" s="7">
        <v>0.22582221329630761</v>
      </c>
      <c r="E178" s="2" t="s">
        <v>430</v>
      </c>
      <c r="F178" s="4" t="s">
        <v>88</v>
      </c>
      <c r="G178" s="4" t="s">
        <v>89</v>
      </c>
      <c r="H178" s="4" t="s">
        <v>510</v>
      </c>
      <c r="I178" s="2" t="s">
        <v>497</v>
      </c>
    </row>
    <row r="179" spans="1:9" ht="15" customHeight="1" x14ac:dyDescent="0.25">
      <c r="A179" s="3" t="s">
        <v>87</v>
      </c>
      <c r="B179" s="3" t="s">
        <v>241</v>
      </c>
      <c r="C179" s="3">
        <v>2025</v>
      </c>
      <c r="D179" s="7">
        <v>0.16554490389756937</v>
      </c>
      <c r="E179" s="2" t="s">
        <v>430</v>
      </c>
      <c r="F179" s="4" t="s">
        <v>88</v>
      </c>
      <c r="G179" s="4" t="s">
        <v>89</v>
      </c>
      <c r="H179" s="4" t="s">
        <v>511</v>
      </c>
      <c r="I179" s="2" t="s">
        <v>497</v>
      </c>
    </row>
    <row r="180" spans="1:9" ht="15" customHeight="1" x14ac:dyDescent="0.25">
      <c r="A180" s="3" t="s">
        <v>87</v>
      </c>
      <c r="B180" s="3" t="s">
        <v>247</v>
      </c>
      <c r="C180" s="3">
        <v>2018</v>
      </c>
      <c r="D180" s="7">
        <v>0.22156313118701304</v>
      </c>
      <c r="E180" s="2" t="s">
        <v>430</v>
      </c>
      <c r="F180" s="4" t="s">
        <v>88</v>
      </c>
      <c r="G180" s="4" t="s">
        <v>89</v>
      </c>
      <c r="H180" s="4" t="s">
        <v>441</v>
      </c>
      <c r="I180" s="2" t="s">
        <v>497</v>
      </c>
    </row>
    <row r="181" spans="1:9" ht="15" customHeight="1" x14ac:dyDescent="0.25">
      <c r="A181" s="3" t="s">
        <v>87</v>
      </c>
      <c r="B181" s="3" t="s">
        <v>247</v>
      </c>
      <c r="C181" s="3">
        <v>2019</v>
      </c>
      <c r="D181" s="7">
        <v>0.22918609619933006</v>
      </c>
      <c r="E181" s="2" t="s">
        <v>430</v>
      </c>
      <c r="F181" s="4" t="s">
        <v>88</v>
      </c>
      <c r="G181" s="4" t="s">
        <v>89</v>
      </c>
      <c r="H181" s="4" t="s">
        <v>442</v>
      </c>
      <c r="I181" s="2" t="s">
        <v>497</v>
      </c>
    </row>
    <row r="182" spans="1:9" ht="15" customHeight="1" x14ac:dyDescent="0.25">
      <c r="A182" s="3" t="s">
        <v>87</v>
      </c>
      <c r="B182" s="3" t="s">
        <v>247</v>
      </c>
      <c r="C182" s="3">
        <v>2020</v>
      </c>
      <c r="D182" s="7">
        <v>0.23713042044836244</v>
      </c>
      <c r="E182" s="2" t="s">
        <v>430</v>
      </c>
      <c r="F182" s="4" t="s">
        <v>88</v>
      </c>
      <c r="G182" s="4" t="s">
        <v>89</v>
      </c>
      <c r="H182" s="4" t="s">
        <v>443</v>
      </c>
      <c r="I182" s="2" t="s">
        <v>497</v>
      </c>
    </row>
    <row r="183" spans="1:9" ht="15" customHeight="1" x14ac:dyDescent="0.25">
      <c r="A183" s="3" t="s">
        <v>87</v>
      </c>
      <c r="B183" s="3" t="s">
        <v>247</v>
      </c>
      <c r="C183" s="3">
        <v>2021</v>
      </c>
      <c r="D183" s="7">
        <v>0.2257268898822638</v>
      </c>
      <c r="E183" s="2" t="s">
        <v>430</v>
      </c>
      <c r="F183" s="4" t="s">
        <v>88</v>
      </c>
      <c r="G183" s="4" t="s">
        <v>89</v>
      </c>
      <c r="H183" s="4" t="s">
        <v>444</v>
      </c>
      <c r="I183" s="2" t="s">
        <v>497</v>
      </c>
    </row>
    <row r="184" spans="1:9" ht="15" customHeight="1" x14ac:dyDescent="0.25">
      <c r="A184" s="3" t="s">
        <v>87</v>
      </c>
      <c r="B184" s="3" t="s">
        <v>247</v>
      </c>
      <c r="C184" s="3">
        <v>2022</v>
      </c>
      <c r="D184" s="7">
        <v>0.22492559420390654</v>
      </c>
      <c r="E184" s="2" t="s">
        <v>430</v>
      </c>
      <c r="F184" s="4" t="s">
        <v>88</v>
      </c>
      <c r="G184" s="4" t="s">
        <v>89</v>
      </c>
      <c r="H184" s="4" t="s">
        <v>445</v>
      </c>
      <c r="I184" s="2" t="s">
        <v>497</v>
      </c>
    </row>
    <row r="185" spans="1:9" ht="15" customHeight="1" x14ac:dyDescent="0.25">
      <c r="A185" s="3" t="s">
        <v>87</v>
      </c>
      <c r="B185" s="3" t="s">
        <v>247</v>
      </c>
      <c r="C185" s="3">
        <v>2023</v>
      </c>
      <c r="D185" s="7">
        <v>0.22050714192733875</v>
      </c>
      <c r="E185" s="2" t="s">
        <v>430</v>
      </c>
      <c r="F185" s="4" t="s">
        <v>88</v>
      </c>
      <c r="G185" s="4" t="s">
        <v>89</v>
      </c>
      <c r="H185" s="4" t="s">
        <v>446</v>
      </c>
      <c r="I185" s="2" t="s">
        <v>497</v>
      </c>
    </row>
    <row r="186" spans="1:9" ht="15" customHeight="1" x14ac:dyDescent="0.25">
      <c r="A186" s="3" t="s">
        <v>87</v>
      </c>
      <c r="B186" s="3" t="s">
        <v>247</v>
      </c>
      <c r="C186" s="3">
        <v>2024</v>
      </c>
      <c r="D186" s="7">
        <v>0.21231804494118842</v>
      </c>
      <c r="E186" s="2" t="s">
        <v>430</v>
      </c>
      <c r="F186" s="4" t="s">
        <v>88</v>
      </c>
      <c r="G186" s="4" t="s">
        <v>89</v>
      </c>
      <c r="H186" s="4" t="s">
        <v>447</v>
      </c>
      <c r="I186" s="2" t="s">
        <v>497</v>
      </c>
    </row>
    <row r="187" spans="1:9" ht="15" customHeight="1" x14ac:dyDescent="0.25">
      <c r="A187" s="3" t="s">
        <v>87</v>
      </c>
      <c r="B187" s="3" t="s">
        <v>247</v>
      </c>
      <c r="C187" s="3">
        <v>2025</v>
      </c>
      <c r="D187" s="7">
        <v>0.15564531864449471</v>
      </c>
      <c r="E187" s="2" t="s">
        <v>430</v>
      </c>
      <c r="F187" s="4" t="s">
        <v>88</v>
      </c>
      <c r="G187" s="4" t="s">
        <v>89</v>
      </c>
      <c r="H187" s="4" t="s">
        <v>448</v>
      </c>
      <c r="I187" s="2" t="s">
        <v>497</v>
      </c>
    </row>
    <row r="188" spans="1:9" ht="15" customHeight="1" x14ac:dyDescent="0.25">
      <c r="A188" s="3" t="s">
        <v>87</v>
      </c>
      <c r="B188" s="3" t="s">
        <v>253</v>
      </c>
      <c r="C188" s="3">
        <v>2016</v>
      </c>
      <c r="D188" s="7">
        <v>107.93797254668246</v>
      </c>
      <c r="E188" s="2" t="s">
        <v>430</v>
      </c>
      <c r="F188" s="4" t="s">
        <v>88</v>
      </c>
      <c r="G188" s="4" t="s">
        <v>89</v>
      </c>
      <c r="H188" s="4" t="s">
        <v>449</v>
      </c>
      <c r="I188" s="2" t="s">
        <v>512</v>
      </c>
    </row>
    <row r="189" spans="1:9" ht="15" customHeight="1" x14ac:dyDescent="0.25">
      <c r="A189" s="3" t="s">
        <v>87</v>
      </c>
      <c r="B189" s="3" t="s">
        <v>253</v>
      </c>
      <c r="C189" s="3">
        <v>2017</v>
      </c>
      <c r="D189" s="7">
        <v>135.18125805475879</v>
      </c>
      <c r="E189" s="2" t="s">
        <v>430</v>
      </c>
      <c r="F189" s="4" t="s">
        <v>88</v>
      </c>
      <c r="G189" s="4" t="s">
        <v>89</v>
      </c>
      <c r="H189" s="4" t="s">
        <v>450</v>
      </c>
      <c r="I189" s="2" t="s">
        <v>512</v>
      </c>
    </row>
    <row r="190" spans="1:9" ht="15" customHeight="1" x14ac:dyDescent="0.25">
      <c r="A190" s="3" t="s">
        <v>87</v>
      </c>
      <c r="B190" s="3" t="s">
        <v>253</v>
      </c>
      <c r="C190" s="3">
        <v>2018</v>
      </c>
      <c r="D190" s="7">
        <v>110.20523379094266</v>
      </c>
      <c r="E190" s="2" t="s">
        <v>430</v>
      </c>
      <c r="F190" s="4" t="s">
        <v>88</v>
      </c>
      <c r="G190" s="4" t="s">
        <v>89</v>
      </c>
      <c r="H190" s="4" t="s">
        <v>513</v>
      </c>
      <c r="I190" s="2" t="s">
        <v>512</v>
      </c>
    </row>
    <row r="191" spans="1:9" ht="15" customHeight="1" x14ac:dyDescent="0.25">
      <c r="A191" s="3" t="s">
        <v>87</v>
      </c>
      <c r="B191" s="3" t="s">
        <v>253</v>
      </c>
      <c r="C191" s="3">
        <v>2019</v>
      </c>
      <c r="D191" s="7">
        <v>150.02021101856926</v>
      </c>
      <c r="E191" s="2" t="s">
        <v>430</v>
      </c>
      <c r="F191" s="4" t="s">
        <v>88</v>
      </c>
      <c r="G191" s="4" t="s">
        <v>89</v>
      </c>
      <c r="H191" s="4" t="s">
        <v>514</v>
      </c>
      <c r="I191" s="2" t="s">
        <v>512</v>
      </c>
    </row>
    <row r="192" spans="1:9" ht="15" customHeight="1" x14ac:dyDescent="0.25">
      <c r="A192" s="3" t="s">
        <v>87</v>
      </c>
      <c r="B192" s="3" t="s">
        <v>253</v>
      </c>
      <c r="C192" s="3">
        <v>2020</v>
      </c>
      <c r="D192" s="7">
        <v>134.09215326625181</v>
      </c>
      <c r="E192" s="2" t="s">
        <v>430</v>
      </c>
      <c r="F192" s="4" t="s">
        <v>88</v>
      </c>
      <c r="G192" s="4" t="s">
        <v>89</v>
      </c>
      <c r="H192" s="4" t="s">
        <v>515</v>
      </c>
      <c r="I192" s="2" t="s">
        <v>512</v>
      </c>
    </row>
    <row r="193" spans="1:9" ht="15" customHeight="1" x14ac:dyDescent="0.25">
      <c r="A193" s="3" t="s">
        <v>87</v>
      </c>
      <c r="B193" s="3" t="s">
        <v>253</v>
      </c>
      <c r="C193" s="3">
        <v>2021</v>
      </c>
      <c r="D193" s="7">
        <v>126.57948015435585</v>
      </c>
      <c r="E193" s="2" t="s">
        <v>430</v>
      </c>
      <c r="F193" s="4" t="s">
        <v>88</v>
      </c>
      <c r="G193" s="4" t="s">
        <v>89</v>
      </c>
      <c r="H193" s="4" t="s">
        <v>516</v>
      </c>
      <c r="I193" s="2" t="s">
        <v>512</v>
      </c>
    </row>
    <row r="194" spans="1:9" ht="15" customHeight="1" x14ac:dyDescent="0.25">
      <c r="A194" s="3" t="s">
        <v>87</v>
      </c>
      <c r="B194" s="3" t="s">
        <v>253</v>
      </c>
      <c r="C194" s="3">
        <v>2022</v>
      </c>
      <c r="D194" s="7">
        <v>77.248966977154453</v>
      </c>
      <c r="E194" s="2" t="s">
        <v>430</v>
      </c>
      <c r="F194" s="4" t="s">
        <v>88</v>
      </c>
      <c r="G194" s="4" t="s">
        <v>89</v>
      </c>
      <c r="H194" s="4" t="s">
        <v>517</v>
      </c>
      <c r="I194" s="2" t="s">
        <v>512</v>
      </c>
    </row>
    <row r="195" spans="1:9" ht="15" customHeight="1" x14ac:dyDescent="0.25">
      <c r="A195" s="3" t="s">
        <v>87</v>
      </c>
      <c r="B195" s="3" t="s">
        <v>253</v>
      </c>
      <c r="C195" s="3">
        <v>2023</v>
      </c>
      <c r="D195" s="7">
        <v>137.06124608474536</v>
      </c>
      <c r="E195" s="2" t="s">
        <v>430</v>
      </c>
      <c r="F195" s="4" t="s">
        <v>88</v>
      </c>
      <c r="G195" s="4" t="s">
        <v>89</v>
      </c>
      <c r="H195" s="4" t="s">
        <v>518</v>
      </c>
      <c r="I195" s="2" t="s">
        <v>512</v>
      </c>
    </row>
    <row r="196" spans="1:9" ht="15" customHeight="1" x14ac:dyDescent="0.25">
      <c r="A196" s="3" t="s">
        <v>87</v>
      </c>
      <c r="B196" s="3" t="s">
        <v>253</v>
      </c>
      <c r="C196" s="3">
        <v>2024</v>
      </c>
      <c r="D196" s="7">
        <v>151.33049327935572</v>
      </c>
      <c r="E196" s="2" t="s">
        <v>430</v>
      </c>
      <c r="F196" s="4" t="s">
        <v>88</v>
      </c>
      <c r="G196" s="4" t="s">
        <v>89</v>
      </c>
      <c r="H196" s="4" t="s">
        <v>519</v>
      </c>
      <c r="I196" s="2" t="s">
        <v>512</v>
      </c>
    </row>
    <row r="197" spans="1:9" ht="15" customHeight="1" x14ac:dyDescent="0.25">
      <c r="A197" s="3" t="s">
        <v>87</v>
      </c>
      <c r="B197" s="3" t="s">
        <v>253</v>
      </c>
      <c r="C197" s="3">
        <v>2025</v>
      </c>
      <c r="D197" s="7">
        <v>120.62109003094692</v>
      </c>
      <c r="E197" s="2" t="s">
        <v>430</v>
      </c>
      <c r="F197" s="4" t="s">
        <v>88</v>
      </c>
      <c r="G197" s="4" t="s">
        <v>89</v>
      </c>
      <c r="H197" s="4" t="s">
        <v>520</v>
      </c>
      <c r="I197" s="2" t="s">
        <v>512</v>
      </c>
    </row>
    <row r="198" spans="1:9" ht="15" customHeight="1" x14ac:dyDescent="0.25">
      <c r="A198" s="3" t="s">
        <v>87</v>
      </c>
      <c r="B198" s="3" t="s">
        <v>261</v>
      </c>
      <c r="C198" s="3">
        <v>2016</v>
      </c>
      <c r="D198" s="7">
        <v>2.5065524696230419E-2</v>
      </c>
      <c r="E198" s="2" t="s">
        <v>430</v>
      </c>
      <c r="F198" s="4" t="s">
        <v>88</v>
      </c>
      <c r="G198" s="4" t="s">
        <v>89</v>
      </c>
      <c r="H198" s="4" t="s">
        <v>521</v>
      </c>
      <c r="I198" s="2" t="s">
        <v>512</v>
      </c>
    </row>
    <row r="199" spans="1:9" ht="15" customHeight="1" x14ac:dyDescent="0.25">
      <c r="A199" s="3" t="s">
        <v>87</v>
      </c>
      <c r="B199" s="3" t="s">
        <v>261</v>
      </c>
      <c r="C199" s="3">
        <v>2017</v>
      </c>
      <c r="D199" s="7">
        <v>2.5830693359741353E-2</v>
      </c>
      <c r="E199" s="2" t="s">
        <v>430</v>
      </c>
      <c r="F199" s="4" t="s">
        <v>88</v>
      </c>
      <c r="G199" s="4" t="s">
        <v>89</v>
      </c>
      <c r="H199" s="4" t="s">
        <v>522</v>
      </c>
      <c r="I199" s="2" t="s">
        <v>512</v>
      </c>
    </row>
    <row r="200" spans="1:9" ht="15" customHeight="1" x14ac:dyDescent="0.25">
      <c r="A200" s="3" t="s">
        <v>87</v>
      </c>
      <c r="B200" s="3" t="s">
        <v>261</v>
      </c>
      <c r="C200" s="3">
        <v>2018</v>
      </c>
      <c r="D200" s="7">
        <v>2.7230881519319888E-2</v>
      </c>
      <c r="E200" s="2" t="s">
        <v>430</v>
      </c>
      <c r="F200" s="4" t="s">
        <v>88</v>
      </c>
      <c r="G200" s="4" t="s">
        <v>89</v>
      </c>
      <c r="H200" s="4" t="s">
        <v>523</v>
      </c>
      <c r="I200" s="2" t="s">
        <v>512</v>
      </c>
    </row>
    <row r="201" spans="1:9" ht="15" customHeight="1" x14ac:dyDescent="0.25">
      <c r="A201" s="3" t="s">
        <v>87</v>
      </c>
      <c r="B201" s="3" t="s">
        <v>261</v>
      </c>
      <c r="C201" s="3">
        <v>2019</v>
      </c>
      <c r="D201" s="7">
        <v>3.1224546476866618E-2</v>
      </c>
      <c r="E201" s="2" t="s">
        <v>430</v>
      </c>
      <c r="F201" s="4" t="s">
        <v>88</v>
      </c>
      <c r="G201" s="4" t="s">
        <v>89</v>
      </c>
      <c r="H201" s="4" t="s">
        <v>524</v>
      </c>
      <c r="I201" s="2" t="s">
        <v>512</v>
      </c>
    </row>
    <row r="202" spans="1:9" ht="15" customHeight="1" x14ac:dyDescent="0.25">
      <c r="A202" s="3" t="s">
        <v>87</v>
      </c>
      <c r="B202" s="3" t="s">
        <v>261</v>
      </c>
      <c r="C202" s="3">
        <v>2020</v>
      </c>
      <c r="D202" s="7">
        <v>2.8863496439638651E-2</v>
      </c>
      <c r="E202" s="2" t="s">
        <v>430</v>
      </c>
      <c r="F202" s="4" t="s">
        <v>88</v>
      </c>
      <c r="G202" s="4" t="s">
        <v>89</v>
      </c>
      <c r="H202" s="4" t="s">
        <v>525</v>
      </c>
      <c r="I202" s="2" t="s">
        <v>512</v>
      </c>
    </row>
    <row r="203" spans="1:9" ht="15" customHeight="1" x14ac:dyDescent="0.25">
      <c r="A203" s="3" t="s">
        <v>87</v>
      </c>
      <c r="B203" s="3" t="s">
        <v>261</v>
      </c>
      <c r="C203" s="3">
        <v>2021</v>
      </c>
      <c r="D203" s="7">
        <v>2.8118743967463684E-2</v>
      </c>
      <c r="E203" s="2" t="s">
        <v>430</v>
      </c>
      <c r="F203" s="4" t="s">
        <v>88</v>
      </c>
      <c r="G203" s="4" t="s">
        <v>89</v>
      </c>
      <c r="H203" s="4" t="s">
        <v>526</v>
      </c>
      <c r="I203" s="2" t="s">
        <v>512</v>
      </c>
    </row>
    <row r="204" spans="1:9" ht="15" customHeight="1" x14ac:dyDescent="0.25">
      <c r="A204" s="3" t="s">
        <v>87</v>
      </c>
      <c r="B204" s="3" t="s">
        <v>261</v>
      </c>
      <c r="C204" s="3">
        <v>2022</v>
      </c>
      <c r="D204" s="7">
        <v>1.7391185875650333E-2</v>
      </c>
      <c r="E204" s="2" t="s">
        <v>430</v>
      </c>
      <c r="F204" s="4" t="s">
        <v>88</v>
      </c>
      <c r="G204" s="4" t="s">
        <v>89</v>
      </c>
      <c r="H204" s="4" t="s">
        <v>527</v>
      </c>
      <c r="I204" s="2" t="s">
        <v>512</v>
      </c>
    </row>
    <row r="205" spans="1:9" ht="15" customHeight="1" x14ac:dyDescent="0.25">
      <c r="A205" s="3" t="s">
        <v>87</v>
      </c>
      <c r="B205" s="3" t="s">
        <v>261</v>
      </c>
      <c r="C205" s="3">
        <v>2023</v>
      </c>
      <c r="D205" s="7">
        <v>2.7928547592968738E-2</v>
      </c>
      <c r="E205" s="2" t="s">
        <v>430</v>
      </c>
      <c r="F205" s="4" t="s">
        <v>88</v>
      </c>
      <c r="G205" s="4" t="s">
        <v>89</v>
      </c>
      <c r="H205" s="4" t="s">
        <v>528</v>
      </c>
      <c r="I205" s="2" t="s">
        <v>512</v>
      </c>
    </row>
    <row r="206" spans="1:9" ht="15" customHeight="1" x14ac:dyDescent="0.25">
      <c r="A206" s="3" t="s">
        <v>87</v>
      </c>
      <c r="B206" s="3" t="s">
        <v>261</v>
      </c>
      <c r="C206" s="3">
        <v>2024</v>
      </c>
      <c r="D206" s="7">
        <v>3.50422981479123E-2</v>
      </c>
      <c r="E206" s="2" t="s">
        <v>430</v>
      </c>
      <c r="F206" s="4" t="s">
        <v>88</v>
      </c>
      <c r="G206" s="4" t="s">
        <v>89</v>
      </c>
      <c r="H206" s="4" t="s">
        <v>529</v>
      </c>
      <c r="I206" s="2" t="s">
        <v>512</v>
      </c>
    </row>
    <row r="207" spans="1:9" ht="15" customHeight="1" x14ac:dyDescent="0.25">
      <c r="A207" s="3" t="s">
        <v>87</v>
      </c>
      <c r="B207" s="3" t="s">
        <v>261</v>
      </c>
      <c r="C207" s="3">
        <v>2025</v>
      </c>
      <c r="D207" s="7">
        <v>2.6001182168918252E-2</v>
      </c>
      <c r="E207" s="2" t="s">
        <v>430</v>
      </c>
      <c r="F207" s="4" t="s">
        <v>88</v>
      </c>
      <c r="G207" s="4" t="s">
        <v>89</v>
      </c>
      <c r="H207" s="4" t="s">
        <v>530</v>
      </c>
      <c r="I207" s="2" t="s">
        <v>512</v>
      </c>
    </row>
    <row r="208" spans="1:9" ht="15" customHeight="1" x14ac:dyDescent="0.25">
      <c r="A208" s="3" t="s">
        <v>87</v>
      </c>
      <c r="B208" s="3" t="s">
        <v>267</v>
      </c>
      <c r="C208" s="3">
        <v>2016</v>
      </c>
      <c r="D208" s="7">
        <v>2.3566606319395837E-2</v>
      </c>
      <c r="E208" s="2" t="s">
        <v>430</v>
      </c>
      <c r="F208" s="4" t="s">
        <v>88</v>
      </c>
      <c r="G208" s="4" t="s">
        <v>89</v>
      </c>
      <c r="H208" s="4" t="s">
        <v>531</v>
      </c>
      <c r="I208" s="2" t="s">
        <v>512</v>
      </c>
    </row>
    <row r="209" spans="1:9" ht="15" customHeight="1" x14ac:dyDescent="0.25">
      <c r="A209" s="3" t="s">
        <v>87</v>
      </c>
      <c r="B209" s="3" t="s">
        <v>267</v>
      </c>
      <c r="C209" s="3">
        <v>2017</v>
      </c>
      <c r="D209" s="7">
        <v>2.4286017896828816E-2</v>
      </c>
      <c r="E209" s="2" t="s">
        <v>430</v>
      </c>
      <c r="F209" s="4" t="s">
        <v>88</v>
      </c>
      <c r="G209" s="4" t="s">
        <v>89</v>
      </c>
      <c r="H209" s="4" t="s">
        <v>532</v>
      </c>
      <c r="I209" s="2" t="s">
        <v>512</v>
      </c>
    </row>
    <row r="210" spans="1:9" ht="15" customHeight="1" x14ac:dyDescent="0.25">
      <c r="A210" s="3" t="s">
        <v>87</v>
      </c>
      <c r="B210" s="3" t="s">
        <v>267</v>
      </c>
      <c r="C210" s="3">
        <v>2018</v>
      </c>
      <c r="D210" s="7">
        <v>2.5602474804464558E-2</v>
      </c>
      <c r="E210" s="2" t="s">
        <v>430</v>
      </c>
      <c r="F210" s="4" t="s">
        <v>88</v>
      </c>
      <c r="G210" s="4" t="s">
        <v>89</v>
      </c>
      <c r="H210" s="4" t="s">
        <v>533</v>
      </c>
      <c r="I210" s="2" t="s">
        <v>512</v>
      </c>
    </row>
    <row r="211" spans="1:9" ht="15" customHeight="1" x14ac:dyDescent="0.25">
      <c r="A211" s="3" t="s">
        <v>87</v>
      </c>
      <c r="B211" s="3" t="s">
        <v>267</v>
      </c>
      <c r="C211" s="3">
        <v>2019</v>
      </c>
      <c r="D211" s="7">
        <v>2.9357318597549992E-2</v>
      </c>
      <c r="E211" s="2" t="s">
        <v>430</v>
      </c>
      <c r="F211" s="4" t="s">
        <v>88</v>
      </c>
      <c r="G211" s="4" t="s">
        <v>89</v>
      </c>
      <c r="H211" s="4" t="s">
        <v>534</v>
      </c>
      <c r="I211" s="2" t="s">
        <v>512</v>
      </c>
    </row>
    <row r="212" spans="1:9" ht="15" customHeight="1" x14ac:dyDescent="0.25">
      <c r="A212" s="3" t="s">
        <v>87</v>
      </c>
      <c r="B212" s="3" t="s">
        <v>267</v>
      </c>
      <c r="C212" s="3">
        <v>2020</v>
      </c>
      <c r="D212" s="7">
        <v>2.7137459352548257E-2</v>
      </c>
      <c r="E212" s="2" t="s">
        <v>430</v>
      </c>
      <c r="F212" s="4" t="s">
        <v>88</v>
      </c>
      <c r="G212" s="4" t="s">
        <v>89</v>
      </c>
      <c r="H212" s="4" t="s">
        <v>535</v>
      </c>
      <c r="I212" s="2" t="s">
        <v>512</v>
      </c>
    </row>
    <row r="213" spans="1:9" ht="15" customHeight="1" x14ac:dyDescent="0.25">
      <c r="A213" s="3" t="s">
        <v>87</v>
      </c>
      <c r="B213" s="3" t="s">
        <v>267</v>
      </c>
      <c r="C213" s="3">
        <v>2021</v>
      </c>
      <c r="D213" s="7">
        <v>2.6437243078209351E-2</v>
      </c>
      <c r="E213" s="2" t="s">
        <v>430</v>
      </c>
      <c r="F213" s="4" t="s">
        <v>88</v>
      </c>
      <c r="G213" s="4" t="s">
        <v>89</v>
      </c>
      <c r="H213" s="4" t="s">
        <v>536</v>
      </c>
      <c r="I213" s="2" t="s">
        <v>512</v>
      </c>
    </row>
    <row r="214" spans="1:9" ht="15" customHeight="1" x14ac:dyDescent="0.25">
      <c r="A214" s="3" t="s">
        <v>87</v>
      </c>
      <c r="B214" s="3" t="s">
        <v>267</v>
      </c>
      <c r="C214" s="3">
        <v>2022</v>
      </c>
      <c r="D214" s="7">
        <v>1.6351192960286445E-2</v>
      </c>
      <c r="E214" s="2" t="s">
        <v>430</v>
      </c>
      <c r="F214" s="4" t="s">
        <v>88</v>
      </c>
      <c r="G214" s="4" t="s">
        <v>89</v>
      </c>
      <c r="H214" s="4" t="s">
        <v>537</v>
      </c>
      <c r="I214" s="2" t="s">
        <v>512</v>
      </c>
    </row>
    <row r="215" spans="1:9" ht="15" customHeight="1" x14ac:dyDescent="0.25">
      <c r="A215" s="3" t="s">
        <v>87</v>
      </c>
      <c r="B215" s="3" t="s">
        <v>267</v>
      </c>
      <c r="C215" s="3">
        <v>2023</v>
      </c>
      <c r="D215" s="7">
        <v>2.6258420446909205E-2</v>
      </c>
      <c r="E215" s="2" t="s">
        <v>430</v>
      </c>
      <c r="F215" s="4" t="s">
        <v>88</v>
      </c>
      <c r="G215" s="4" t="s">
        <v>89</v>
      </c>
      <c r="H215" s="4" t="s">
        <v>538</v>
      </c>
      <c r="I215" s="2" t="s">
        <v>512</v>
      </c>
    </row>
    <row r="216" spans="1:9" ht="15" customHeight="1" x14ac:dyDescent="0.25">
      <c r="A216" s="3" t="s">
        <v>87</v>
      </c>
      <c r="B216" s="3" t="s">
        <v>267</v>
      </c>
      <c r="C216" s="3">
        <v>2024</v>
      </c>
      <c r="D216" s="7">
        <v>3.2946768718667148E-2</v>
      </c>
      <c r="E216" s="2" t="s">
        <v>430</v>
      </c>
      <c r="F216" s="4" t="s">
        <v>88</v>
      </c>
      <c r="G216" s="4" t="s">
        <v>89</v>
      </c>
      <c r="H216" s="4" t="s">
        <v>539</v>
      </c>
      <c r="I216" s="2" t="s">
        <v>512</v>
      </c>
    </row>
    <row r="217" spans="1:9" ht="15" customHeight="1" x14ac:dyDescent="0.25">
      <c r="A217" s="3" t="s">
        <v>87</v>
      </c>
      <c r="B217" s="3" t="s">
        <v>267</v>
      </c>
      <c r="C217" s="3">
        <v>2025</v>
      </c>
      <c r="D217" s="7">
        <v>2.4446311475216937E-2</v>
      </c>
      <c r="E217" s="2" t="s">
        <v>430</v>
      </c>
      <c r="F217" s="4" t="s">
        <v>88</v>
      </c>
      <c r="G217" s="4" t="s">
        <v>89</v>
      </c>
      <c r="H217" s="4" t="s">
        <v>540</v>
      </c>
      <c r="I217" s="2" t="s">
        <v>512</v>
      </c>
    </row>
    <row r="218" spans="1:9" ht="15" customHeight="1" x14ac:dyDescent="0.25">
      <c r="A218" s="3" t="s">
        <v>87</v>
      </c>
      <c r="B218" s="3" t="s">
        <v>272</v>
      </c>
      <c r="C218" s="3">
        <v>2025</v>
      </c>
      <c r="D218" s="7">
        <v>9.2583037616575589E-2</v>
      </c>
      <c r="E218" s="2" t="s">
        <v>430</v>
      </c>
      <c r="F218" s="4" t="s">
        <v>88</v>
      </c>
      <c r="G218" s="4" t="s">
        <v>89</v>
      </c>
      <c r="H218" s="4" t="s">
        <v>541</v>
      </c>
      <c r="I218" s="2" t="s">
        <v>542</v>
      </c>
    </row>
    <row r="219" spans="1:9" ht="15" customHeight="1" x14ac:dyDescent="0.25">
      <c r="A219" s="3" t="s">
        <v>87</v>
      </c>
      <c r="B219" s="3" t="s">
        <v>281</v>
      </c>
      <c r="C219" s="3">
        <v>2016</v>
      </c>
      <c r="D219" s="7">
        <v>0.88133140376266283</v>
      </c>
      <c r="E219" s="2" t="s">
        <v>430</v>
      </c>
      <c r="F219" s="4" t="s">
        <v>88</v>
      </c>
      <c r="G219" s="4" t="s">
        <v>89</v>
      </c>
      <c r="H219" s="4" t="s">
        <v>543</v>
      </c>
      <c r="I219" s="2" t="s">
        <v>512</v>
      </c>
    </row>
    <row r="220" spans="1:9" ht="15" customHeight="1" x14ac:dyDescent="0.25">
      <c r="A220" s="3" t="s">
        <v>87</v>
      </c>
      <c r="B220" s="3" t="s">
        <v>281</v>
      </c>
      <c r="C220" s="3">
        <v>2017</v>
      </c>
      <c r="D220" s="7">
        <v>0.73796791443850263</v>
      </c>
      <c r="E220" s="2" t="s">
        <v>430</v>
      </c>
      <c r="F220" s="4" t="s">
        <v>88</v>
      </c>
      <c r="G220" s="4" t="s">
        <v>89</v>
      </c>
      <c r="H220" s="4" t="s">
        <v>544</v>
      </c>
      <c r="I220" s="2" t="s">
        <v>512</v>
      </c>
    </row>
    <row r="221" spans="1:9" ht="15" customHeight="1" x14ac:dyDescent="0.25">
      <c r="A221" s="3" t="s">
        <v>87</v>
      </c>
      <c r="B221" s="3" t="s">
        <v>281</v>
      </c>
      <c r="C221" s="3">
        <v>2018</v>
      </c>
      <c r="D221" s="7">
        <v>0.8571428571428571</v>
      </c>
      <c r="E221" s="2" t="s">
        <v>430</v>
      </c>
      <c r="F221" s="4" t="s">
        <v>88</v>
      </c>
      <c r="G221" s="4" t="s">
        <v>89</v>
      </c>
      <c r="H221" s="4" t="s">
        <v>545</v>
      </c>
      <c r="I221" s="2" t="s">
        <v>512</v>
      </c>
    </row>
    <row r="222" spans="1:9" ht="15" customHeight="1" x14ac:dyDescent="0.25">
      <c r="A222" s="3" t="s">
        <v>87</v>
      </c>
      <c r="B222" s="3" t="s">
        <v>281</v>
      </c>
      <c r="C222" s="3">
        <v>2019</v>
      </c>
      <c r="D222" s="7">
        <v>0.84397163120567376</v>
      </c>
      <c r="E222" s="2" t="s">
        <v>430</v>
      </c>
      <c r="F222" s="4" t="s">
        <v>88</v>
      </c>
      <c r="G222" s="4" t="s">
        <v>89</v>
      </c>
      <c r="H222" s="4" t="s">
        <v>546</v>
      </c>
      <c r="I222" s="2" t="s">
        <v>512</v>
      </c>
    </row>
    <row r="223" spans="1:9" ht="15" customHeight="1" x14ac:dyDescent="0.25">
      <c r="A223" s="3" t="s">
        <v>87</v>
      </c>
      <c r="B223" s="3" t="s">
        <v>281</v>
      </c>
      <c r="C223" s="3">
        <v>2020</v>
      </c>
      <c r="D223" s="7">
        <v>0.84921763869132294</v>
      </c>
      <c r="E223" s="2" t="s">
        <v>430</v>
      </c>
      <c r="F223" s="4" t="s">
        <v>88</v>
      </c>
      <c r="G223" s="4" t="s">
        <v>89</v>
      </c>
      <c r="H223" s="4" t="s">
        <v>547</v>
      </c>
      <c r="I223" s="2" t="s">
        <v>512</v>
      </c>
    </row>
    <row r="224" spans="1:9" ht="15" customHeight="1" x14ac:dyDescent="0.25">
      <c r="A224" s="3" t="s">
        <v>87</v>
      </c>
      <c r="B224" s="3" t="s">
        <v>281</v>
      </c>
      <c r="C224" s="3">
        <v>2021</v>
      </c>
      <c r="D224" s="7">
        <v>0.70940170940170943</v>
      </c>
      <c r="E224" s="2" t="s">
        <v>430</v>
      </c>
      <c r="F224" s="4" t="s">
        <v>88</v>
      </c>
      <c r="G224" s="4" t="s">
        <v>89</v>
      </c>
      <c r="H224" s="4" t="s">
        <v>548</v>
      </c>
      <c r="I224" s="2" t="s">
        <v>512</v>
      </c>
    </row>
    <row r="225" spans="1:9" ht="15" customHeight="1" x14ac:dyDescent="0.25">
      <c r="A225" s="3" t="s">
        <v>87</v>
      </c>
      <c r="B225" s="3" t="s">
        <v>281</v>
      </c>
      <c r="C225" s="3">
        <v>2022</v>
      </c>
      <c r="D225" s="7">
        <v>0.54761904761904767</v>
      </c>
      <c r="E225" s="2" t="s">
        <v>430</v>
      </c>
      <c r="F225" s="4" t="s">
        <v>88</v>
      </c>
      <c r="G225" s="4" t="s">
        <v>89</v>
      </c>
      <c r="H225" s="4" t="s">
        <v>549</v>
      </c>
      <c r="I225" s="2" t="s">
        <v>512</v>
      </c>
    </row>
    <row r="226" spans="1:9" ht="15" customHeight="1" x14ac:dyDescent="0.25">
      <c r="A226" s="3" t="s">
        <v>87</v>
      </c>
      <c r="B226" s="3" t="s">
        <v>281</v>
      </c>
      <c r="C226" s="3">
        <v>2023</v>
      </c>
      <c r="D226" s="7">
        <v>0.7567567567567568</v>
      </c>
      <c r="E226" s="2" t="s">
        <v>430</v>
      </c>
      <c r="F226" s="4" t="s">
        <v>88</v>
      </c>
      <c r="G226" s="4" t="s">
        <v>89</v>
      </c>
      <c r="H226" s="4" t="s">
        <v>550</v>
      </c>
      <c r="I226" s="2" t="s">
        <v>512</v>
      </c>
    </row>
    <row r="227" spans="1:9" ht="15" customHeight="1" x14ac:dyDescent="0.25">
      <c r="A227" s="3" t="s">
        <v>87</v>
      </c>
      <c r="B227" s="3" t="s">
        <v>281</v>
      </c>
      <c r="C227" s="3">
        <v>2024</v>
      </c>
      <c r="D227" s="7">
        <v>0.94756554307116103</v>
      </c>
      <c r="E227" s="2" t="s">
        <v>430</v>
      </c>
      <c r="F227" s="4" t="s">
        <v>88</v>
      </c>
      <c r="G227" s="4" t="s">
        <v>89</v>
      </c>
      <c r="H227" s="4" t="s">
        <v>551</v>
      </c>
      <c r="I227" s="2" t="s">
        <v>512</v>
      </c>
    </row>
    <row r="228" spans="1:9" ht="15" customHeight="1" x14ac:dyDescent="0.25">
      <c r="A228" s="3" t="s">
        <v>87</v>
      </c>
      <c r="B228" s="3" t="s">
        <v>281</v>
      </c>
      <c r="C228" s="3">
        <v>2025</v>
      </c>
      <c r="D228" s="7">
        <v>0.93021529324424646</v>
      </c>
      <c r="E228" s="2" t="s">
        <v>430</v>
      </c>
      <c r="F228" s="4" t="s">
        <v>88</v>
      </c>
      <c r="G228" s="4" t="s">
        <v>89</v>
      </c>
      <c r="H228" s="4" t="s">
        <v>552</v>
      </c>
      <c r="I228" s="2" t="s">
        <v>512</v>
      </c>
    </row>
    <row r="229" spans="1:9" ht="15" customHeight="1" x14ac:dyDescent="0.25">
      <c r="A229" s="3" t="s">
        <v>93</v>
      </c>
      <c r="B229" s="3" t="s">
        <v>287</v>
      </c>
      <c r="C229" s="3">
        <v>2016</v>
      </c>
      <c r="D229" s="7">
        <v>428.00742356054241</v>
      </c>
      <c r="E229" s="2" t="s">
        <v>491</v>
      </c>
      <c r="F229" s="4" t="s">
        <v>94</v>
      </c>
      <c r="G229" s="4" t="s">
        <v>89</v>
      </c>
      <c r="H229" s="4" t="s">
        <v>498</v>
      </c>
      <c r="I229" s="2" t="s">
        <v>260</v>
      </c>
    </row>
    <row r="230" spans="1:9" ht="15" customHeight="1" x14ac:dyDescent="0.25">
      <c r="A230" s="3" t="s">
        <v>93</v>
      </c>
      <c r="B230" s="3" t="s">
        <v>287</v>
      </c>
      <c r="C230" s="3">
        <v>2017</v>
      </c>
      <c r="D230" s="7">
        <v>482.62173243018134</v>
      </c>
      <c r="E230" s="2" t="s">
        <v>491</v>
      </c>
      <c r="F230" s="4" t="s">
        <v>94</v>
      </c>
      <c r="G230" s="4" t="s">
        <v>89</v>
      </c>
      <c r="H230" s="4" t="s">
        <v>508</v>
      </c>
      <c r="I230" s="2" t="s">
        <v>260</v>
      </c>
    </row>
    <row r="231" spans="1:9" ht="15" customHeight="1" x14ac:dyDescent="0.25">
      <c r="A231" s="3" t="s">
        <v>93</v>
      </c>
      <c r="B231" s="3" t="s">
        <v>287</v>
      </c>
      <c r="C231" s="3">
        <v>2018</v>
      </c>
      <c r="D231" s="7">
        <v>400.87365243029393</v>
      </c>
      <c r="E231" s="2" t="s">
        <v>491</v>
      </c>
      <c r="F231" s="4" t="s">
        <v>94</v>
      </c>
      <c r="G231" s="4" t="s">
        <v>89</v>
      </c>
      <c r="H231" s="4" t="s">
        <v>447</v>
      </c>
      <c r="I231" s="2" t="s">
        <v>260</v>
      </c>
    </row>
    <row r="232" spans="1:9" ht="15" customHeight="1" x14ac:dyDescent="0.25">
      <c r="A232" s="3" t="s">
        <v>93</v>
      </c>
      <c r="B232" s="3" t="s">
        <v>287</v>
      </c>
      <c r="C232" s="3">
        <v>2019</v>
      </c>
      <c r="D232" s="7">
        <v>464.89143694789624</v>
      </c>
      <c r="E232" s="2" t="s">
        <v>491</v>
      </c>
      <c r="F232" s="4" t="s">
        <v>94</v>
      </c>
      <c r="G232" s="4" t="s">
        <v>89</v>
      </c>
      <c r="H232" s="4" t="s">
        <v>519</v>
      </c>
      <c r="I232" s="2" t="s">
        <v>260</v>
      </c>
    </row>
    <row r="233" spans="1:9" ht="15" customHeight="1" x14ac:dyDescent="0.25">
      <c r="A233" s="3" t="s">
        <v>93</v>
      </c>
      <c r="B233" s="3" t="s">
        <v>287</v>
      </c>
      <c r="C233" s="3">
        <v>2020</v>
      </c>
      <c r="D233" s="7">
        <v>431.36817740029494</v>
      </c>
      <c r="E233" s="2" t="s">
        <v>491</v>
      </c>
      <c r="F233" s="4" t="s">
        <v>94</v>
      </c>
      <c r="G233" s="4" t="s">
        <v>89</v>
      </c>
      <c r="H233" s="4" t="s">
        <v>529</v>
      </c>
      <c r="I233" s="2" t="s">
        <v>260</v>
      </c>
    </row>
    <row r="234" spans="1:9" ht="15" customHeight="1" x14ac:dyDescent="0.25">
      <c r="A234" s="3" t="s">
        <v>93</v>
      </c>
      <c r="B234" s="3" t="s">
        <v>287</v>
      </c>
      <c r="C234" s="3">
        <v>2021</v>
      </c>
      <c r="D234" s="7">
        <v>481.1503887450632</v>
      </c>
      <c r="E234" s="2" t="s">
        <v>491</v>
      </c>
      <c r="F234" s="4" t="s">
        <v>94</v>
      </c>
      <c r="G234" s="4" t="s">
        <v>89</v>
      </c>
      <c r="H234" s="4" t="s">
        <v>539</v>
      </c>
      <c r="I234" s="2" t="s">
        <v>260</v>
      </c>
    </row>
    <row r="235" spans="1:9" ht="15" customHeight="1" x14ac:dyDescent="0.25">
      <c r="A235" s="3" t="s">
        <v>93</v>
      </c>
      <c r="B235" s="3" t="s">
        <v>287</v>
      </c>
      <c r="C235" s="3">
        <v>2022</v>
      </c>
      <c r="D235" s="7">
        <v>479.99876616816732</v>
      </c>
      <c r="E235" s="2" t="s">
        <v>491</v>
      </c>
      <c r="F235" s="4" t="s">
        <v>94</v>
      </c>
      <c r="G235" s="4" t="s">
        <v>89</v>
      </c>
      <c r="H235" s="4" t="s">
        <v>550</v>
      </c>
      <c r="I235" s="2" t="s">
        <v>260</v>
      </c>
    </row>
    <row r="236" spans="1:9" ht="15" customHeight="1" x14ac:dyDescent="0.25">
      <c r="A236" s="3" t="s">
        <v>93</v>
      </c>
      <c r="B236" s="3" t="s">
        <v>287</v>
      </c>
      <c r="C236" s="3">
        <v>2023</v>
      </c>
      <c r="D236" s="7">
        <v>506.22936099883856</v>
      </c>
      <c r="E236" s="2" t="s">
        <v>491</v>
      </c>
      <c r="F236" s="4" t="s">
        <v>94</v>
      </c>
      <c r="G236" s="4" t="s">
        <v>89</v>
      </c>
      <c r="H236" s="4" t="s">
        <v>553</v>
      </c>
      <c r="I236" s="2" t="s">
        <v>260</v>
      </c>
    </row>
    <row r="237" spans="1:9" ht="15" customHeight="1" x14ac:dyDescent="0.25">
      <c r="A237" s="3" t="s">
        <v>93</v>
      </c>
      <c r="B237" s="3" t="s">
        <v>287</v>
      </c>
      <c r="C237" s="3">
        <v>2024</v>
      </c>
      <c r="D237" s="7">
        <v>404.86383094350265</v>
      </c>
      <c r="E237" s="2" t="s">
        <v>491</v>
      </c>
      <c r="F237" s="4" t="s">
        <v>94</v>
      </c>
      <c r="G237" s="4" t="s">
        <v>89</v>
      </c>
      <c r="H237" s="4" t="s">
        <v>554</v>
      </c>
      <c r="I237" s="2" t="s">
        <v>260</v>
      </c>
    </row>
    <row r="238" spans="1:9" ht="15" customHeight="1" x14ac:dyDescent="0.25">
      <c r="A238" s="3" t="s">
        <v>93</v>
      </c>
      <c r="B238" s="3" t="s">
        <v>287</v>
      </c>
      <c r="C238" s="3">
        <v>2025</v>
      </c>
      <c r="D238" s="7">
        <v>468.79179076980199</v>
      </c>
      <c r="E238" s="2" t="s">
        <v>491</v>
      </c>
      <c r="F238" s="4" t="s">
        <v>94</v>
      </c>
      <c r="G238" s="4" t="s">
        <v>89</v>
      </c>
      <c r="H238" s="4" t="s">
        <v>555</v>
      </c>
      <c r="I238" s="2" t="s">
        <v>260</v>
      </c>
    </row>
    <row r="239" spans="1:9" ht="15" customHeight="1" x14ac:dyDescent="0.25">
      <c r="A239" s="3" t="s">
        <v>93</v>
      </c>
      <c r="B239" s="3" t="s">
        <v>342</v>
      </c>
      <c r="C239" s="3">
        <v>2016</v>
      </c>
      <c r="D239" s="7">
        <v>0.90774403395678427</v>
      </c>
      <c r="E239" s="2" t="s">
        <v>556</v>
      </c>
      <c r="F239" s="4" t="s">
        <v>94</v>
      </c>
      <c r="G239" s="4" t="s">
        <v>89</v>
      </c>
      <c r="H239" s="4" t="s">
        <v>507</v>
      </c>
      <c r="I239" s="2" t="s">
        <v>260</v>
      </c>
    </row>
    <row r="240" spans="1:9" ht="15" customHeight="1" x14ac:dyDescent="0.25">
      <c r="A240" s="3" t="s">
        <v>93</v>
      </c>
      <c r="B240" s="3" t="s">
        <v>342</v>
      </c>
      <c r="C240" s="3">
        <v>2017</v>
      </c>
      <c r="D240" s="7">
        <v>0.99163820023766347</v>
      </c>
      <c r="E240" s="2" t="s">
        <v>556</v>
      </c>
      <c r="F240" s="4" t="s">
        <v>94</v>
      </c>
      <c r="G240" s="4" t="s">
        <v>89</v>
      </c>
      <c r="H240" s="4" t="s">
        <v>446</v>
      </c>
      <c r="I240" s="2" t="s">
        <v>260</v>
      </c>
    </row>
    <row r="241" spans="1:9" ht="15" customHeight="1" x14ac:dyDescent="0.25">
      <c r="A241" s="3" t="s">
        <v>93</v>
      </c>
      <c r="B241" s="3" t="s">
        <v>342</v>
      </c>
      <c r="C241" s="3">
        <v>2018</v>
      </c>
      <c r="D241" s="7">
        <v>1</v>
      </c>
      <c r="E241" s="2" t="s">
        <v>556</v>
      </c>
      <c r="F241" s="4" t="s">
        <v>94</v>
      </c>
      <c r="G241" s="4" t="s">
        <v>89</v>
      </c>
      <c r="H241" s="4" t="s">
        <v>518</v>
      </c>
      <c r="I241" s="2" t="s">
        <v>260</v>
      </c>
    </row>
    <row r="242" spans="1:9" ht="15" customHeight="1" x14ac:dyDescent="0.25">
      <c r="A242" s="3" t="s">
        <v>93</v>
      </c>
      <c r="B242" s="3" t="s">
        <v>342</v>
      </c>
      <c r="C242" s="3">
        <v>2019</v>
      </c>
      <c r="D242" s="7">
        <v>1</v>
      </c>
      <c r="E242" s="2" t="s">
        <v>556</v>
      </c>
      <c r="F242" s="4" t="s">
        <v>94</v>
      </c>
      <c r="G242" s="4" t="s">
        <v>89</v>
      </c>
      <c r="H242" s="4" t="s">
        <v>528</v>
      </c>
      <c r="I242" s="2" t="s">
        <v>260</v>
      </c>
    </row>
    <row r="243" spans="1:9" ht="15" customHeight="1" x14ac:dyDescent="0.25">
      <c r="A243" s="3" t="s">
        <v>93</v>
      </c>
      <c r="B243" s="3" t="s">
        <v>342</v>
      </c>
      <c r="C243" s="3">
        <v>2020</v>
      </c>
      <c r="D243" s="7">
        <v>0.94883683706907995</v>
      </c>
      <c r="E243" s="2" t="s">
        <v>556</v>
      </c>
      <c r="F243" s="4" t="s">
        <v>94</v>
      </c>
      <c r="G243" s="4" t="s">
        <v>89</v>
      </c>
      <c r="H243" s="4" t="s">
        <v>538</v>
      </c>
      <c r="I243" s="2" t="s">
        <v>260</v>
      </c>
    </row>
    <row r="244" spans="1:9" ht="15" customHeight="1" x14ac:dyDescent="0.25">
      <c r="A244" s="3" t="s">
        <v>93</v>
      </c>
      <c r="B244" s="3" t="s">
        <v>342</v>
      </c>
      <c r="C244" s="3">
        <v>2021</v>
      </c>
      <c r="D244" s="7">
        <v>0.98958161186994997</v>
      </c>
      <c r="E244" s="2" t="s">
        <v>556</v>
      </c>
      <c r="F244" s="4" t="s">
        <v>94</v>
      </c>
      <c r="G244" s="4" t="s">
        <v>89</v>
      </c>
      <c r="H244" s="4" t="s">
        <v>549</v>
      </c>
      <c r="I244" s="2" t="s">
        <v>260</v>
      </c>
    </row>
    <row r="245" spans="1:9" ht="15" customHeight="1" x14ac:dyDescent="0.25">
      <c r="A245" s="3" t="s">
        <v>93</v>
      </c>
      <c r="B245" s="3" t="s">
        <v>342</v>
      </c>
      <c r="C245" s="3">
        <v>2022</v>
      </c>
      <c r="D245" s="7">
        <v>1</v>
      </c>
      <c r="E245" s="2" t="s">
        <v>556</v>
      </c>
      <c r="F245" s="4" t="s">
        <v>94</v>
      </c>
      <c r="G245" s="4" t="s">
        <v>89</v>
      </c>
      <c r="H245" s="4" t="s">
        <v>557</v>
      </c>
      <c r="I245" s="2" t="s">
        <v>260</v>
      </c>
    </row>
    <row r="246" spans="1:9" ht="15" customHeight="1" x14ac:dyDescent="0.25">
      <c r="A246" s="3" t="s">
        <v>93</v>
      </c>
      <c r="B246" s="3" t="s">
        <v>342</v>
      </c>
      <c r="C246" s="3">
        <v>2023</v>
      </c>
      <c r="D246" s="7">
        <v>0.99184776446104894</v>
      </c>
      <c r="E246" s="2" t="s">
        <v>556</v>
      </c>
      <c r="F246" s="4" t="s">
        <v>94</v>
      </c>
      <c r="G246" s="4" t="s">
        <v>89</v>
      </c>
      <c r="H246" s="4" t="s">
        <v>558</v>
      </c>
      <c r="I246" s="2" t="s">
        <v>260</v>
      </c>
    </row>
    <row r="247" spans="1:9" ht="15" customHeight="1" x14ac:dyDescent="0.25">
      <c r="A247" s="3" t="s">
        <v>93</v>
      </c>
      <c r="B247" s="3" t="s">
        <v>342</v>
      </c>
      <c r="C247" s="3">
        <v>2024</v>
      </c>
      <c r="D247" s="7">
        <v>0.91166330779459448</v>
      </c>
      <c r="E247" s="2" t="s">
        <v>556</v>
      </c>
      <c r="F247" s="4" t="s">
        <v>94</v>
      </c>
      <c r="G247" s="4" t="s">
        <v>89</v>
      </c>
      <c r="H247" s="4" t="s">
        <v>559</v>
      </c>
      <c r="I247" s="2" t="s">
        <v>260</v>
      </c>
    </row>
    <row r="248" spans="1:9" ht="15" customHeight="1" x14ac:dyDescent="0.25">
      <c r="A248" s="3" t="s">
        <v>93</v>
      </c>
      <c r="B248" s="3" t="s">
        <v>342</v>
      </c>
      <c r="C248" s="3">
        <v>2025</v>
      </c>
      <c r="D248" s="7">
        <v>0.94033576599932711</v>
      </c>
      <c r="E248" s="2" t="s">
        <v>556</v>
      </c>
      <c r="F248" s="4" t="s">
        <v>94</v>
      </c>
      <c r="G248" s="4" t="s">
        <v>89</v>
      </c>
      <c r="H248" s="4" t="s">
        <v>560</v>
      </c>
      <c r="I248" s="2" t="s">
        <v>260</v>
      </c>
    </row>
    <row r="249" spans="1:9" ht="15" customHeight="1" x14ac:dyDescent="0.25">
      <c r="A249" s="3" t="s">
        <v>93</v>
      </c>
      <c r="B249" s="3" t="s">
        <v>294</v>
      </c>
      <c r="C249" s="3">
        <v>2016</v>
      </c>
      <c r="D249" s="7">
        <v>0.35340834689694334</v>
      </c>
      <c r="E249" s="2" t="s">
        <v>491</v>
      </c>
      <c r="F249" s="4" t="s">
        <v>94</v>
      </c>
      <c r="G249" s="4" t="s">
        <v>89</v>
      </c>
      <c r="H249" s="4" t="s">
        <v>499</v>
      </c>
      <c r="I249" s="2" t="s">
        <v>260</v>
      </c>
    </row>
    <row r="250" spans="1:9" ht="15" customHeight="1" x14ac:dyDescent="0.25">
      <c r="A250" s="3" t="s">
        <v>93</v>
      </c>
      <c r="B250" s="3" t="s">
        <v>294</v>
      </c>
      <c r="C250" s="3">
        <v>2017</v>
      </c>
      <c r="D250" s="7">
        <v>0.33727586313918034</v>
      </c>
      <c r="E250" s="2" t="s">
        <v>491</v>
      </c>
      <c r="F250" s="4" t="s">
        <v>94</v>
      </c>
      <c r="G250" s="4" t="s">
        <v>89</v>
      </c>
      <c r="H250" s="4" t="s">
        <v>509</v>
      </c>
      <c r="I250" s="2" t="s">
        <v>260</v>
      </c>
    </row>
    <row r="251" spans="1:9" ht="15" customHeight="1" x14ac:dyDescent="0.25">
      <c r="A251" s="3" t="s">
        <v>93</v>
      </c>
      <c r="B251" s="3" t="s">
        <v>294</v>
      </c>
      <c r="C251" s="3">
        <v>2018</v>
      </c>
      <c r="D251" s="7">
        <v>0.38707723342781108</v>
      </c>
      <c r="E251" s="2" t="s">
        <v>491</v>
      </c>
      <c r="F251" s="4" t="s">
        <v>94</v>
      </c>
      <c r="G251" s="4" t="s">
        <v>89</v>
      </c>
      <c r="H251" s="4" t="s">
        <v>448</v>
      </c>
      <c r="I251" s="2" t="s">
        <v>260</v>
      </c>
    </row>
    <row r="252" spans="1:9" ht="15" customHeight="1" x14ac:dyDescent="0.25">
      <c r="A252" s="3" t="s">
        <v>93</v>
      </c>
      <c r="B252" s="3" t="s">
        <v>294</v>
      </c>
      <c r="C252" s="3">
        <v>2019</v>
      </c>
      <c r="D252" s="7">
        <v>0.3279172772371331</v>
      </c>
      <c r="E252" s="2" t="s">
        <v>491</v>
      </c>
      <c r="F252" s="4" t="s">
        <v>94</v>
      </c>
      <c r="G252" s="4" t="s">
        <v>89</v>
      </c>
      <c r="H252" s="4" t="s">
        <v>520</v>
      </c>
      <c r="I252" s="2" t="s">
        <v>260</v>
      </c>
    </row>
    <row r="253" spans="1:9" ht="15" customHeight="1" x14ac:dyDescent="0.25">
      <c r="A253" s="3" t="s">
        <v>93</v>
      </c>
      <c r="B253" s="3" t="s">
        <v>294</v>
      </c>
      <c r="C253" s="3">
        <v>2020</v>
      </c>
      <c r="D253" s="7">
        <v>0.36246288771104063</v>
      </c>
      <c r="E253" s="2" t="s">
        <v>491</v>
      </c>
      <c r="F253" s="4" t="s">
        <v>94</v>
      </c>
      <c r="G253" s="4" t="s">
        <v>89</v>
      </c>
      <c r="H253" s="4" t="s">
        <v>530</v>
      </c>
      <c r="I253" s="2" t="s">
        <v>260</v>
      </c>
    </row>
    <row r="254" spans="1:9" ht="15" customHeight="1" x14ac:dyDescent="0.25">
      <c r="A254" s="3" t="s">
        <v>93</v>
      </c>
      <c r="B254" s="3" t="s">
        <v>294</v>
      </c>
      <c r="C254" s="3">
        <v>2021</v>
      </c>
      <c r="D254" s="7">
        <v>0.3462157559170298</v>
      </c>
      <c r="E254" s="2" t="s">
        <v>491</v>
      </c>
      <c r="F254" s="4" t="s">
        <v>94</v>
      </c>
      <c r="G254" s="4" t="s">
        <v>89</v>
      </c>
      <c r="H254" s="4" t="s">
        <v>540</v>
      </c>
      <c r="I254" s="2" t="s">
        <v>260</v>
      </c>
    </row>
    <row r="255" spans="1:9" ht="15" customHeight="1" x14ac:dyDescent="0.25">
      <c r="A255" s="3" t="s">
        <v>93</v>
      </c>
      <c r="B255" s="3" t="s">
        <v>294</v>
      </c>
      <c r="C255" s="3">
        <v>2022</v>
      </c>
      <c r="D255" s="7">
        <v>0.34887856833892961</v>
      </c>
      <c r="E255" s="2" t="s">
        <v>491</v>
      </c>
      <c r="F255" s="4" t="s">
        <v>94</v>
      </c>
      <c r="G255" s="4" t="s">
        <v>89</v>
      </c>
      <c r="H255" s="4" t="s">
        <v>551</v>
      </c>
      <c r="I255" s="2" t="s">
        <v>260</v>
      </c>
    </row>
    <row r="256" spans="1:9" ht="15" customHeight="1" x14ac:dyDescent="0.25">
      <c r="A256" s="3" t="s">
        <v>93</v>
      </c>
      <c r="B256" s="3" t="s">
        <v>294</v>
      </c>
      <c r="C256" s="3">
        <v>2023</v>
      </c>
      <c r="D256" s="7">
        <v>0.31597817268449846</v>
      </c>
      <c r="E256" s="2" t="s">
        <v>491</v>
      </c>
      <c r="F256" s="4" t="s">
        <v>94</v>
      </c>
      <c r="G256" s="4" t="s">
        <v>89</v>
      </c>
      <c r="H256" s="4" t="s">
        <v>561</v>
      </c>
      <c r="I256" s="2" t="s">
        <v>260</v>
      </c>
    </row>
    <row r="257" spans="1:9" ht="15" customHeight="1" x14ac:dyDescent="0.25">
      <c r="A257" s="3" t="s">
        <v>93</v>
      </c>
      <c r="B257" s="3" t="s">
        <v>294</v>
      </c>
      <c r="C257" s="3">
        <v>2024</v>
      </c>
      <c r="D257" s="7">
        <v>0.3548355123155652</v>
      </c>
      <c r="E257" s="2" t="s">
        <v>491</v>
      </c>
      <c r="F257" s="4" t="s">
        <v>94</v>
      </c>
      <c r="G257" s="4" t="s">
        <v>89</v>
      </c>
      <c r="H257" s="4" t="s">
        <v>562</v>
      </c>
      <c r="I257" s="2" t="s">
        <v>260</v>
      </c>
    </row>
    <row r="258" spans="1:9" ht="15" customHeight="1" x14ac:dyDescent="0.25">
      <c r="A258" s="3" t="s">
        <v>93</v>
      </c>
      <c r="B258" s="3" t="s">
        <v>294</v>
      </c>
      <c r="C258" s="3">
        <v>2025</v>
      </c>
      <c r="D258" s="7">
        <v>0.33193010858712813</v>
      </c>
      <c r="E258" s="2" t="s">
        <v>491</v>
      </c>
      <c r="F258" s="4" t="s">
        <v>94</v>
      </c>
      <c r="G258" s="4" t="s">
        <v>89</v>
      </c>
      <c r="H258" s="4" t="s">
        <v>563</v>
      </c>
      <c r="I258" s="2" t="s">
        <v>260</v>
      </c>
    </row>
    <row r="259" spans="1:9" ht="15" customHeight="1" x14ac:dyDescent="0.25">
      <c r="A259" s="3" t="s">
        <v>93</v>
      </c>
      <c r="B259" s="3" t="s">
        <v>299</v>
      </c>
      <c r="C259" s="3">
        <v>2016</v>
      </c>
      <c r="D259" s="7">
        <v>4.6709292578981931E-2</v>
      </c>
      <c r="E259" s="2" t="s">
        <v>564</v>
      </c>
      <c r="F259" s="4" t="s">
        <v>94</v>
      </c>
      <c r="G259" s="4" t="s">
        <v>89</v>
      </c>
      <c r="H259" s="4" t="s">
        <v>500</v>
      </c>
      <c r="I259" s="2" t="s">
        <v>260</v>
      </c>
    </row>
    <row r="260" spans="1:9" ht="15" customHeight="1" x14ac:dyDescent="0.25">
      <c r="A260" s="3" t="s">
        <v>93</v>
      </c>
      <c r="B260" s="3" t="s">
        <v>299</v>
      </c>
      <c r="C260" s="3">
        <v>2017</v>
      </c>
      <c r="D260" s="7">
        <v>5.1771968064457385E-2</v>
      </c>
      <c r="E260" s="2" t="s">
        <v>564</v>
      </c>
      <c r="F260" s="4" t="s">
        <v>94</v>
      </c>
      <c r="G260" s="4" t="s">
        <v>89</v>
      </c>
      <c r="H260" s="4" t="s">
        <v>510</v>
      </c>
      <c r="I260" s="2" t="s">
        <v>260</v>
      </c>
    </row>
    <row r="261" spans="1:9" ht="15" customHeight="1" x14ac:dyDescent="0.25">
      <c r="A261" s="3" t="s">
        <v>93</v>
      </c>
      <c r="B261" s="3" t="s">
        <v>299</v>
      </c>
      <c r="C261" s="3">
        <v>2018</v>
      </c>
      <c r="D261" s="7">
        <v>8.8749877199918226E-2</v>
      </c>
      <c r="E261" s="2" t="s">
        <v>564</v>
      </c>
      <c r="F261" s="4" t="s">
        <v>94</v>
      </c>
      <c r="G261" s="4" t="s">
        <v>89</v>
      </c>
      <c r="H261" s="4" t="s">
        <v>449</v>
      </c>
      <c r="I261" s="2" t="s">
        <v>260</v>
      </c>
    </row>
    <row r="262" spans="1:9" ht="15" customHeight="1" x14ac:dyDescent="0.25">
      <c r="A262" s="3" t="s">
        <v>93</v>
      </c>
      <c r="B262" s="3" t="s">
        <v>299</v>
      </c>
      <c r="C262" s="3">
        <v>2019</v>
      </c>
      <c r="D262" s="7">
        <v>0.11440084347860435</v>
      </c>
      <c r="E262" s="2" t="s">
        <v>564</v>
      </c>
      <c r="F262" s="4" t="s">
        <v>94</v>
      </c>
      <c r="G262" s="4" t="s">
        <v>89</v>
      </c>
      <c r="H262" s="4" t="s">
        <v>521</v>
      </c>
      <c r="I262" s="2" t="s">
        <v>260</v>
      </c>
    </row>
    <row r="263" spans="1:9" ht="15" customHeight="1" x14ac:dyDescent="0.25">
      <c r="A263" s="3" t="s">
        <v>93</v>
      </c>
      <c r="B263" s="3" t="s">
        <v>299</v>
      </c>
      <c r="C263" s="3">
        <v>2020</v>
      </c>
      <c r="D263" s="7">
        <v>9.0141394331893387E-2</v>
      </c>
      <c r="E263" s="2" t="s">
        <v>564</v>
      </c>
      <c r="F263" s="4" t="s">
        <v>94</v>
      </c>
      <c r="G263" s="4" t="s">
        <v>89</v>
      </c>
      <c r="H263" s="4" t="s">
        <v>531</v>
      </c>
      <c r="I263" s="2" t="s">
        <v>260</v>
      </c>
    </row>
    <row r="264" spans="1:9" ht="15" customHeight="1" x14ac:dyDescent="0.25">
      <c r="A264" s="3" t="s">
        <v>93</v>
      </c>
      <c r="B264" s="3" t="s">
        <v>299</v>
      </c>
      <c r="C264" s="3">
        <v>2021</v>
      </c>
      <c r="D264" s="7">
        <v>0.13938615849028069</v>
      </c>
      <c r="E264" s="2" t="s">
        <v>564</v>
      </c>
      <c r="F264" s="4" t="s">
        <v>94</v>
      </c>
      <c r="G264" s="4" t="s">
        <v>89</v>
      </c>
      <c r="H264" s="4" t="s">
        <v>541</v>
      </c>
      <c r="I264" s="2" t="s">
        <v>260</v>
      </c>
    </row>
    <row r="265" spans="1:9" ht="15" customHeight="1" x14ac:dyDescent="0.25">
      <c r="A265" s="3" t="s">
        <v>93</v>
      </c>
      <c r="B265" s="3" t="s">
        <v>299</v>
      </c>
      <c r="C265" s="3">
        <v>2022</v>
      </c>
      <c r="D265" s="7">
        <v>0.11240620908722931</v>
      </c>
      <c r="E265" s="2" t="s">
        <v>564</v>
      </c>
      <c r="F265" s="4" t="s">
        <v>94</v>
      </c>
      <c r="G265" s="4" t="s">
        <v>89</v>
      </c>
      <c r="H265" s="4" t="s">
        <v>552</v>
      </c>
      <c r="I265" s="2" t="s">
        <v>260</v>
      </c>
    </row>
    <row r="266" spans="1:9" ht="15" customHeight="1" x14ac:dyDescent="0.25">
      <c r="A266" s="3" t="s">
        <v>93</v>
      </c>
      <c r="B266" s="3" t="s">
        <v>299</v>
      </c>
      <c r="C266" s="3">
        <v>2023</v>
      </c>
      <c r="D266" s="7">
        <v>7.242380927799974E-2</v>
      </c>
      <c r="E266" s="2" t="s">
        <v>564</v>
      </c>
      <c r="F266" s="4" t="s">
        <v>94</v>
      </c>
      <c r="G266" s="4" t="s">
        <v>89</v>
      </c>
      <c r="H266" s="4" t="s">
        <v>565</v>
      </c>
      <c r="I266" s="2" t="s">
        <v>260</v>
      </c>
    </row>
    <row r="267" spans="1:9" ht="15" customHeight="1" x14ac:dyDescent="0.25">
      <c r="A267" s="3" t="s">
        <v>93</v>
      </c>
      <c r="B267" s="3" t="s">
        <v>299</v>
      </c>
      <c r="C267" s="3">
        <v>2024</v>
      </c>
      <c r="D267" s="7">
        <v>9.8162464385345483E-2</v>
      </c>
      <c r="E267" s="2" t="s">
        <v>564</v>
      </c>
      <c r="F267" s="4" t="s">
        <v>94</v>
      </c>
      <c r="G267" s="4" t="s">
        <v>89</v>
      </c>
      <c r="H267" s="4" t="s">
        <v>566</v>
      </c>
      <c r="I267" s="2" t="s">
        <v>260</v>
      </c>
    </row>
    <row r="268" spans="1:9" ht="15" customHeight="1" x14ac:dyDescent="0.25">
      <c r="A268" s="3" t="s">
        <v>93</v>
      </c>
      <c r="B268" s="3" t="s">
        <v>299</v>
      </c>
      <c r="C268" s="3">
        <v>2025</v>
      </c>
      <c r="D268" s="7">
        <v>9.2001146484195218E-2</v>
      </c>
      <c r="E268" s="2" t="s">
        <v>564</v>
      </c>
      <c r="F268" s="4" t="s">
        <v>94</v>
      </c>
      <c r="G268" s="4" t="s">
        <v>89</v>
      </c>
      <c r="H268" s="4" t="s">
        <v>567</v>
      </c>
      <c r="I268" s="2" t="s">
        <v>260</v>
      </c>
    </row>
    <row r="269" spans="1:9" ht="15" customHeight="1" x14ac:dyDescent="0.25">
      <c r="A269" s="3" t="s">
        <v>93</v>
      </c>
      <c r="B269" s="3" t="s">
        <v>304</v>
      </c>
      <c r="C269" s="3">
        <v>2016</v>
      </c>
      <c r="D269" s="7">
        <v>0.99981950378735995</v>
      </c>
      <c r="E269" s="2" t="s">
        <v>491</v>
      </c>
      <c r="F269" s="4" t="s">
        <v>94</v>
      </c>
      <c r="G269" s="4" t="s">
        <v>89</v>
      </c>
      <c r="H269" s="4" t="s">
        <v>501</v>
      </c>
      <c r="I269" s="2" t="s">
        <v>260</v>
      </c>
    </row>
    <row r="270" spans="1:9" ht="15" customHeight="1" x14ac:dyDescent="0.25">
      <c r="A270" s="3" t="s">
        <v>93</v>
      </c>
      <c r="B270" s="3" t="s">
        <v>304</v>
      </c>
      <c r="C270" s="3">
        <v>2017</v>
      </c>
      <c r="D270" s="7">
        <v>0.99818253804123991</v>
      </c>
      <c r="E270" s="2" t="s">
        <v>491</v>
      </c>
      <c r="F270" s="4" t="s">
        <v>94</v>
      </c>
      <c r="G270" s="4" t="s">
        <v>89</v>
      </c>
      <c r="H270" s="4" t="s">
        <v>511</v>
      </c>
      <c r="I270" s="2" t="s">
        <v>260</v>
      </c>
    </row>
    <row r="271" spans="1:9" ht="15" customHeight="1" x14ac:dyDescent="0.25">
      <c r="A271" s="3" t="s">
        <v>93</v>
      </c>
      <c r="B271" s="3" t="s">
        <v>304</v>
      </c>
      <c r="C271" s="3">
        <v>2018</v>
      </c>
      <c r="D271" s="7">
        <v>1.0032589556721154</v>
      </c>
      <c r="E271" s="2" t="s">
        <v>491</v>
      </c>
      <c r="F271" s="4" t="s">
        <v>94</v>
      </c>
      <c r="G271" s="4" t="s">
        <v>89</v>
      </c>
      <c r="H271" s="4" t="s">
        <v>450</v>
      </c>
      <c r="I271" s="2" t="s">
        <v>260</v>
      </c>
    </row>
    <row r="272" spans="1:9" ht="15" customHeight="1" x14ac:dyDescent="0.25">
      <c r="A272" s="3" t="s">
        <v>93</v>
      </c>
      <c r="B272" s="3" t="s">
        <v>304</v>
      </c>
      <c r="C272" s="3">
        <v>2019</v>
      </c>
      <c r="D272" s="7">
        <v>0.99871949108789382</v>
      </c>
      <c r="E272" s="2" t="s">
        <v>491</v>
      </c>
      <c r="F272" s="4" t="s">
        <v>94</v>
      </c>
      <c r="G272" s="4" t="s">
        <v>89</v>
      </c>
      <c r="H272" s="4" t="s">
        <v>522</v>
      </c>
      <c r="I272" s="2" t="s">
        <v>260</v>
      </c>
    </row>
    <row r="273" spans="1:9" ht="15" customHeight="1" x14ac:dyDescent="0.25">
      <c r="A273" s="3" t="s">
        <v>93</v>
      </c>
      <c r="B273" s="3" t="s">
        <v>304</v>
      </c>
      <c r="C273" s="3">
        <v>2020</v>
      </c>
      <c r="D273" s="7">
        <v>1.0122146914819721</v>
      </c>
      <c r="E273" s="2" t="s">
        <v>491</v>
      </c>
      <c r="F273" s="4" t="s">
        <v>94</v>
      </c>
      <c r="G273" s="4" t="s">
        <v>89</v>
      </c>
      <c r="H273" s="4" t="s">
        <v>532</v>
      </c>
      <c r="I273" s="2" t="s">
        <v>260</v>
      </c>
    </row>
    <row r="274" spans="1:9" ht="15" customHeight="1" x14ac:dyDescent="0.25">
      <c r="A274" s="3" t="s">
        <v>93</v>
      </c>
      <c r="B274" s="3" t="s">
        <v>304</v>
      </c>
      <c r="C274" s="3">
        <v>2021</v>
      </c>
      <c r="D274" s="7">
        <v>1.0469067090437436</v>
      </c>
      <c r="E274" s="2" t="s">
        <v>491</v>
      </c>
      <c r="F274" s="4" t="s">
        <v>94</v>
      </c>
      <c r="G274" s="4" t="s">
        <v>89</v>
      </c>
      <c r="H274" s="4" t="s">
        <v>543</v>
      </c>
      <c r="I274" s="2" t="s">
        <v>260</v>
      </c>
    </row>
    <row r="275" spans="1:9" ht="15" customHeight="1" x14ac:dyDescent="0.25">
      <c r="A275" s="3" t="s">
        <v>93</v>
      </c>
      <c r="B275" s="3" t="s">
        <v>304</v>
      </c>
      <c r="C275" s="3">
        <v>2022</v>
      </c>
      <c r="D275" s="7">
        <v>1.0277026320428202</v>
      </c>
      <c r="E275" s="2" t="s">
        <v>491</v>
      </c>
      <c r="F275" s="4" t="s">
        <v>94</v>
      </c>
      <c r="G275" s="4" t="s">
        <v>89</v>
      </c>
      <c r="H275" s="4" t="s">
        <v>568</v>
      </c>
      <c r="I275" s="2" t="s">
        <v>260</v>
      </c>
    </row>
    <row r="276" spans="1:9" ht="15" customHeight="1" x14ac:dyDescent="0.25">
      <c r="A276" s="3" t="s">
        <v>93</v>
      </c>
      <c r="B276" s="3" t="s">
        <v>304</v>
      </c>
      <c r="C276" s="3">
        <v>2023</v>
      </c>
      <c r="D276" s="7">
        <v>0.98955180552375355</v>
      </c>
      <c r="E276" s="2" t="s">
        <v>491</v>
      </c>
      <c r="F276" s="4" t="s">
        <v>94</v>
      </c>
      <c r="G276" s="4" t="s">
        <v>89</v>
      </c>
      <c r="H276" s="4" t="s">
        <v>569</v>
      </c>
      <c r="I276" s="2" t="s">
        <v>260</v>
      </c>
    </row>
    <row r="277" spans="1:9" ht="15" customHeight="1" x14ac:dyDescent="0.25">
      <c r="A277" s="3" t="s">
        <v>93</v>
      </c>
      <c r="B277" s="3" t="s">
        <v>304</v>
      </c>
      <c r="C277" s="3">
        <v>2024</v>
      </c>
      <c r="D277" s="7">
        <v>0.99877192951032678</v>
      </c>
      <c r="E277" s="2" t="s">
        <v>491</v>
      </c>
      <c r="F277" s="4" t="s">
        <v>94</v>
      </c>
      <c r="G277" s="4" t="s">
        <v>89</v>
      </c>
      <c r="H277" s="4" t="s">
        <v>570</v>
      </c>
      <c r="I277" s="2" t="s">
        <v>260</v>
      </c>
    </row>
    <row r="278" spans="1:9" ht="15" customHeight="1" x14ac:dyDescent="0.25">
      <c r="A278" s="3" t="s">
        <v>93</v>
      </c>
      <c r="B278" s="3" t="s">
        <v>304</v>
      </c>
      <c r="C278" s="3">
        <v>2025</v>
      </c>
      <c r="D278" s="7">
        <v>0.99662188972699206</v>
      </c>
      <c r="E278" s="2" t="s">
        <v>491</v>
      </c>
      <c r="F278" s="4" t="s">
        <v>94</v>
      </c>
      <c r="G278" s="4" t="s">
        <v>89</v>
      </c>
      <c r="H278" s="4" t="s">
        <v>571</v>
      </c>
      <c r="I278" s="2" t="s">
        <v>260</v>
      </c>
    </row>
    <row r="279" spans="1:9" ht="15" customHeight="1" x14ac:dyDescent="0.25">
      <c r="A279" s="3" t="s">
        <v>93</v>
      </c>
      <c r="B279" s="3" t="s">
        <v>312</v>
      </c>
      <c r="C279" s="3">
        <v>2016</v>
      </c>
      <c r="D279" s="7">
        <v>0.55455786648911143</v>
      </c>
      <c r="E279" s="2" t="s">
        <v>556</v>
      </c>
      <c r="F279" s="4" t="s">
        <v>94</v>
      </c>
      <c r="G279" s="4" t="s">
        <v>89</v>
      </c>
      <c r="H279" s="4" t="s">
        <v>502</v>
      </c>
      <c r="I279" s="2" t="s">
        <v>260</v>
      </c>
    </row>
    <row r="280" spans="1:9" ht="15" customHeight="1" x14ac:dyDescent="0.25">
      <c r="A280" s="3" t="s">
        <v>93</v>
      </c>
      <c r="B280" s="3" t="s">
        <v>312</v>
      </c>
      <c r="C280" s="3">
        <v>2017</v>
      </c>
      <c r="D280" s="7">
        <v>0.55516189212957423</v>
      </c>
      <c r="E280" s="2" t="s">
        <v>556</v>
      </c>
      <c r="F280" s="4" t="s">
        <v>94</v>
      </c>
      <c r="G280" s="4" t="s">
        <v>89</v>
      </c>
      <c r="H280" s="4" t="s">
        <v>441</v>
      </c>
      <c r="I280" s="2" t="s">
        <v>260</v>
      </c>
    </row>
    <row r="281" spans="1:9" ht="15" customHeight="1" x14ac:dyDescent="0.25">
      <c r="A281" s="3" t="s">
        <v>93</v>
      </c>
      <c r="B281" s="3" t="s">
        <v>312</v>
      </c>
      <c r="C281" s="3">
        <v>2018</v>
      </c>
      <c r="D281" s="7">
        <v>0.55516189212957423</v>
      </c>
      <c r="E281" s="2" t="s">
        <v>556</v>
      </c>
      <c r="F281" s="4" t="s">
        <v>94</v>
      </c>
      <c r="G281" s="4" t="s">
        <v>89</v>
      </c>
      <c r="H281" s="4" t="s">
        <v>513</v>
      </c>
      <c r="I281" s="2" t="s">
        <v>260</v>
      </c>
    </row>
    <row r="282" spans="1:9" ht="15" customHeight="1" x14ac:dyDescent="0.25">
      <c r="A282" s="3" t="s">
        <v>93</v>
      </c>
      <c r="B282" s="3" t="s">
        <v>312</v>
      </c>
      <c r="C282" s="3">
        <v>2019</v>
      </c>
      <c r="D282" s="7">
        <v>0.55516189212957423</v>
      </c>
      <c r="E282" s="2" t="s">
        <v>556</v>
      </c>
      <c r="F282" s="4" t="s">
        <v>94</v>
      </c>
      <c r="G282" s="4" t="s">
        <v>89</v>
      </c>
      <c r="H282" s="4" t="s">
        <v>523</v>
      </c>
      <c r="I282" s="2" t="s">
        <v>260</v>
      </c>
    </row>
    <row r="283" spans="1:9" ht="15" customHeight="1" x14ac:dyDescent="0.25">
      <c r="A283" s="3" t="s">
        <v>93</v>
      </c>
      <c r="B283" s="3" t="s">
        <v>312</v>
      </c>
      <c r="C283" s="3">
        <v>2020</v>
      </c>
      <c r="D283" s="7">
        <v>0.55994262540535855</v>
      </c>
      <c r="E283" s="2" t="s">
        <v>556</v>
      </c>
      <c r="F283" s="4" t="s">
        <v>94</v>
      </c>
      <c r="G283" s="4" t="s">
        <v>89</v>
      </c>
      <c r="H283" s="4" t="s">
        <v>533</v>
      </c>
      <c r="I283" s="2" t="s">
        <v>260</v>
      </c>
    </row>
    <row r="284" spans="1:9" ht="15" customHeight="1" x14ac:dyDescent="0.25">
      <c r="A284" s="3" t="s">
        <v>93</v>
      </c>
      <c r="B284" s="3" t="s">
        <v>312</v>
      </c>
      <c r="C284" s="3">
        <v>2021</v>
      </c>
      <c r="D284" s="7">
        <v>0.55066357946839872</v>
      </c>
      <c r="E284" s="2" t="s">
        <v>556</v>
      </c>
      <c r="F284" s="4" t="s">
        <v>94</v>
      </c>
      <c r="G284" s="4" t="s">
        <v>89</v>
      </c>
      <c r="H284" s="4" t="s">
        <v>544</v>
      </c>
      <c r="I284" s="2" t="s">
        <v>260</v>
      </c>
    </row>
    <row r="285" spans="1:9" ht="15" customHeight="1" x14ac:dyDescent="0.25">
      <c r="A285" s="3" t="s">
        <v>93</v>
      </c>
      <c r="B285" s="3" t="s">
        <v>312</v>
      </c>
      <c r="C285" s="3">
        <v>2022</v>
      </c>
      <c r="D285" s="7">
        <v>0.56843095635134788</v>
      </c>
      <c r="E285" s="2" t="s">
        <v>556</v>
      </c>
      <c r="F285" s="4" t="s">
        <v>94</v>
      </c>
      <c r="G285" s="4" t="s">
        <v>89</v>
      </c>
      <c r="H285" s="4" t="s">
        <v>572</v>
      </c>
      <c r="I285" s="2" t="s">
        <v>260</v>
      </c>
    </row>
    <row r="286" spans="1:9" ht="15" customHeight="1" x14ac:dyDescent="0.25">
      <c r="A286" s="3" t="s">
        <v>93</v>
      </c>
      <c r="B286" s="3" t="s">
        <v>312</v>
      </c>
      <c r="C286" s="3">
        <v>2023</v>
      </c>
      <c r="D286" s="7">
        <v>0.58371871919065321</v>
      </c>
      <c r="E286" s="2" t="s">
        <v>556</v>
      </c>
      <c r="F286" s="4" t="s">
        <v>94</v>
      </c>
      <c r="G286" s="4" t="s">
        <v>89</v>
      </c>
      <c r="H286" s="4" t="s">
        <v>573</v>
      </c>
      <c r="I286" s="2" t="s">
        <v>260</v>
      </c>
    </row>
    <row r="287" spans="1:9" ht="15" customHeight="1" x14ac:dyDescent="0.25">
      <c r="A287" s="3" t="s">
        <v>93</v>
      </c>
      <c r="B287" s="3" t="s">
        <v>312</v>
      </c>
      <c r="C287" s="3">
        <v>2024</v>
      </c>
      <c r="D287" s="7">
        <v>0.58860678293529012</v>
      </c>
      <c r="E287" s="2" t="s">
        <v>556</v>
      </c>
      <c r="F287" s="4" t="s">
        <v>94</v>
      </c>
      <c r="G287" s="4" t="s">
        <v>89</v>
      </c>
      <c r="H287" s="4" t="s">
        <v>574</v>
      </c>
      <c r="I287" s="2" t="s">
        <v>260</v>
      </c>
    </row>
    <row r="288" spans="1:9" ht="15" customHeight="1" x14ac:dyDescent="0.25">
      <c r="A288" s="3" t="s">
        <v>93</v>
      </c>
      <c r="B288" s="3" t="s">
        <v>312</v>
      </c>
      <c r="C288" s="3">
        <v>2025</v>
      </c>
      <c r="D288" s="7">
        <v>0.59148370128318173</v>
      </c>
      <c r="E288" s="2" t="s">
        <v>556</v>
      </c>
      <c r="F288" s="4" t="s">
        <v>94</v>
      </c>
      <c r="G288" s="4" t="s">
        <v>89</v>
      </c>
      <c r="H288" s="4" t="s">
        <v>575</v>
      </c>
      <c r="I288" s="2" t="s">
        <v>260</v>
      </c>
    </row>
    <row r="289" spans="1:9" ht="15" customHeight="1" x14ac:dyDescent="0.25">
      <c r="A289" s="3" t="s">
        <v>93</v>
      </c>
      <c r="B289" s="3" t="s">
        <v>317</v>
      </c>
      <c r="C289" s="3">
        <v>2016</v>
      </c>
      <c r="D289" s="7">
        <v>0.56121245187502822</v>
      </c>
      <c r="E289" s="2" t="s">
        <v>556</v>
      </c>
      <c r="F289" s="4" t="s">
        <v>94</v>
      </c>
      <c r="G289" s="4" t="s">
        <v>89</v>
      </c>
      <c r="H289" s="4" t="s">
        <v>503</v>
      </c>
      <c r="I289" s="2" t="s">
        <v>260</v>
      </c>
    </row>
    <row r="290" spans="1:9" ht="15" customHeight="1" x14ac:dyDescent="0.25">
      <c r="A290" s="3" t="s">
        <v>93</v>
      </c>
      <c r="B290" s="3" t="s">
        <v>317</v>
      </c>
      <c r="C290" s="3">
        <v>2017</v>
      </c>
      <c r="D290" s="7">
        <v>0.55299896282606664</v>
      </c>
      <c r="E290" s="2" t="s">
        <v>556</v>
      </c>
      <c r="F290" s="4" t="s">
        <v>94</v>
      </c>
      <c r="G290" s="4" t="s">
        <v>89</v>
      </c>
      <c r="H290" s="4" t="s">
        <v>442</v>
      </c>
      <c r="I290" s="2" t="s">
        <v>260</v>
      </c>
    </row>
    <row r="291" spans="1:9" ht="15" customHeight="1" x14ac:dyDescent="0.25">
      <c r="A291" s="3" t="s">
        <v>93</v>
      </c>
      <c r="B291" s="3" t="s">
        <v>317</v>
      </c>
      <c r="C291" s="3">
        <v>2018</v>
      </c>
      <c r="D291" s="7">
        <v>0.55748011400458419</v>
      </c>
      <c r="E291" s="2" t="s">
        <v>556</v>
      </c>
      <c r="F291" s="4" t="s">
        <v>94</v>
      </c>
      <c r="G291" s="4" t="s">
        <v>89</v>
      </c>
      <c r="H291" s="4" t="s">
        <v>514</v>
      </c>
      <c r="I291" s="2" t="s">
        <v>260</v>
      </c>
    </row>
    <row r="292" spans="1:9" ht="15" customHeight="1" x14ac:dyDescent="0.25">
      <c r="A292" s="3" t="s">
        <v>93</v>
      </c>
      <c r="B292" s="3" t="s">
        <v>317</v>
      </c>
      <c r="C292" s="3">
        <v>2019</v>
      </c>
      <c r="D292" s="7">
        <v>0.55765976178413035</v>
      </c>
      <c r="E292" s="2" t="s">
        <v>556</v>
      </c>
      <c r="F292" s="4" t="s">
        <v>94</v>
      </c>
      <c r="G292" s="4" t="s">
        <v>89</v>
      </c>
      <c r="H292" s="4" t="s">
        <v>524</v>
      </c>
      <c r="I292" s="2" t="s">
        <v>260</v>
      </c>
    </row>
    <row r="293" spans="1:9" ht="15" customHeight="1" x14ac:dyDescent="0.25">
      <c r="A293" s="3" t="s">
        <v>93</v>
      </c>
      <c r="B293" s="3" t="s">
        <v>317</v>
      </c>
      <c r="C293" s="3">
        <v>2020</v>
      </c>
      <c r="D293" s="7">
        <v>0.54353886211674873</v>
      </c>
      <c r="E293" s="2" t="s">
        <v>556</v>
      </c>
      <c r="F293" s="4" t="s">
        <v>94</v>
      </c>
      <c r="G293" s="4" t="s">
        <v>89</v>
      </c>
      <c r="H293" s="4" t="s">
        <v>534</v>
      </c>
      <c r="I293" s="2" t="s">
        <v>260</v>
      </c>
    </row>
    <row r="294" spans="1:9" ht="15" customHeight="1" x14ac:dyDescent="0.25">
      <c r="A294" s="3" t="s">
        <v>93</v>
      </c>
      <c r="B294" s="3" t="s">
        <v>317</v>
      </c>
      <c r="C294" s="3">
        <v>2021</v>
      </c>
      <c r="D294" s="7">
        <v>0.55486945066359095</v>
      </c>
      <c r="E294" s="2" t="s">
        <v>556</v>
      </c>
      <c r="F294" s="4" t="s">
        <v>94</v>
      </c>
      <c r="G294" s="4" t="s">
        <v>89</v>
      </c>
      <c r="H294" s="4" t="s">
        <v>545</v>
      </c>
      <c r="I294" s="2" t="s">
        <v>260</v>
      </c>
    </row>
    <row r="295" spans="1:9" ht="15" customHeight="1" x14ac:dyDescent="0.25">
      <c r="A295" s="3" t="s">
        <v>93</v>
      </c>
      <c r="B295" s="3" t="s">
        <v>317</v>
      </c>
      <c r="C295" s="3">
        <v>2022</v>
      </c>
      <c r="D295" s="7">
        <v>0.54461098528685847</v>
      </c>
      <c r="E295" s="2" t="s">
        <v>556</v>
      </c>
      <c r="F295" s="4" t="s">
        <v>94</v>
      </c>
      <c r="G295" s="4" t="s">
        <v>89</v>
      </c>
      <c r="H295" s="4" t="s">
        <v>576</v>
      </c>
      <c r="I295" s="2" t="s">
        <v>260</v>
      </c>
    </row>
    <row r="296" spans="1:9" ht="15" customHeight="1" x14ac:dyDescent="0.25">
      <c r="A296" s="3" t="s">
        <v>93</v>
      </c>
      <c r="B296" s="3" t="s">
        <v>317</v>
      </c>
      <c r="C296" s="3">
        <v>2023</v>
      </c>
      <c r="D296" s="7">
        <v>0.53718610879616346</v>
      </c>
      <c r="E296" s="2" t="s">
        <v>556</v>
      </c>
      <c r="F296" s="4" t="s">
        <v>94</v>
      </c>
      <c r="G296" s="4" t="s">
        <v>89</v>
      </c>
      <c r="H296" s="4" t="s">
        <v>577</v>
      </c>
      <c r="I296" s="2" t="s">
        <v>260</v>
      </c>
    </row>
    <row r="297" spans="1:9" ht="15" customHeight="1" x14ac:dyDescent="0.25">
      <c r="A297" s="3" t="s">
        <v>93</v>
      </c>
      <c r="B297" s="3" t="s">
        <v>317</v>
      </c>
      <c r="C297" s="3">
        <v>2024</v>
      </c>
      <c r="D297" s="7">
        <v>0.53393449636806356</v>
      </c>
      <c r="E297" s="2" t="s">
        <v>556</v>
      </c>
      <c r="F297" s="4" t="s">
        <v>94</v>
      </c>
      <c r="G297" s="4" t="s">
        <v>89</v>
      </c>
      <c r="H297" s="4" t="s">
        <v>578</v>
      </c>
      <c r="I297" s="2" t="s">
        <v>260</v>
      </c>
    </row>
    <row r="298" spans="1:9" ht="15" customHeight="1" x14ac:dyDescent="0.25">
      <c r="A298" s="3" t="s">
        <v>93</v>
      </c>
      <c r="B298" s="3" t="s">
        <v>317</v>
      </c>
      <c r="C298" s="3">
        <v>2025</v>
      </c>
      <c r="D298" s="7">
        <v>0.54493570459504248</v>
      </c>
      <c r="E298" s="2" t="s">
        <v>556</v>
      </c>
      <c r="F298" s="4" t="s">
        <v>94</v>
      </c>
      <c r="G298" s="4" t="s">
        <v>89</v>
      </c>
      <c r="H298" s="4" t="s">
        <v>579</v>
      </c>
      <c r="I298" s="2" t="s">
        <v>260</v>
      </c>
    </row>
    <row r="299" spans="1:9" ht="15" customHeight="1" x14ac:dyDescent="0.25">
      <c r="A299" s="3" t="s">
        <v>93</v>
      </c>
      <c r="B299" s="3" t="s">
        <v>323</v>
      </c>
      <c r="C299" s="3">
        <v>2016</v>
      </c>
      <c r="D299" s="7">
        <v>0.18425818155180682</v>
      </c>
      <c r="E299" s="2" t="s">
        <v>556</v>
      </c>
      <c r="F299" s="4" t="s">
        <v>94</v>
      </c>
      <c r="G299" s="4" t="s">
        <v>89</v>
      </c>
      <c r="H299" s="4" t="s">
        <v>504</v>
      </c>
      <c r="I299" s="2" t="s">
        <v>260</v>
      </c>
    </row>
    <row r="300" spans="1:9" ht="15" customHeight="1" x14ac:dyDescent="0.25">
      <c r="A300" s="3" t="s">
        <v>93</v>
      </c>
      <c r="B300" s="3" t="s">
        <v>323</v>
      </c>
      <c r="C300" s="3">
        <v>2017</v>
      </c>
      <c r="D300" s="7">
        <v>0.1871527537435988</v>
      </c>
      <c r="E300" s="2" t="s">
        <v>556</v>
      </c>
      <c r="F300" s="4" t="s">
        <v>94</v>
      </c>
      <c r="G300" s="4" t="s">
        <v>89</v>
      </c>
      <c r="H300" s="4" t="s">
        <v>443</v>
      </c>
      <c r="I300" s="2" t="s">
        <v>260</v>
      </c>
    </row>
    <row r="301" spans="1:9" ht="15" customHeight="1" x14ac:dyDescent="0.25">
      <c r="A301" s="3" t="s">
        <v>93</v>
      </c>
      <c r="B301" s="3" t="s">
        <v>323</v>
      </c>
      <c r="C301" s="3">
        <v>2018</v>
      </c>
      <c r="D301" s="7">
        <v>0.1871527537435988</v>
      </c>
      <c r="E301" s="2" t="s">
        <v>556</v>
      </c>
      <c r="F301" s="4" t="s">
        <v>94</v>
      </c>
      <c r="G301" s="4" t="s">
        <v>89</v>
      </c>
      <c r="H301" s="4" t="s">
        <v>515</v>
      </c>
      <c r="I301" s="2" t="s">
        <v>260</v>
      </c>
    </row>
    <row r="302" spans="1:9" ht="15" customHeight="1" x14ac:dyDescent="0.25">
      <c r="A302" s="3" t="s">
        <v>93</v>
      </c>
      <c r="B302" s="3" t="s">
        <v>323</v>
      </c>
      <c r="C302" s="3">
        <v>2019</v>
      </c>
      <c r="D302" s="7">
        <v>0.20262277159400291</v>
      </c>
      <c r="E302" s="2" t="s">
        <v>556</v>
      </c>
      <c r="F302" s="4" t="s">
        <v>94</v>
      </c>
      <c r="G302" s="4" t="s">
        <v>89</v>
      </c>
      <c r="H302" s="4" t="s">
        <v>525</v>
      </c>
      <c r="I302" s="2" t="s">
        <v>260</v>
      </c>
    </row>
    <row r="303" spans="1:9" ht="15" customHeight="1" x14ac:dyDescent="0.25">
      <c r="A303" s="3" t="s">
        <v>93</v>
      </c>
      <c r="B303" s="3" t="s">
        <v>323</v>
      </c>
      <c r="C303" s="3">
        <v>2020</v>
      </c>
      <c r="D303" s="7">
        <v>0.1871527537435988</v>
      </c>
      <c r="E303" s="2" t="s">
        <v>556</v>
      </c>
      <c r="F303" s="4" t="s">
        <v>94</v>
      </c>
      <c r="G303" s="4" t="s">
        <v>89</v>
      </c>
      <c r="H303" s="4" t="s">
        <v>535</v>
      </c>
      <c r="I303" s="2" t="s">
        <v>260</v>
      </c>
    </row>
    <row r="304" spans="1:9" ht="15" customHeight="1" x14ac:dyDescent="0.25">
      <c r="A304" s="3" t="s">
        <v>93</v>
      </c>
      <c r="B304" s="3" t="s">
        <v>323</v>
      </c>
      <c r="C304" s="3">
        <v>2021</v>
      </c>
      <c r="D304" s="7">
        <v>0.12103906004078691</v>
      </c>
      <c r="E304" s="2" t="s">
        <v>556</v>
      </c>
      <c r="F304" s="4" t="s">
        <v>94</v>
      </c>
      <c r="G304" s="4" t="s">
        <v>89</v>
      </c>
      <c r="H304" s="4" t="s">
        <v>546</v>
      </c>
      <c r="I304" s="2" t="s">
        <v>260</v>
      </c>
    </row>
    <row r="305" spans="1:9" ht="15" customHeight="1" x14ac:dyDescent="0.25">
      <c r="A305" s="3" t="s">
        <v>93</v>
      </c>
      <c r="B305" s="3" t="s">
        <v>323</v>
      </c>
      <c r="C305" s="3">
        <v>2022</v>
      </c>
      <c r="D305" s="7">
        <v>0.17976295133803533</v>
      </c>
      <c r="E305" s="2" t="s">
        <v>556</v>
      </c>
      <c r="F305" s="4" t="s">
        <v>94</v>
      </c>
      <c r="G305" s="4" t="s">
        <v>89</v>
      </c>
      <c r="H305" s="4" t="s">
        <v>580</v>
      </c>
      <c r="I305" s="2" t="s">
        <v>260</v>
      </c>
    </row>
    <row r="306" spans="1:9" ht="15" customHeight="1" x14ac:dyDescent="0.25">
      <c r="A306" s="3" t="s">
        <v>93</v>
      </c>
      <c r="B306" s="3" t="s">
        <v>323</v>
      </c>
      <c r="C306" s="3">
        <v>2023</v>
      </c>
      <c r="D306" s="7">
        <v>0.24275114860722377</v>
      </c>
      <c r="E306" s="2" t="s">
        <v>556</v>
      </c>
      <c r="F306" s="4" t="s">
        <v>94</v>
      </c>
      <c r="G306" s="4" t="s">
        <v>89</v>
      </c>
      <c r="H306" s="4" t="s">
        <v>581</v>
      </c>
      <c r="I306" s="2" t="s">
        <v>260</v>
      </c>
    </row>
    <row r="307" spans="1:9" ht="15" customHeight="1" x14ac:dyDescent="0.25">
      <c r="A307" s="3" t="s">
        <v>93</v>
      </c>
      <c r="B307" s="3" t="s">
        <v>323</v>
      </c>
      <c r="C307" s="3">
        <v>2024</v>
      </c>
      <c r="D307" s="7">
        <v>0.2412656128209919</v>
      </c>
      <c r="E307" s="2" t="s">
        <v>556</v>
      </c>
      <c r="F307" s="4" t="s">
        <v>94</v>
      </c>
      <c r="G307" s="4" t="s">
        <v>89</v>
      </c>
      <c r="H307" s="4" t="s">
        <v>582</v>
      </c>
      <c r="I307" s="2" t="s">
        <v>260</v>
      </c>
    </row>
    <row r="308" spans="1:9" ht="15" customHeight="1" x14ac:dyDescent="0.25">
      <c r="A308" s="3" t="s">
        <v>93</v>
      </c>
      <c r="B308" s="3" t="s">
        <v>323</v>
      </c>
      <c r="C308" s="3">
        <v>2025</v>
      </c>
      <c r="D308" s="7">
        <v>0.2412656128209919</v>
      </c>
      <c r="E308" s="2" t="s">
        <v>556</v>
      </c>
      <c r="F308" s="4" t="s">
        <v>94</v>
      </c>
      <c r="G308" s="4" t="s">
        <v>89</v>
      </c>
      <c r="H308" s="4" t="s">
        <v>583</v>
      </c>
      <c r="I308" s="2" t="s">
        <v>260</v>
      </c>
    </row>
    <row r="309" spans="1:9" ht="15" customHeight="1" x14ac:dyDescent="0.25">
      <c r="A309" s="3" t="s">
        <v>93</v>
      </c>
      <c r="B309" s="3" t="s">
        <v>328</v>
      </c>
      <c r="C309" s="3">
        <v>2016</v>
      </c>
      <c r="D309" s="7">
        <v>67.164666539097325</v>
      </c>
      <c r="E309" s="2" t="s">
        <v>556</v>
      </c>
      <c r="F309" s="4" t="s">
        <v>94</v>
      </c>
      <c r="G309" s="4" t="s">
        <v>89</v>
      </c>
      <c r="H309" s="4" t="s">
        <v>505</v>
      </c>
      <c r="I309" s="2" t="s">
        <v>260</v>
      </c>
    </row>
    <row r="310" spans="1:9" ht="15" customHeight="1" x14ac:dyDescent="0.25">
      <c r="A310" s="3" t="s">
        <v>93</v>
      </c>
      <c r="B310" s="3" t="s">
        <v>328</v>
      </c>
      <c r="C310" s="3">
        <v>2017</v>
      </c>
      <c r="D310" s="7">
        <v>67.337570274547701</v>
      </c>
      <c r="E310" s="2" t="s">
        <v>556</v>
      </c>
      <c r="F310" s="4" t="s">
        <v>94</v>
      </c>
      <c r="G310" s="4" t="s">
        <v>89</v>
      </c>
      <c r="H310" s="4" t="s">
        <v>444</v>
      </c>
      <c r="I310" s="2" t="s">
        <v>260</v>
      </c>
    </row>
    <row r="311" spans="1:9" ht="15" customHeight="1" x14ac:dyDescent="0.25">
      <c r="A311" s="3" t="s">
        <v>93</v>
      </c>
      <c r="B311" s="3" t="s">
        <v>328</v>
      </c>
      <c r="C311" s="3">
        <v>2018</v>
      </c>
      <c r="D311" s="7">
        <v>67.603940128476822</v>
      </c>
      <c r="E311" s="2" t="s">
        <v>556</v>
      </c>
      <c r="F311" s="4" t="s">
        <v>94</v>
      </c>
      <c r="G311" s="4" t="s">
        <v>89</v>
      </c>
      <c r="H311" s="4" t="s">
        <v>516</v>
      </c>
      <c r="I311" s="2" t="s">
        <v>260</v>
      </c>
    </row>
    <row r="312" spans="1:9" ht="15" customHeight="1" x14ac:dyDescent="0.25">
      <c r="A312" s="3" t="s">
        <v>93</v>
      </c>
      <c r="B312" s="3" t="s">
        <v>328</v>
      </c>
      <c r="C312" s="3">
        <v>2019</v>
      </c>
      <c r="D312" s="7">
        <v>67.973314455218244</v>
      </c>
      <c r="E312" s="2" t="s">
        <v>556</v>
      </c>
      <c r="F312" s="4" t="s">
        <v>94</v>
      </c>
      <c r="G312" s="4" t="s">
        <v>89</v>
      </c>
      <c r="H312" s="4" t="s">
        <v>526</v>
      </c>
      <c r="I312" s="2" t="s">
        <v>260</v>
      </c>
    </row>
    <row r="313" spans="1:9" ht="15" customHeight="1" x14ac:dyDescent="0.25">
      <c r="A313" s="3" t="s">
        <v>93</v>
      </c>
      <c r="B313" s="3" t="s">
        <v>328</v>
      </c>
      <c r="C313" s="3">
        <v>2020</v>
      </c>
      <c r="D313" s="7">
        <v>67.910703366081606</v>
      </c>
      <c r="E313" s="2" t="s">
        <v>556</v>
      </c>
      <c r="F313" s="4" t="s">
        <v>94</v>
      </c>
      <c r="G313" s="4" t="s">
        <v>89</v>
      </c>
      <c r="H313" s="4" t="s">
        <v>536</v>
      </c>
      <c r="I313" s="2" t="s">
        <v>260</v>
      </c>
    </row>
    <row r="314" spans="1:9" ht="15" customHeight="1" x14ac:dyDescent="0.25">
      <c r="A314" s="3" t="s">
        <v>93</v>
      </c>
      <c r="B314" s="3" t="s">
        <v>328</v>
      </c>
      <c r="C314" s="3">
        <v>2021</v>
      </c>
      <c r="D314" s="7">
        <v>66.581526835428875</v>
      </c>
      <c r="E314" s="2" t="s">
        <v>556</v>
      </c>
      <c r="F314" s="4" t="s">
        <v>94</v>
      </c>
      <c r="G314" s="4" t="s">
        <v>89</v>
      </c>
      <c r="H314" s="4" t="s">
        <v>547</v>
      </c>
      <c r="I314" s="2" t="s">
        <v>260</v>
      </c>
    </row>
    <row r="315" spans="1:9" ht="15" customHeight="1" x14ac:dyDescent="0.25">
      <c r="A315" s="3" t="s">
        <v>93</v>
      </c>
      <c r="B315" s="3" t="s">
        <v>328</v>
      </c>
      <c r="C315" s="3">
        <v>2022</v>
      </c>
      <c r="D315" s="7">
        <v>67.81261004208568</v>
      </c>
      <c r="E315" s="2" t="s">
        <v>556</v>
      </c>
      <c r="F315" s="4" t="s">
        <v>94</v>
      </c>
      <c r="G315" s="4" t="s">
        <v>89</v>
      </c>
      <c r="H315" s="4" t="s">
        <v>584</v>
      </c>
      <c r="I315" s="2" t="s">
        <v>260</v>
      </c>
    </row>
    <row r="316" spans="1:9" ht="15" customHeight="1" x14ac:dyDescent="0.25">
      <c r="A316" s="3" t="s">
        <v>93</v>
      </c>
      <c r="B316" s="3" t="s">
        <v>328</v>
      </c>
      <c r="C316" s="3">
        <v>2023</v>
      </c>
      <c r="D316" s="7">
        <v>68.828648611583233</v>
      </c>
      <c r="E316" s="2" t="s">
        <v>556</v>
      </c>
      <c r="F316" s="4" t="s">
        <v>94</v>
      </c>
      <c r="G316" s="4" t="s">
        <v>89</v>
      </c>
      <c r="H316" s="4" t="s">
        <v>585</v>
      </c>
      <c r="I316" s="2" t="s">
        <v>260</v>
      </c>
    </row>
    <row r="317" spans="1:9" ht="15" customHeight="1" x14ac:dyDescent="0.25">
      <c r="A317" s="3" t="s">
        <v>93</v>
      </c>
      <c r="B317" s="3" t="s">
        <v>328</v>
      </c>
      <c r="C317" s="3">
        <v>2024</v>
      </c>
      <c r="D317" s="7">
        <v>68.915329613589876</v>
      </c>
      <c r="E317" s="2" t="s">
        <v>556</v>
      </c>
      <c r="F317" s="4" t="s">
        <v>94</v>
      </c>
      <c r="G317" s="4" t="s">
        <v>89</v>
      </c>
      <c r="H317" s="4" t="s">
        <v>586</v>
      </c>
      <c r="I317" s="2" t="s">
        <v>260</v>
      </c>
    </row>
    <row r="318" spans="1:9" ht="15" customHeight="1" x14ac:dyDescent="0.25">
      <c r="A318" s="3" t="s">
        <v>93</v>
      </c>
      <c r="B318" s="3" t="s">
        <v>328</v>
      </c>
      <c r="C318" s="3">
        <v>2025</v>
      </c>
      <c r="D318" s="7">
        <v>69.018102739687606</v>
      </c>
      <c r="E318" s="2" t="s">
        <v>556</v>
      </c>
      <c r="F318" s="4" t="s">
        <v>94</v>
      </c>
      <c r="G318" s="4" t="s">
        <v>89</v>
      </c>
      <c r="H318" s="4" t="s">
        <v>587</v>
      </c>
      <c r="I318" s="2" t="s">
        <v>260</v>
      </c>
    </row>
    <row r="319" spans="1:9" ht="15" customHeight="1" x14ac:dyDescent="0.25">
      <c r="A319" s="3" t="s">
        <v>93</v>
      </c>
      <c r="B319" s="3" t="s">
        <v>335</v>
      </c>
      <c r="C319" s="3">
        <v>2016</v>
      </c>
      <c r="D319" s="7">
        <v>0.41686880937942189</v>
      </c>
      <c r="E319" s="2" t="s">
        <v>556</v>
      </c>
      <c r="F319" s="4" t="s">
        <v>94</v>
      </c>
      <c r="G319" s="4" t="s">
        <v>89</v>
      </c>
      <c r="H319" s="4" t="s">
        <v>506</v>
      </c>
      <c r="I319" s="2" t="s">
        <v>260</v>
      </c>
    </row>
    <row r="320" spans="1:9" ht="15" customHeight="1" x14ac:dyDescent="0.25">
      <c r="A320" s="3" t="s">
        <v>93</v>
      </c>
      <c r="B320" s="3" t="s">
        <v>335</v>
      </c>
      <c r="C320" s="3">
        <v>2017</v>
      </c>
      <c r="D320" s="7">
        <v>0.41686880937942189</v>
      </c>
      <c r="E320" s="2" t="s">
        <v>556</v>
      </c>
      <c r="F320" s="4" t="s">
        <v>94</v>
      </c>
      <c r="G320" s="4" t="s">
        <v>89</v>
      </c>
      <c r="H320" s="4" t="s">
        <v>445</v>
      </c>
      <c r="I320" s="2" t="s">
        <v>260</v>
      </c>
    </row>
    <row r="321" spans="1:9" ht="15" customHeight="1" x14ac:dyDescent="0.25">
      <c r="A321" s="3" t="s">
        <v>93</v>
      </c>
      <c r="B321" s="3" t="s">
        <v>335</v>
      </c>
      <c r="C321" s="3">
        <v>2018</v>
      </c>
      <c r="D321" s="7">
        <v>0.41686880937942189</v>
      </c>
      <c r="E321" s="2" t="s">
        <v>556</v>
      </c>
      <c r="F321" s="4" t="s">
        <v>94</v>
      </c>
      <c r="G321" s="4" t="s">
        <v>89</v>
      </c>
      <c r="H321" s="4" t="s">
        <v>517</v>
      </c>
      <c r="I321" s="2" t="s">
        <v>260</v>
      </c>
    </row>
    <row r="322" spans="1:9" ht="15" customHeight="1" x14ac:dyDescent="0.25">
      <c r="A322" s="3" t="s">
        <v>93</v>
      </c>
      <c r="B322" s="3" t="s">
        <v>335</v>
      </c>
      <c r="C322" s="3">
        <v>2019</v>
      </c>
      <c r="D322" s="7">
        <v>0.41686880937942189</v>
      </c>
      <c r="E322" s="2" t="s">
        <v>556</v>
      </c>
      <c r="F322" s="4" t="s">
        <v>94</v>
      </c>
      <c r="G322" s="4" t="s">
        <v>89</v>
      </c>
      <c r="H322" s="4" t="s">
        <v>527</v>
      </c>
      <c r="I322" s="2" t="s">
        <v>260</v>
      </c>
    </row>
    <row r="323" spans="1:9" ht="15" customHeight="1" x14ac:dyDescent="0.25">
      <c r="A323" s="3" t="s">
        <v>93</v>
      </c>
      <c r="B323" s="3" t="s">
        <v>335</v>
      </c>
      <c r="C323" s="3">
        <v>2020</v>
      </c>
      <c r="D323" s="7">
        <v>0.41686880937942189</v>
      </c>
      <c r="E323" s="2" t="s">
        <v>556</v>
      </c>
      <c r="F323" s="4" t="s">
        <v>94</v>
      </c>
      <c r="G323" s="4" t="s">
        <v>89</v>
      </c>
      <c r="H323" s="4" t="s">
        <v>537</v>
      </c>
      <c r="I323" s="2" t="s">
        <v>260</v>
      </c>
    </row>
    <row r="324" spans="1:9" ht="15" customHeight="1" x14ac:dyDescent="0.25">
      <c r="A324" s="3" t="s">
        <v>93</v>
      </c>
      <c r="B324" s="3" t="s">
        <v>335</v>
      </c>
      <c r="C324" s="3">
        <v>2021</v>
      </c>
      <c r="D324" s="7">
        <v>0.41686880937942189</v>
      </c>
      <c r="E324" s="2" t="s">
        <v>556</v>
      </c>
      <c r="F324" s="4" t="s">
        <v>94</v>
      </c>
      <c r="G324" s="4" t="s">
        <v>89</v>
      </c>
      <c r="H324" s="4" t="s">
        <v>548</v>
      </c>
      <c r="I324" s="2" t="s">
        <v>260</v>
      </c>
    </row>
    <row r="325" spans="1:9" ht="15" customHeight="1" x14ac:dyDescent="0.25">
      <c r="A325" s="3" t="s">
        <v>93</v>
      </c>
      <c r="B325" s="3" t="s">
        <v>335</v>
      </c>
      <c r="C325" s="3">
        <v>2022</v>
      </c>
      <c r="D325" s="7">
        <v>0.41686880937942189</v>
      </c>
      <c r="E325" s="2" t="s">
        <v>556</v>
      </c>
      <c r="F325" s="4" t="s">
        <v>94</v>
      </c>
      <c r="G325" s="4" t="s">
        <v>89</v>
      </c>
      <c r="H325" s="4" t="s">
        <v>588</v>
      </c>
      <c r="I325" s="2" t="s">
        <v>260</v>
      </c>
    </row>
    <row r="326" spans="1:9" ht="15" customHeight="1" x14ac:dyDescent="0.25">
      <c r="A326" s="3" t="s">
        <v>93</v>
      </c>
      <c r="B326" s="3" t="s">
        <v>335</v>
      </c>
      <c r="C326" s="3">
        <v>2023</v>
      </c>
      <c r="D326" s="7">
        <v>0.41686880937942189</v>
      </c>
      <c r="E326" s="2" t="s">
        <v>556</v>
      </c>
      <c r="F326" s="4" t="s">
        <v>94</v>
      </c>
      <c r="G326" s="4" t="s">
        <v>89</v>
      </c>
      <c r="H326" s="4" t="s">
        <v>589</v>
      </c>
      <c r="I326" s="2" t="s">
        <v>260</v>
      </c>
    </row>
    <row r="327" spans="1:9" ht="15" customHeight="1" x14ac:dyDescent="0.25">
      <c r="A327" s="3" t="s">
        <v>93</v>
      </c>
      <c r="B327" s="3" t="s">
        <v>335</v>
      </c>
      <c r="C327" s="3">
        <v>2024</v>
      </c>
      <c r="D327" s="7">
        <v>0.41686880937942189</v>
      </c>
      <c r="E327" s="2" t="s">
        <v>556</v>
      </c>
      <c r="F327" s="4" t="s">
        <v>94</v>
      </c>
      <c r="G327" s="4" t="s">
        <v>89</v>
      </c>
      <c r="H327" s="4" t="s">
        <v>590</v>
      </c>
      <c r="I327" s="2" t="s">
        <v>260</v>
      </c>
    </row>
    <row r="328" spans="1:9" ht="15" customHeight="1" x14ac:dyDescent="0.25">
      <c r="A328" s="3" t="s">
        <v>93</v>
      </c>
      <c r="B328" s="3" t="s">
        <v>335</v>
      </c>
      <c r="C328" s="3">
        <v>2025</v>
      </c>
      <c r="D328" s="7">
        <v>0.41686880937942189</v>
      </c>
      <c r="E328" s="2" t="s">
        <v>556</v>
      </c>
      <c r="F328" s="4" t="s">
        <v>94</v>
      </c>
      <c r="G328" s="4" t="s">
        <v>89</v>
      </c>
      <c r="H328" s="4" t="s">
        <v>591</v>
      </c>
      <c r="I328" s="2" t="s">
        <v>260</v>
      </c>
    </row>
  </sheetData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1"/>
  <sheetViews>
    <sheetView showGridLines="0" tabSelected="1" workbookViewId="0">
      <selection sqref="A1:L1"/>
    </sheetView>
  </sheetViews>
  <sheetFormatPr defaultRowHeight="15" x14ac:dyDescent="0.25"/>
  <cols>
    <col min="1" max="2" width="12" customWidth="1"/>
    <col min="3" max="3" width="36" customWidth="1"/>
    <col min="4" max="4" width="20" customWidth="1"/>
    <col min="5" max="11" width="18" customWidth="1"/>
    <col min="12" max="12" width="44" customWidth="1"/>
  </cols>
  <sheetData>
    <row r="1" spans="1:12" ht="27" customHeight="1" x14ac:dyDescent="0.25">
      <c r="A1" s="10" t="s">
        <v>592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3" spans="1:12" x14ac:dyDescent="0.25">
      <c r="A3" s="1" t="s">
        <v>60</v>
      </c>
      <c r="B3" s="1" t="s">
        <v>105</v>
      </c>
      <c r="C3" s="1" t="s">
        <v>106</v>
      </c>
      <c r="D3" s="1" t="s">
        <v>115</v>
      </c>
      <c r="E3" s="1" t="s">
        <v>593</v>
      </c>
      <c r="F3" s="1" t="s">
        <v>594</v>
      </c>
      <c r="G3" s="1" t="s">
        <v>595</v>
      </c>
      <c r="H3" s="1" t="s">
        <v>596</v>
      </c>
      <c r="I3" s="1" t="s">
        <v>597</v>
      </c>
      <c r="J3" s="1" t="s">
        <v>598</v>
      </c>
      <c r="K3" s="1" t="s">
        <v>599</v>
      </c>
      <c r="L3" s="1" t="s">
        <v>600</v>
      </c>
    </row>
    <row r="4" spans="1:12" ht="15" customHeight="1" x14ac:dyDescent="0.25">
      <c r="A4" s="3" t="s">
        <v>67</v>
      </c>
      <c r="B4" s="3" t="s">
        <v>121</v>
      </c>
      <c r="C4" s="3" t="s">
        <v>122</v>
      </c>
      <c r="D4" s="3" t="s">
        <v>52</v>
      </c>
      <c r="E4" s="7">
        <v>0.72499999999999998</v>
      </c>
      <c r="F4" s="7">
        <v>0.72499999999999998</v>
      </c>
      <c r="G4" s="7">
        <v>0.72499999999999998</v>
      </c>
      <c r="H4" s="7">
        <v>0.72499999999999998</v>
      </c>
      <c r="I4" s="6">
        <f>AVERAGE(E4:H4)</f>
        <v>0.72499999999999998</v>
      </c>
      <c r="J4" s="6">
        <f>MIN(E4:H4)</f>
        <v>0.72499999999999998</v>
      </c>
      <c r="K4" s="6">
        <f t="shared" ref="K4:K41" si="0">MAX(E4:H4)</f>
        <v>0.72499999999999998</v>
      </c>
      <c r="L4" s="2" t="s">
        <v>394</v>
      </c>
    </row>
    <row r="5" spans="1:12" ht="15" customHeight="1" x14ac:dyDescent="0.25">
      <c r="A5" s="3" t="s">
        <v>67</v>
      </c>
      <c r="B5" s="3" t="s">
        <v>133</v>
      </c>
      <c r="C5" s="3" t="s">
        <v>134</v>
      </c>
      <c r="D5" s="3" t="s">
        <v>52</v>
      </c>
      <c r="E5" s="7">
        <v>0.81718292336732146</v>
      </c>
      <c r="F5" s="7">
        <v>0.81718292336732146</v>
      </c>
      <c r="G5" s="7">
        <v>0.81718292336732146</v>
      </c>
      <c r="H5" s="7">
        <v>0.81718292336732146</v>
      </c>
      <c r="I5" s="6">
        <f t="shared" ref="I5:I41" si="1">AVERAGE(E5:H5)</f>
        <v>0.81718292336732146</v>
      </c>
      <c r="J5" s="6">
        <f t="shared" ref="J5:J41" si="2">MIN(E5:H5)</f>
        <v>0.81718292336732146</v>
      </c>
      <c r="K5" s="6">
        <f t="shared" si="0"/>
        <v>0.81718292336732146</v>
      </c>
      <c r="L5" s="2" t="s">
        <v>394</v>
      </c>
    </row>
    <row r="6" spans="1:12" ht="15" customHeight="1" x14ac:dyDescent="0.25">
      <c r="A6" s="3" t="s">
        <v>67</v>
      </c>
      <c r="B6" s="3" t="s">
        <v>138</v>
      </c>
      <c r="C6" s="3" t="s">
        <v>139</v>
      </c>
      <c r="D6" s="3" t="s">
        <v>52</v>
      </c>
      <c r="E6" s="7">
        <v>4.5</v>
      </c>
      <c r="F6" s="7">
        <v>4.5</v>
      </c>
      <c r="G6" s="7">
        <v>4.5</v>
      </c>
      <c r="H6" s="7">
        <v>4.5</v>
      </c>
      <c r="I6" s="6">
        <f t="shared" si="1"/>
        <v>4.5</v>
      </c>
      <c r="J6" s="6">
        <f t="shared" si="2"/>
        <v>4.5</v>
      </c>
      <c r="K6" s="6">
        <f t="shared" si="0"/>
        <v>4.5</v>
      </c>
      <c r="L6" s="2" t="s">
        <v>394</v>
      </c>
    </row>
    <row r="7" spans="1:12" ht="15" customHeight="1" x14ac:dyDescent="0.25">
      <c r="A7" s="3" t="s">
        <v>67</v>
      </c>
      <c r="B7" s="3" t="s">
        <v>147</v>
      </c>
      <c r="C7" s="3" t="s">
        <v>148</v>
      </c>
      <c r="D7" s="3" t="s">
        <v>52</v>
      </c>
      <c r="E7" s="7">
        <v>0.87666571724298115</v>
      </c>
      <c r="F7" s="7">
        <v>0.87666571724298115</v>
      </c>
      <c r="G7" s="7">
        <v>0.87666571724298115</v>
      </c>
      <c r="H7" s="7">
        <v>0.87666571724298115</v>
      </c>
      <c r="I7" s="6">
        <f t="shared" si="1"/>
        <v>0.87666571724298115</v>
      </c>
      <c r="J7" s="6">
        <f t="shared" si="2"/>
        <v>0.87666571724298115</v>
      </c>
      <c r="K7" s="6">
        <f t="shared" si="0"/>
        <v>0.87666571724298115</v>
      </c>
      <c r="L7" s="2" t="s">
        <v>394</v>
      </c>
    </row>
    <row r="8" spans="1:12" ht="15" customHeight="1" x14ac:dyDescent="0.25">
      <c r="A8" s="3" t="s">
        <v>67</v>
      </c>
      <c r="B8" s="3" t="s">
        <v>156</v>
      </c>
      <c r="C8" s="3" t="s">
        <v>157</v>
      </c>
      <c r="D8" s="3" t="s">
        <v>52</v>
      </c>
      <c r="E8" s="7">
        <v>7.0450965952559681</v>
      </c>
      <c r="F8" s="7">
        <v>7.0450965952559681</v>
      </c>
      <c r="G8" s="7">
        <v>7.0450965952559681</v>
      </c>
      <c r="H8" s="7">
        <v>7.0450965952559681</v>
      </c>
      <c r="I8" s="6">
        <f t="shared" si="1"/>
        <v>7.0450965952559681</v>
      </c>
      <c r="J8" s="6">
        <f t="shared" si="2"/>
        <v>7.0450965952559681</v>
      </c>
      <c r="K8" s="6">
        <f t="shared" si="0"/>
        <v>7.0450965952559681</v>
      </c>
      <c r="L8" s="2" t="s">
        <v>394</v>
      </c>
    </row>
    <row r="9" spans="1:12" ht="15" customHeight="1" x14ac:dyDescent="0.25">
      <c r="A9" s="3" t="s">
        <v>67</v>
      </c>
      <c r="B9" s="3" t="s">
        <v>165</v>
      </c>
      <c r="C9" s="3" t="s">
        <v>166</v>
      </c>
      <c r="D9" s="3" t="s">
        <v>52</v>
      </c>
      <c r="E9" s="7">
        <v>1.8398792409504849</v>
      </c>
      <c r="F9" s="7">
        <v>1.8398792409504849</v>
      </c>
      <c r="G9" s="7">
        <v>1.8398792409504849</v>
      </c>
      <c r="H9" s="7">
        <v>1.8398792409504849</v>
      </c>
      <c r="I9" s="6">
        <f t="shared" si="1"/>
        <v>1.8398792409504849</v>
      </c>
      <c r="J9" s="6">
        <f t="shared" si="2"/>
        <v>1.8398792409504849</v>
      </c>
      <c r="K9" s="6">
        <f t="shared" si="0"/>
        <v>1.8398792409504849</v>
      </c>
      <c r="L9" s="2" t="s">
        <v>394</v>
      </c>
    </row>
    <row r="10" spans="1:12" ht="15" customHeight="1" x14ac:dyDescent="0.25">
      <c r="A10" s="3" t="s">
        <v>76</v>
      </c>
      <c r="B10" s="3" t="s">
        <v>171</v>
      </c>
      <c r="C10" s="3" t="s">
        <v>172</v>
      </c>
      <c r="D10" s="3" t="s">
        <v>36</v>
      </c>
      <c r="E10" s="7">
        <v>0.97499999999999998</v>
      </c>
      <c r="F10" s="7">
        <v>1</v>
      </c>
      <c r="G10" s="7">
        <v>1</v>
      </c>
      <c r="H10" s="7">
        <v>1</v>
      </c>
      <c r="I10" s="6">
        <f t="shared" si="1"/>
        <v>0.99375000000000002</v>
      </c>
      <c r="J10" s="6">
        <f t="shared" si="2"/>
        <v>0.97499999999999998</v>
      </c>
      <c r="K10" s="6">
        <f t="shared" si="0"/>
        <v>1</v>
      </c>
      <c r="L10" s="2" t="s">
        <v>403</v>
      </c>
    </row>
    <row r="11" spans="1:12" ht="15" customHeight="1" x14ac:dyDescent="0.25">
      <c r="A11" s="3" t="s">
        <v>76</v>
      </c>
      <c r="B11" s="3" t="s">
        <v>179</v>
      </c>
      <c r="C11" s="3" t="s">
        <v>180</v>
      </c>
      <c r="D11" s="3" t="s">
        <v>36</v>
      </c>
      <c r="E11" s="7">
        <v>0.96185573301246652</v>
      </c>
      <c r="F11" s="7">
        <v>1</v>
      </c>
      <c r="G11" s="7">
        <v>1</v>
      </c>
      <c r="H11" s="7">
        <v>1</v>
      </c>
      <c r="I11" s="6">
        <f t="shared" si="1"/>
        <v>0.99046393325311666</v>
      </c>
      <c r="J11" s="6">
        <f t="shared" si="2"/>
        <v>0.96185573301246652</v>
      </c>
      <c r="K11" s="6">
        <f t="shared" si="0"/>
        <v>1</v>
      </c>
      <c r="L11" s="2" t="s">
        <v>404</v>
      </c>
    </row>
    <row r="12" spans="1:12" ht="15" customHeight="1" x14ac:dyDescent="0.25">
      <c r="A12" s="3" t="s">
        <v>76</v>
      </c>
      <c r="B12" s="3" t="s">
        <v>184</v>
      </c>
      <c r="C12" s="3" t="s">
        <v>185</v>
      </c>
      <c r="D12" s="3" t="s">
        <v>36</v>
      </c>
      <c r="E12" s="7">
        <v>8.6214363692150298E-2</v>
      </c>
      <c r="F12" s="7">
        <v>1</v>
      </c>
      <c r="G12" s="7">
        <v>1</v>
      </c>
      <c r="H12" s="7">
        <v>1</v>
      </c>
      <c r="I12" s="6">
        <f t="shared" si="1"/>
        <v>0.77155359092303755</v>
      </c>
      <c r="J12" s="6">
        <f t="shared" si="2"/>
        <v>8.6214363692150298E-2</v>
      </c>
      <c r="K12" s="6">
        <f t="shared" si="0"/>
        <v>1</v>
      </c>
      <c r="L12" s="2" t="s">
        <v>405</v>
      </c>
    </row>
    <row r="13" spans="1:12" ht="15" customHeight="1" x14ac:dyDescent="0.25">
      <c r="A13" s="3" t="s">
        <v>76</v>
      </c>
      <c r="B13" s="3" t="s">
        <v>190</v>
      </c>
      <c r="C13" s="3" t="s">
        <v>191</v>
      </c>
      <c r="D13" s="3" t="s">
        <v>36</v>
      </c>
      <c r="E13" s="7">
        <v>0.33333333333333331</v>
      </c>
      <c r="F13" s="7">
        <v>1</v>
      </c>
      <c r="G13" s="7">
        <v>1</v>
      </c>
      <c r="H13" s="7">
        <v>1</v>
      </c>
      <c r="I13" s="6">
        <f t="shared" si="1"/>
        <v>0.83333333333333326</v>
      </c>
      <c r="J13" s="6">
        <f t="shared" si="2"/>
        <v>0.33333333333333331</v>
      </c>
      <c r="K13" s="6">
        <f t="shared" si="0"/>
        <v>1</v>
      </c>
      <c r="L13" s="2" t="s">
        <v>406</v>
      </c>
    </row>
    <row r="14" spans="1:12" ht="15" customHeight="1" x14ac:dyDescent="0.25">
      <c r="A14" s="3" t="s">
        <v>76</v>
      </c>
      <c r="B14" s="3" t="s">
        <v>196</v>
      </c>
      <c r="C14" s="3" t="s">
        <v>197</v>
      </c>
      <c r="D14" s="3" t="s">
        <v>36</v>
      </c>
      <c r="E14" s="7">
        <v>0</v>
      </c>
      <c r="F14" s="7">
        <v>0</v>
      </c>
      <c r="G14" s="7">
        <v>0</v>
      </c>
      <c r="H14" s="7">
        <v>0</v>
      </c>
      <c r="I14" s="6">
        <f t="shared" si="1"/>
        <v>0</v>
      </c>
      <c r="J14" s="6">
        <f t="shared" si="2"/>
        <v>0</v>
      </c>
      <c r="K14" s="6">
        <f t="shared" si="0"/>
        <v>0</v>
      </c>
      <c r="L14" s="2" t="s">
        <v>407</v>
      </c>
    </row>
    <row r="15" spans="1:12" ht="15" customHeight="1" x14ac:dyDescent="0.25">
      <c r="A15" s="3" t="s">
        <v>82</v>
      </c>
      <c r="B15" s="3" t="s">
        <v>202</v>
      </c>
      <c r="C15" s="3" t="s">
        <v>203</v>
      </c>
      <c r="D15" s="3" t="s">
        <v>36</v>
      </c>
      <c r="E15" s="7">
        <v>0.98159819383548208</v>
      </c>
      <c r="F15" s="7">
        <v>0.9822254237288135</v>
      </c>
      <c r="G15" s="7">
        <v>0.98206720109940449</v>
      </c>
      <c r="H15" s="7">
        <v>0.98200435180943657</v>
      </c>
      <c r="I15" s="6">
        <f t="shared" si="1"/>
        <v>0.9819737926182841</v>
      </c>
      <c r="J15" s="6">
        <f t="shared" si="2"/>
        <v>0.98159819383548208</v>
      </c>
      <c r="K15" s="6">
        <f t="shared" si="0"/>
        <v>0.9822254237288135</v>
      </c>
      <c r="L15" s="2" t="s">
        <v>410</v>
      </c>
    </row>
    <row r="16" spans="1:12" ht="15" customHeight="1" x14ac:dyDescent="0.25">
      <c r="A16" s="3" t="s">
        <v>82</v>
      </c>
      <c r="B16" s="3" t="s">
        <v>210</v>
      </c>
      <c r="C16" s="3" t="s">
        <v>211</v>
      </c>
      <c r="D16" s="3" t="s">
        <v>36</v>
      </c>
      <c r="E16" s="7">
        <v>0.95429852320675101</v>
      </c>
      <c r="F16" s="7">
        <v>0.95719936708860764</v>
      </c>
      <c r="G16" s="7">
        <v>0.96263185654008443</v>
      </c>
      <c r="H16" s="7">
        <v>0.96032436708860769</v>
      </c>
      <c r="I16" s="6">
        <f t="shared" si="1"/>
        <v>0.95861352848101267</v>
      </c>
      <c r="J16" s="6">
        <f t="shared" si="2"/>
        <v>0.95429852320675101</v>
      </c>
      <c r="K16" s="6">
        <f t="shared" si="0"/>
        <v>0.96263185654008443</v>
      </c>
      <c r="L16" s="2" t="s">
        <v>410</v>
      </c>
    </row>
    <row r="17" spans="1:12" ht="15" customHeight="1" x14ac:dyDescent="0.25">
      <c r="A17" s="3" t="s">
        <v>82</v>
      </c>
      <c r="B17" s="3" t="s">
        <v>215</v>
      </c>
      <c r="C17" s="3" t="s">
        <v>216</v>
      </c>
      <c r="D17" s="3" t="s">
        <v>36</v>
      </c>
      <c r="E17" s="7">
        <v>0.41449666287326004</v>
      </c>
      <c r="F17" s="7">
        <v>0.39084250534545983</v>
      </c>
      <c r="G17" s="7">
        <v>0.39065088077661558</v>
      </c>
      <c r="H17" s="7">
        <v>0.39561588593458269</v>
      </c>
      <c r="I17" s="6">
        <f t="shared" si="1"/>
        <v>0.39790148373247952</v>
      </c>
      <c r="J17" s="6">
        <f t="shared" si="2"/>
        <v>0.39065088077661558</v>
      </c>
      <c r="K17" s="6">
        <f t="shared" si="0"/>
        <v>0.41449666287326004</v>
      </c>
      <c r="L17" s="2" t="s">
        <v>410</v>
      </c>
    </row>
    <row r="18" spans="1:12" ht="15" customHeight="1" x14ac:dyDescent="0.25">
      <c r="A18" s="3" t="s">
        <v>82</v>
      </c>
      <c r="B18" s="3" t="s">
        <v>222</v>
      </c>
      <c r="C18" s="3" t="s">
        <v>223</v>
      </c>
      <c r="D18" s="3" t="s">
        <v>36</v>
      </c>
      <c r="E18" s="7">
        <v>0.34489200538706505</v>
      </c>
      <c r="F18" s="7">
        <v>0.34259933480827687</v>
      </c>
      <c r="G18" s="7">
        <v>0.34566311347891582</v>
      </c>
      <c r="H18" s="7">
        <v>0.34385934253533534</v>
      </c>
      <c r="I18" s="6">
        <f t="shared" si="1"/>
        <v>0.3442534490523983</v>
      </c>
      <c r="J18" s="6">
        <f t="shared" si="2"/>
        <v>0.34259933480827687</v>
      </c>
      <c r="K18" s="6">
        <f t="shared" si="0"/>
        <v>0.34566311347891582</v>
      </c>
      <c r="L18" s="2" t="s">
        <v>410</v>
      </c>
    </row>
    <row r="19" spans="1:12" ht="15" customHeight="1" x14ac:dyDescent="0.25">
      <c r="A19" s="3" t="s">
        <v>82</v>
      </c>
      <c r="B19" s="3" t="s">
        <v>227</v>
      </c>
      <c r="C19" s="3" t="s">
        <v>228</v>
      </c>
      <c r="D19" s="3" t="s">
        <v>36</v>
      </c>
      <c r="E19" s="7">
        <v>0.43355049179436123</v>
      </c>
      <c r="F19" s="7">
        <v>0.43320896150205862</v>
      </c>
      <c r="G19" s="7">
        <v>0.43556098592906772</v>
      </c>
      <c r="H19" s="7">
        <v>0.42810991236264906</v>
      </c>
      <c r="I19" s="6">
        <f t="shared" si="1"/>
        <v>0.43260758789703413</v>
      </c>
      <c r="J19" s="6">
        <f t="shared" si="2"/>
        <v>0.42810991236264906</v>
      </c>
      <c r="K19" s="6">
        <f t="shared" si="0"/>
        <v>0.43556098592906772</v>
      </c>
      <c r="L19" s="2" t="s">
        <v>410</v>
      </c>
    </row>
    <row r="20" spans="1:12" x14ac:dyDescent="0.25">
      <c r="A20" s="3" t="s">
        <v>87</v>
      </c>
      <c r="B20" s="3" t="s">
        <v>232</v>
      </c>
      <c r="C20" s="3" t="s">
        <v>233</v>
      </c>
      <c r="D20" s="3" t="s">
        <v>52</v>
      </c>
      <c r="E20" s="7">
        <v>1041.7706584759974</v>
      </c>
      <c r="F20" s="7">
        <v>1041.7706584759974</v>
      </c>
      <c r="G20" s="7">
        <v>1041.7706584759974</v>
      </c>
      <c r="H20" s="7">
        <v>1041.7706584759974</v>
      </c>
      <c r="I20" s="6">
        <f t="shared" si="1"/>
        <v>1041.7706584759974</v>
      </c>
      <c r="J20" s="6">
        <f t="shared" si="2"/>
        <v>1041.7706584759974</v>
      </c>
      <c r="K20" s="6">
        <f t="shared" si="0"/>
        <v>1041.7706584759974</v>
      </c>
      <c r="L20" s="2" t="s">
        <v>412</v>
      </c>
    </row>
    <row r="21" spans="1:12" x14ac:dyDescent="0.25">
      <c r="A21" s="3" t="s">
        <v>87</v>
      </c>
      <c r="B21" s="3" t="s">
        <v>241</v>
      </c>
      <c r="C21" s="3" t="s">
        <v>242</v>
      </c>
      <c r="D21" s="3" t="s">
        <v>52</v>
      </c>
      <c r="E21" s="7">
        <v>0.22960575375370904</v>
      </c>
      <c r="F21" s="7">
        <v>0.22960575375370904</v>
      </c>
      <c r="G21" s="7">
        <v>0.22960575375370904</v>
      </c>
      <c r="H21" s="7">
        <v>0.22960575375370904</v>
      </c>
      <c r="I21" s="6">
        <f t="shared" si="1"/>
        <v>0.22960575375370904</v>
      </c>
      <c r="J21" s="6">
        <f t="shared" si="2"/>
        <v>0.22960575375370904</v>
      </c>
      <c r="K21" s="6">
        <f t="shared" si="0"/>
        <v>0.22960575375370904</v>
      </c>
      <c r="L21" s="2" t="s">
        <v>412</v>
      </c>
    </row>
    <row r="22" spans="1:12" x14ac:dyDescent="0.25">
      <c r="A22" s="3" t="s">
        <v>87</v>
      </c>
      <c r="B22" s="3" t="s">
        <v>247</v>
      </c>
      <c r="C22" s="3" t="s">
        <v>248</v>
      </c>
      <c r="D22" s="3" t="s">
        <v>52</v>
      </c>
      <c r="E22" s="7">
        <v>0.21587532967923723</v>
      </c>
      <c r="F22" s="7">
        <v>0.21587532967923723</v>
      </c>
      <c r="G22" s="7">
        <v>0.21587532967923723</v>
      </c>
      <c r="H22" s="7">
        <v>0.21587532967923723</v>
      </c>
      <c r="I22" s="6">
        <f t="shared" si="1"/>
        <v>0.21587532967923723</v>
      </c>
      <c r="J22" s="6">
        <f t="shared" si="2"/>
        <v>0.21587532967923723</v>
      </c>
      <c r="K22" s="6">
        <f t="shared" si="0"/>
        <v>0.21587532967923723</v>
      </c>
      <c r="L22" s="2" t="s">
        <v>412</v>
      </c>
    </row>
    <row r="23" spans="1:12" x14ac:dyDescent="0.25">
      <c r="A23" s="3" t="s">
        <v>87</v>
      </c>
      <c r="B23" s="3" t="s">
        <v>253</v>
      </c>
      <c r="C23" s="3" t="s">
        <v>254</v>
      </c>
      <c r="D23" s="3" t="s">
        <v>52</v>
      </c>
      <c r="E23" s="7">
        <v>125.02781052037633</v>
      </c>
      <c r="F23" s="7">
        <v>125.02781052037633</v>
      </c>
      <c r="G23" s="7">
        <v>125.02781052037633</v>
      </c>
      <c r="H23" s="7">
        <v>125.02781052037633</v>
      </c>
      <c r="I23" s="6">
        <f t="shared" si="1"/>
        <v>125.02781052037633</v>
      </c>
      <c r="J23" s="6">
        <f t="shared" si="2"/>
        <v>125.02781052037633</v>
      </c>
      <c r="K23" s="6">
        <f t="shared" si="0"/>
        <v>125.02781052037633</v>
      </c>
      <c r="L23" s="2" t="s">
        <v>412</v>
      </c>
    </row>
    <row r="24" spans="1:12" x14ac:dyDescent="0.25">
      <c r="A24" s="3" t="s">
        <v>87</v>
      </c>
      <c r="B24" s="3" t="s">
        <v>261</v>
      </c>
      <c r="C24" s="3" t="s">
        <v>262</v>
      </c>
      <c r="D24" s="3" t="s">
        <v>52</v>
      </c>
      <c r="E24" s="7">
        <v>2.7269710024471028E-2</v>
      </c>
      <c r="F24" s="7">
        <v>2.7269710024471028E-2</v>
      </c>
      <c r="G24" s="7">
        <v>2.7269710024471028E-2</v>
      </c>
      <c r="H24" s="7">
        <v>2.7269710024471028E-2</v>
      </c>
      <c r="I24" s="6">
        <f t="shared" si="1"/>
        <v>2.7269710024471028E-2</v>
      </c>
      <c r="J24" s="6">
        <f t="shared" si="2"/>
        <v>2.7269710024471028E-2</v>
      </c>
      <c r="K24" s="6">
        <f t="shared" si="0"/>
        <v>2.7269710024471028E-2</v>
      </c>
      <c r="L24" s="2" t="s">
        <v>412</v>
      </c>
    </row>
    <row r="25" spans="1:12" x14ac:dyDescent="0.25">
      <c r="A25" s="3" t="s">
        <v>87</v>
      </c>
      <c r="B25" s="3" t="s">
        <v>267</v>
      </c>
      <c r="C25" s="3" t="s">
        <v>268</v>
      </c>
      <c r="D25" s="3" t="s">
        <v>52</v>
      </c>
      <c r="E25" s="7">
        <v>2.5638981365007658E-2</v>
      </c>
      <c r="F25" s="7">
        <v>2.5638981365007658E-2</v>
      </c>
      <c r="G25" s="7">
        <v>2.5638981365007658E-2</v>
      </c>
      <c r="H25" s="7">
        <v>2.5638981365007658E-2</v>
      </c>
      <c r="I25" s="6">
        <f t="shared" si="1"/>
        <v>2.5638981365007658E-2</v>
      </c>
      <c r="J25" s="6">
        <f t="shared" si="2"/>
        <v>2.5638981365007658E-2</v>
      </c>
      <c r="K25" s="6">
        <f t="shared" si="0"/>
        <v>2.5638981365007658E-2</v>
      </c>
      <c r="L25" s="2" t="s">
        <v>412</v>
      </c>
    </row>
    <row r="26" spans="1:12" x14ac:dyDescent="0.25">
      <c r="A26" s="3" t="s">
        <v>87</v>
      </c>
      <c r="B26" s="3" t="s">
        <v>272</v>
      </c>
      <c r="C26" s="3" t="s">
        <v>273</v>
      </c>
      <c r="D26" s="3" t="s">
        <v>52</v>
      </c>
      <c r="E26" s="7">
        <v>9.2583037616575589E-2</v>
      </c>
      <c r="F26" s="7">
        <v>9.2583037616575589E-2</v>
      </c>
      <c r="G26" s="7">
        <v>9.2583037616575589E-2</v>
      </c>
      <c r="H26" s="7">
        <v>9.2583037616575589E-2</v>
      </c>
      <c r="I26" s="6">
        <f t="shared" si="1"/>
        <v>9.2583037616575589E-2</v>
      </c>
      <c r="J26" s="6">
        <f t="shared" si="2"/>
        <v>9.2583037616575589E-2</v>
      </c>
      <c r="K26" s="6">
        <f t="shared" si="0"/>
        <v>9.2583037616575589E-2</v>
      </c>
      <c r="L26" s="2" t="s">
        <v>419</v>
      </c>
    </row>
    <row r="27" spans="1:12" x14ac:dyDescent="0.25">
      <c r="A27" s="3" t="s">
        <v>87</v>
      </c>
      <c r="B27" s="3" t="s">
        <v>281</v>
      </c>
      <c r="C27" s="3" t="s">
        <v>282</v>
      </c>
      <c r="D27" s="3" t="s">
        <v>52</v>
      </c>
      <c r="E27" s="7">
        <v>0.80611897953339418</v>
      </c>
      <c r="F27" s="7">
        <v>0.80611897953339418</v>
      </c>
      <c r="G27" s="7">
        <v>0.80611897953339418</v>
      </c>
      <c r="H27" s="7">
        <v>0.80611897953339418</v>
      </c>
      <c r="I27" s="6">
        <f t="shared" si="1"/>
        <v>0.80611897953339418</v>
      </c>
      <c r="J27" s="6">
        <f t="shared" si="2"/>
        <v>0.80611897953339418</v>
      </c>
      <c r="K27" s="6">
        <f t="shared" si="0"/>
        <v>0.80611897953339418</v>
      </c>
      <c r="L27" s="2" t="s">
        <v>412</v>
      </c>
    </row>
    <row r="28" spans="1:12" x14ac:dyDescent="0.25">
      <c r="A28" s="3" t="s">
        <v>93</v>
      </c>
      <c r="B28" s="3" t="s">
        <v>287</v>
      </c>
      <c r="C28" s="3" t="s">
        <v>288</v>
      </c>
      <c r="D28" s="3" t="s">
        <v>36</v>
      </c>
      <c r="E28" s="7">
        <v>518.69724409908804</v>
      </c>
      <c r="F28" s="7">
        <v>429.58563181624248</v>
      </c>
      <c r="G28" s="7">
        <v>476.50427150445677</v>
      </c>
      <c r="H28" s="7">
        <v>394.73147673804573</v>
      </c>
      <c r="I28" s="6">
        <f t="shared" si="1"/>
        <v>454.87965603945827</v>
      </c>
      <c r="J28" s="6">
        <f t="shared" si="2"/>
        <v>394.73147673804573</v>
      </c>
      <c r="K28" s="6">
        <f t="shared" si="0"/>
        <v>518.69724409908804</v>
      </c>
      <c r="L28" s="2" t="s">
        <v>421</v>
      </c>
    </row>
    <row r="29" spans="1:12" x14ac:dyDescent="0.25">
      <c r="A29" s="3" t="s">
        <v>93</v>
      </c>
      <c r="B29" s="3" t="s">
        <v>294</v>
      </c>
      <c r="C29" s="3" t="s">
        <v>295</v>
      </c>
      <c r="D29" s="3" t="s">
        <v>36</v>
      </c>
      <c r="E29" s="7">
        <v>0.33773208295289525</v>
      </c>
      <c r="F29" s="7">
        <v>0.33755007537539428</v>
      </c>
      <c r="G29" s="7">
        <v>0.35567446646304046</v>
      </c>
      <c r="H29" s="7">
        <v>0.35543526571077394</v>
      </c>
      <c r="I29" s="6">
        <f t="shared" si="1"/>
        <v>0.346597972625526</v>
      </c>
      <c r="J29" s="6">
        <f t="shared" si="2"/>
        <v>0.33755007537539428</v>
      </c>
      <c r="K29" s="6">
        <f t="shared" si="0"/>
        <v>0.35567446646304046</v>
      </c>
      <c r="L29" s="2" t="s">
        <v>421</v>
      </c>
    </row>
    <row r="30" spans="1:12" x14ac:dyDescent="0.25">
      <c r="A30" s="3" t="s">
        <v>93</v>
      </c>
      <c r="B30" s="3" t="s">
        <v>299</v>
      </c>
      <c r="C30" s="3" t="s">
        <v>300</v>
      </c>
      <c r="D30" s="3" t="s">
        <v>36</v>
      </c>
      <c r="E30" s="7">
        <v>9.0615316337890578E-2</v>
      </c>
      <c r="F30" s="7">
        <v>9.0615316337890578E-2</v>
      </c>
      <c r="G30" s="7">
        <v>9.0615316337890578E-2</v>
      </c>
      <c r="H30" s="7">
        <v>9.0615316337890578E-2</v>
      </c>
      <c r="I30" s="6">
        <f t="shared" si="1"/>
        <v>9.0615316337890578E-2</v>
      </c>
      <c r="J30" s="6">
        <f t="shared" si="2"/>
        <v>9.0615316337890578E-2</v>
      </c>
      <c r="K30" s="6">
        <f t="shared" si="0"/>
        <v>9.0615316337890578E-2</v>
      </c>
      <c r="L30" s="2" t="s">
        <v>421</v>
      </c>
    </row>
    <row r="31" spans="1:12" x14ac:dyDescent="0.25">
      <c r="A31" s="3" t="s">
        <v>93</v>
      </c>
      <c r="B31" s="3" t="s">
        <v>304</v>
      </c>
      <c r="C31" s="3" t="s">
        <v>305</v>
      </c>
      <c r="D31" s="3" t="s">
        <v>310</v>
      </c>
      <c r="E31" s="7">
        <v>1.0982335323190271</v>
      </c>
      <c r="F31" s="7">
        <v>0.91611649686461649</v>
      </c>
      <c r="G31" s="7">
        <v>1.0982335323190271</v>
      </c>
      <c r="H31" s="7">
        <v>0.91611649686461649</v>
      </c>
      <c r="I31" s="6">
        <f t="shared" si="1"/>
        <v>1.0071750145918217</v>
      </c>
      <c r="J31" s="6">
        <f t="shared" si="2"/>
        <v>0.91611649686461649</v>
      </c>
      <c r="K31" s="6">
        <f t="shared" si="0"/>
        <v>1.0982335323190271</v>
      </c>
      <c r="L31" s="2" t="s">
        <v>421</v>
      </c>
    </row>
    <row r="32" spans="1:12" x14ac:dyDescent="0.25">
      <c r="A32" s="3" t="s">
        <v>93</v>
      </c>
      <c r="B32" s="3" t="s">
        <v>312</v>
      </c>
      <c r="C32" s="3" t="s">
        <v>313</v>
      </c>
      <c r="D32" s="3" t="s">
        <v>52</v>
      </c>
      <c r="E32" s="7">
        <v>0.56628899075120642</v>
      </c>
      <c r="F32" s="7">
        <v>0.56628899075120642</v>
      </c>
      <c r="G32" s="7">
        <v>0.56628899075120642</v>
      </c>
      <c r="H32" s="7">
        <v>0.56628899075120642</v>
      </c>
      <c r="I32" s="6">
        <f t="shared" si="1"/>
        <v>0.56628899075120642</v>
      </c>
      <c r="J32" s="6">
        <f t="shared" si="2"/>
        <v>0.56628899075120642</v>
      </c>
      <c r="K32" s="6">
        <f t="shared" si="0"/>
        <v>0.56628899075120642</v>
      </c>
      <c r="L32" s="2" t="s">
        <v>421</v>
      </c>
    </row>
    <row r="33" spans="1:12" x14ac:dyDescent="0.25">
      <c r="A33" s="3" t="s">
        <v>93</v>
      </c>
      <c r="B33" s="3" t="s">
        <v>317</v>
      </c>
      <c r="C33" s="3" t="s">
        <v>318</v>
      </c>
      <c r="D33" s="3" t="s">
        <v>52</v>
      </c>
      <c r="E33" s="7">
        <v>0.54884268983162765</v>
      </c>
      <c r="F33" s="7">
        <v>0.54884268983162765</v>
      </c>
      <c r="G33" s="7">
        <v>0.54884268983162765</v>
      </c>
      <c r="H33" s="7">
        <v>0.54884268983162765</v>
      </c>
      <c r="I33" s="6">
        <f t="shared" si="1"/>
        <v>0.54884268983162765</v>
      </c>
      <c r="J33" s="6">
        <f t="shared" si="2"/>
        <v>0.54884268983162765</v>
      </c>
      <c r="K33" s="6">
        <f t="shared" si="0"/>
        <v>0.54884268983162765</v>
      </c>
      <c r="L33" s="2" t="s">
        <v>421</v>
      </c>
    </row>
    <row r="34" spans="1:12" x14ac:dyDescent="0.25">
      <c r="A34" s="3" t="s">
        <v>93</v>
      </c>
      <c r="B34" s="3" t="s">
        <v>323</v>
      </c>
      <c r="C34" s="3" t="s">
        <v>324</v>
      </c>
      <c r="D34" s="3" t="s">
        <v>52</v>
      </c>
      <c r="E34" s="7">
        <v>0.19744236000046361</v>
      </c>
      <c r="F34" s="7">
        <v>0.19744236000046361</v>
      </c>
      <c r="G34" s="7">
        <v>0.19744236000046361</v>
      </c>
      <c r="H34" s="7">
        <v>0.19744236000046361</v>
      </c>
      <c r="I34" s="6">
        <f t="shared" si="1"/>
        <v>0.19744236000046361</v>
      </c>
      <c r="J34" s="6">
        <f t="shared" si="2"/>
        <v>0.19744236000046361</v>
      </c>
      <c r="K34" s="6">
        <f t="shared" si="0"/>
        <v>0.19744236000046361</v>
      </c>
      <c r="L34" s="2" t="s">
        <v>421</v>
      </c>
    </row>
    <row r="35" spans="1:12" x14ac:dyDescent="0.25">
      <c r="A35" s="3" t="s">
        <v>93</v>
      </c>
      <c r="B35" s="3" t="s">
        <v>328</v>
      </c>
      <c r="C35" s="3" t="s">
        <v>329</v>
      </c>
      <c r="D35" s="3" t="s">
        <v>52</v>
      </c>
      <c r="E35" s="7">
        <v>67.9146412605797</v>
      </c>
      <c r="F35" s="7">
        <v>67.9146412605797</v>
      </c>
      <c r="G35" s="7">
        <v>67.9146412605797</v>
      </c>
      <c r="H35" s="7">
        <v>67.9146412605797</v>
      </c>
      <c r="I35" s="6">
        <f t="shared" si="1"/>
        <v>67.9146412605797</v>
      </c>
      <c r="J35" s="6">
        <f t="shared" si="2"/>
        <v>67.9146412605797</v>
      </c>
      <c r="K35" s="6">
        <f t="shared" si="0"/>
        <v>67.9146412605797</v>
      </c>
      <c r="L35" s="2" t="s">
        <v>421</v>
      </c>
    </row>
    <row r="36" spans="1:12" x14ac:dyDescent="0.25">
      <c r="A36" s="3" t="s">
        <v>93</v>
      </c>
      <c r="B36" s="3" t="s">
        <v>335</v>
      </c>
      <c r="C36" s="3" t="s">
        <v>336</v>
      </c>
      <c r="D36" s="3" t="s">
        <v>52</v>
      </c>
      <c r="E36" s="7">
        <v>0.41686880937942183</v>
      </c>
      <c r="F36" s="7">
        <v>0.41686880937942183</v>
      </c>
      <c r="G36" s="7">
        <v>0.41686880937942183</v>
      </c>
      <c r="H36" s="7">
        <v>0.41686880937942183</v>
      </c>
      <c r="I36" s="6">
        <f t="shared" si="1"/>
        <v>0.41686880937942183</v>
      </c>
      <c r="J36" s="6">
        <f t="shared" si="2"/>
        <v>0.41686880937942183</v>
      </c>
      <c r="K36" s="6">
        <f t="shared" si="0"/>
        <v>0.41686880937942183</v>
      </c>
      <c r="L36" s="2" t="s">
        <v>423</v>
      </c>
    </row>
    <row r="37" spans="1:12" x14ac:dyDescent="0.25">
      <c r="A37" s="3" t="s">
        <v>93</v>
      </c>
      <c r="B37" s="3" t="s">
        <v>342</v>
      </c>
      <c r="C37" s="3" t="s">
        <v>343</v>
      </c>
      <c r="D37" s="3" t="s">
        <v>52</v>
      </c>
      <c r="E37" s="7">
        <v>0.9681647521388449</v>
      </c>
      <c r="F37" s="7">
        <v>0.9681647521388449</v>
      </c>
      <c r="G37" s="7">
        <v>0.9681647521388449</v>
      </c>
      <c r="H37" s="7">
        <v>0.9681647521388449</v>
      </c>
      <c r="I37" s="6">
        <f t="shared" si="1"/>
        <v>0.9681647521388449</v>
      </c>
      <c r="J37" s="6">
        <f t="shared" si="2"/>
        <v>0.9681647521388449</v>
      </c>
      <c r="K37" s="6">
        <f t="shared" si="0"/>
        <v>0.9681647521388449</v>
      </c>
      <c r="L37" s="2" t="s">
        <v>421</v>
      </c>
    </row>
    <row r="38" spans="1:12" ht="30" x14ac:dyDescent="0.25">
      <c r="A38" s="3" t="s">
        <v>99</v>
      </c>
      <c r="B38" s="3" t="s">
        <v>347</v>
      </c>
      <c r="C38" s="3" t="s">
        <v>348</v>
      </c>
      <c r="D38" s="3" t="s">
        <v>52</v>
      </c>
      <c r="E38" s="7">
        <v>0.8125</v>
      </c>
      <c r="F38" s="7">
        <v>0.8125</v>
      </c>
      <c r="G38" s="7">
        <v>0.8125</v>
      </c>
      <c r="H38" s="7">
        <v>0.8125</v>
      </c>
      <c r="I38" s="6">
        <f t="shared" si="1"/>
        <v>0.8125</v>
      </c>
      <c r="J38" s="6">
        <f t="shared" si="2"/>
        <v>0.8125</v>
      </c>
      <c r="K38" s="6">
        <f t="shared" si="0"/>
        <v>0.8125</v>
      </c>
      <c r="L38" s="2" t="s">
        <v>425</v>
      </c>
    </row>
    <row r="39" spans="1:12" x14ac:dyDescent="0.25">
      <c r="A39" s="3" t="s">
        <v>99</v>
      </c>
      <c r="B39" s="3" t="s">
        <v>356</v>
      </c>
      <c r="C39" s="3" t="s">
        <v>357</v>
      </c>
      <c r="D39" s="3" t="s">
        <v>52</v>
      </c>
      <c r="E39" s="7">
        <v>0.625</v>
      </c>
      <c r="F39" s="7">
        <v>0.625</v>
      </c>
      <c r="G39" s="7">
        <v>0.625</v>
      </c>
      <c r="H39" s="7">
        <v>0.625</v>
      </c>
      <c r="I39" s="6">
        <f t="shared" si="1"/>
        <v>0.625</v>
      </c>
      <c r="J39" s="6">
        <f t="shared" si="2"/>
        <v>0.625</v>
      </c>
      <c r="K39" s="6">
        <f t="shared" si="0"/>
        <v>0.625</v>
      </c>
      <c r="L39" s="2" t="s">
        <v>425</v>
      </c>
    </row>
    <row r="40" spans="1:12" ht="30" x14ac:dyDescent="0.25">
      <c r="A40" s="3" t="s">
        <v>99</v>
      </c>
      <c r="B40" s="3" t="s">
        <v>362</v>
      </c>
      <c r="C40" s="3" t="s">
        <v>363</v>
      </c>
      <c r="D40" s="3" t="s">
        <v>52</v>
      </c>
      <c r="E40" s="7">
        <v>0.5</v>
      </c>
      <c r="F40" s="7">
        <v>0.5</v>
      </c>
      <c r="G40" s="7">
        <v>0.5</v>
      </c>
      <c r="H40" s="7">
        <v>0.5</v>
      </c>
      <c r="I40" s="6">
        <f t="shared" si="1"/>
        <v>0.5</v>
      </c>
      <c r="J40" s="6">
        <f t="shared" si="2"/>
        <v>0.5</v>
      </c>
      <c r="K40" s="6">
        <f t="shared" si="0"/>
        <v>0.5</v>
      </c>
      <c r="L40" s="2" t="s">
        <v>425</v>
      </c>
    </row>
    <row r="41" spans="1:12" x14ac:dyDescent="0.25">
      <c r="A41" s="3" t="s">
        <v>99</v>
      </c>
      <c r="B41" s="3" t="s">
        <v>368</v>
      </c>
      <c r="C41" s="3" t="s">
        <v>369</v>
      </c>
      <c r="D41" s="3" t="s">
        <v>52</v>
      </c>
      <c r="E41" s="7">
        <v>0.4375</v>
      </c>
      <c r="F41" s="7">
        <v>0.4375</v>
      </c>
      <c r="G41" s="7">
        <v>0.4375</v>
      </c>
      <c r="H41" s="7">
        <v>0.4375</v>
      </c>
      <c r="I41" s="6">
        <f t="shared" si="1"/>
        <v>0.4375</v>
      </c>
      <c r="J41" s="6">
        <f t="shared" si="2"/>
        <v>0.4375</v>
      </c>
      <c r="K41" s="6">
        <f t="shared" si="0"/>
        <v>0.4375</v>
      </c>
      <c r="L41" s="2" t="s">
        <v>425</v>
      </c>
    </row>
  </sheetData>
  <mergeCells count="1">
    <mergeCell ref="A1:L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1"/>
  <sheetViews>
    <sheetView showGridLines="0" topLeftCell="E17" workbookViewId="0">
      <selection activeCell="U10" sqref="U10"/>
    </sheetView>
  </sheetViews>
  <sheetFormatPr defaultRowHeight="15" x14ac:dyDescent="0.25"/>
  <cols>
    <col min="1" max="2" width="12" customWidth="1"/>
    <col min="3" max="3" width="36" customWidth="1"/>
    <col min="4" max="6" width="20" customWidth="1"/>
    <col min="7" max="17" width="15" customWidth="1"/>
  </cols>
  <sheetData>
    <row r="1" spans="1:17" ht="27" customHeight="1" x14ac:dyDescent="0.25">
      <c r="A1" s="10" t="s">
        <v>601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3" spans="1:17" ht="30" x14ac:dyDescent="0.25">
      <c r="A3" s="1" t="s">
        <v>60</v>
      </c>
      <c r="B3" s="1" t="s">
        <v>105</v>
      </c>
      <c r="C3" s="1" t="s">
        <v>106</v>
      </c>
      <c r="D3" s="1" t="s">
        <v>602</v>
      </c>
      <c r="E3" s="1" t="s">
        <v>375</v>
      </c>
      <c r="F3" s="1" t="s">
        <v>108</v>
      </c>
      <c r="G3" s="1" t="s">
        <v>387</v>
      </c>
      <c r="H3" s="1" t="s">
        <v>376</v>
      </c>
      <c r="I3" s="1" t="s">
        <v>377</v>
      </c>
      <c r="J3" s="1" t="s">
        <v>378</v>
      </c>
      <c r="K3" s="1" t="s">
        <v>603</v>
      </c>
      <c r="L3" s="1" t="s">
        <v>604</v>
      </c>
      <c r="M3" s="1" t="s">
        <v>605</v>
      </c>
      <c r="N3" s="1" t="s">
        <v>606</v>
      </c>
      <c r="O3" s="1" t="s">
        <v>607</v>
      </c>
      <c r="P3" s="1" t="s">
        <v>608</v>
      </c>
      <c r="Q3" s="1" t="s">
        <v>609</v>
      </c>
    </row>
    <row r="4" spans="1:17" ht="15" customHeight="1" x14ac:dyDescent="0.25">
      <c r="A4" s="3" t="s">
        <v>67</v>
      </c>
      <c r="B4" s="3" t="s">
        <v>121</v>
      </c>
      <c r="C4" s="3" t="s">
        <v>122</v>
      </c>
      <c r="D4" s="3" t="s">
        <v>125</v>
      </c>
      <c r="E4" s="3" t="s">
        <v>126</v>
      </c>
      <c r="F4" s="3" t="s">
        <v>124</v>
      </c>
      <c r="G4" s="7">
        <f>'05_IMPORT_BASELINE'!D4</f>
        <v>0.72499999999999998</v>
      </c>
      <c r="H4" s="7">
        <f>'04_THRESHOLDS_WEIGHTS'!G4</f>
        <v>0.4</v>
      </c>
      <c r="I4" s="7">
        <f>'04_THRESHOLDS_WEIGHTS'!H4</f>
        <v>0.6</v>
      </c>
      <c r="J4" s="7">
        <f>'04_THRESHOLDS_WEIGHTS'!I4</f>
        <v>0.8</v>
      </c>
      <c r="K4" s="7">
        <f>'04_THRESHOLDS_WEIGHTS'!J4</f>
        <v>1</v>
      </c>
      <c r="L4" s="6">
        <f>IF(NOT(ISNUMBER(G4)),"",IF(F4="Positive",IF(G4&lt;H4,0,IF(G4&lt;I4,0.25+0.25*(G4-H4)/(I4-H4),IF(G4&lt;J4,0.5+0.25*(G4-I4)/(J4-I4),IF(G4&lt;K4,0.75+0.25*(G4-J4)/(K4-J4),1)))),IF(G4&gt;H4,0,IF(G4&gt;I4,0.25+0.25*(H4-G4)/(H4-I4),IF(G4&gt;J4,0.5+0.25*(I4-G4)/(I4-J4),IF(G4&gt;K4,0.75+0.25*(J4-G4)/(J4-K4),1))))))</f>
        <v>0.65625</v>
      </c>
      <c r="M4" s="2" t="str">
        <f t="shared" ref="M4:M41" si="0">IF(NOT(ISNUMBER(L4)),"",IF(L4&lt;0.25,"Low",IF(L4&lt;0.5,"Moderate",IF(L4&lt;0.75,"Good","Excellent"))))</f>
        <v>Good</v>
      </c>
      <c r="N4" s="6">
        <f>'04_THRESHOLDS_WEIGHTS'!K4</f>
        <v>0.16666666666666666</v>
      </c>
      <c r="O4" s="6">
        <f>'04_THRESHOLDS_WEIGHTS'!L4</f>
        <v>0.125</v>
      </c>
      <c r="P4" s="6">
        <f>L4*N4</f>
        <v>0.109375</v>
      </c>
      <c r="Q4" s="6">
        <f t="shared" ref="Q4:Q41" si="1">L4*O4</f>
        <v>8.203125E-2</v>
      </c>
    </row>
    <row r="5" spans="1:17" ht="15" customHeight="1" x14ac:dyDescent="0.25">
      <c r="A5" s="3" t="s">
        <v>67</v>
      </c>
      <c r="B5" s="3" t="s">
        <v>133</v>
      </c>
      <c r="C5" s="3" t="s">
        <v>134</v>
      </c>
      <c r="D5" s="3" t="s">
        <v>125</v>
      </c>
      <c r="E5" s="3" t="s">
        <v>126</v>
      </c>
      <c r="F5" s="3" t="s">
        <v>124</v>
      </c>
      <c r="G5" s="7">
        <f>'05_IMPORT_BASELINE'!D5</f>
        <v>0.81718292336732146</v>
      </c>
      <c r="H5" s="7">
        <f>'04_THRESHOLDS_WEIGHTS'!G5</f>
        <v>0.4</v>
      </c>
      <c r="I5" s="7">
        <f>'04_THRESHOLDS_WEIGHTS'!H5</f>
        <v>0.6</v>
      </c>
      <c r="J5" s="7">
        <f>'04_THRESHOLDS_WEIGHTS'!I5</f>
        <v>0.8</v>
      </c>
      <c r="K5" s="7">
        <f>'04_THRESHOLDS_WEIGHTS'!J5</f>
        <v>1</v>
      </c>
      <c r="L5" s="6">
        <f t="shared" ref="L5:L41" si="2">IF(NOT(ISNUMBER(G5)),"",IF(F5="Positive",IF(G5&lt;H5,0,IF(G5&lt;I5,0.25+0.25*(G5-H5)/(I5-H5),IF(G5&lt;J5,0.5+0.25*(G5-I5)/(J5-I5),IF(G5&lt;K5,0.75+0.25*(G5-J5)/(K5-J5),1)))),IF(G5&gt;H5,0,IF(G5&gt;I5,0.25+0.25*(H5-G5)/(H5-I5),IF(G5&gt;J5,0.5+0.25*(I5-G5)/(I5-J5),IF(G5&gt;K5,0.75+0.25*(J5-G5)/(J5-K5),1))))))</f>
        <v>0.77147865420915174</v>
      </c>
      <c r="M5" s="2" t="str">
        <f t="shared" si="0"/>
        <v>Excellent</v>
      </c>
      <c r="N5" s="6">
        <f>'04_THRESHOLDS_WEIGHTS'!K5</f>
        <v>0.16666666666666666</v>
      </c>
      <c r="O5" s="6">
        <f>'04_THRESHOLDS_WEIGHTS'!L5</f>
        <v>0.125</v>
      </c>
      <c r="P5" s="6">
        <f t="shared" ref="P5:P41" si="3">L5*N5</f>
        <v>0.12857977570152529</v>
      </c>
      <c r="Q5" s="6">
        <f t="shared" si="1"/>
        <v>9.6434831776143967E-2</v>
      </c>
    </row>
    <row r="6" spans="1:17" ht="15" customHeight="1" x14ac:dyDescent="0.25">
      <c r="A6" s="3" t="s">
        <v>67</v>
      </c>
      <c r="B6" s="3" t="s">
        <v>138</v>
      </c>
      <c r="C6" s="3" t="s">
        <v>139</v>
      </c>
      <c r="D6" s="3" t="s">
        <v>142</v>
      </c>
      <c r="E6" s="3" t="s">
        <v>143</v>
      </c>
      <c r="F6" s="3" t="s">
        <v>141</v>
      </c>
      <c r="G6" s="7">
        <f>'05_IMPORT_BASELINE'!D6</f>
        <v>4.5</v>
      </c>
      <c r="H6" s="7">
        <f>'04_THRESHOLDS_WEIGHTS'!G6</f>
        <v>12</v>
      </c>
      <c r="I6" s="7">
        <f>'04_THRESHOLDS_WEIGHTS'!H6</f>
        <v>6</v>
      </c>
      <c r="J6" s="7">
        <f>'04_THRESHOLDS_WEIGHTS'!I6</f>
        <v>3</v>
      </c>
      <c r="K6" s="7">
        <f>'04_THRESHOLDS_WEIGHTS'!J6</f>
        <v>0</v>
      </c>
      <c r="L6" s="6">
        <f t="shared" si="2"/>
        <v>0.625</v>
      </c>
      <c r="M6" s="2" t="str">
        <f t="shared" si="0"/>
        <v>Good</v>
      </c>
      <c r="N6" s="6">
        <f>'04_THRESHOLDS_WEIGHTS'!K6</f>
        <v>0.16666666666666666</v>
      </c>
      <c r="O6" s="6">
        <f>'04_THRESHOLDS_WEIGHTS'!L6</f>
        <v>0.25</v>
      </c>
      <c r="P6" s="6">
        <f t="shared" si="3"/>
        <v>0.10416666666666666</v>
      </c>
      <c r="Q6" s="6">
        <f t="shared" si="1"/>
        <v>0.15625</v>
      </c>
    </row>
    <row r="7" spans="1:17" ht="15" customHeight="1" x14ac:dyDescent="0.25">
      <c r="A7" s="3" t="s">
        <v>67</v>
      </c>
      <c r="B7" s="3" t="s">
        <v>147</v>
      </c>
      <c r="C7" s="3" t="s">
        <v>148</v>
      </c>
      <c r="D7" s="3" t="s">
        <v>149</v>
      </c>
      <c r="E7" s="3" t="s">
        <v>150</v>
      </c>
      <c r="F7" s="3" t="s">
        <v>141</v>
      </c>
      <c r="G7" s="7">
        <f>'05_IMPORT_BASELINE'!D7</f>
        <v>0.87666571724298115</v>
      </c>
      <c r="H7" s="7">
        <f>'04_THRESHOLDS_WEIGHTS'!G7</f>
        <v>1.1000000000000001</v>
      </c>
      <c r="I7" s="7">
        <f>'04_THRESHOLDS_WEIGHTS'!H7</f>
        <v>0.9</v>
      </c>
      <c r="J7" s="7">
        <f>'04_THRESHOLDS_WEIGHTS'!I7</f>
        <v>0.5</v>
      </c>
      <c r="K7" s="7">
        <f>'04_THRESHOLDS_WEIGHTS'!J7</f>
        <v>0</v>
      </c>
      <c r="L7" s="6">
        <f t="shared" si="2"/>
        <v>0.5145839267231368</v>
      </c>
      <c r="M7" s="2" t="str">
        <f t="shared" si="0"/>
        <v>Good</v>
      </c>
      <c r="N7" s="6">
        <f>'04_THRESHOLDS_WEIGHTS'!K7</f>
        <v>0.16666666666666666</v>
      </c>
      <c r="O7" s="6">
        <f>'04_THRESHOLDS_WEIGHTS'!L7</f>
        <v>0.25</v>
      </c>
      <c r="P7" s="6">
        <f t="shared" si="3"/>
        <v>8.5763987787189466E-2</v>
      </c>
      <c r="Q7" s="6">
        <f t="shared" si="1"/>
        <v>0.1286459816807842</v>
      </c>
    </row>
    <row r="8" spans="1:17" ht="15" customHeight="1" x14ac:dyDescent="0.25">
      <c r="A8" s="3" t="s">
        <v>67</v>
      </c>
      <c r="B8" s="3" t="s">
        <v>156</v>
      </c>
      <c r="C8" s="3" t="s">
        <v>157</v>
      </c>
      <c r="D8" s="3" t="s">
        <v>158</v>
      </c>
      <c r="E8" s="3" t="s">
        <v>159</v>
      </c>
      <c r="F8" s="3" t="s">
        <v>124</v>
      </c>
      <c r="G8" s="7">
        <f>'05_IMPORT_BASELINE'!D8</f>
        <v>7.0450965952559681</v>
      </c>
      <c r="H8" s="7">
        <f>'04_THRESHOLDS_WEIGHTS'!G8</f>
        <v>0.75</v>
      </c>
      <c r="I8" s="7">
        <f>'04_THRESHOLDS_WEIGHTS'!H8</f>
        <v>1.5</v>
      </c>
      <c r="J8" s="7">
        <f>'04_THRESHOLDS_WEIGHTS'!I8</f>
        <v>3</v>
      </c>
      <c r="K8" s="7">
        <f>'04_THRESHOLDS_WEIGHTS'!J8</f>
        <v>90.830935457300612</v>
      </c>
      <c r="L8" s="6">
        <f t="shared" si="2"/>
        <v>0.76151387200362486</v>
      </c>
      <c r="M8" s="2" t="str">
        <f t="shared" si="0"/>
        <v>Excellent</v>
      </c>
      <c r="N8" s="6">
        <f>'04_THRESHOLDS_WEIGHTS'!K8</f>
        <v>0.16666666666666666</v>
      </c>
      <c r="O8" s="6">
        <f>'04_THRESHOLDS_WEIGHTS'!L8</f>
        <v>0.125</v>
      </c>
      <c r="P8" s="6">
        <f t="shared" si="3"/>
        <v>0.12691897866727081</v>
      </c>
      <c r="Q8" s="6">
        <f t="shared" si="1"/>
        <v>9.5189234000453107E-2</v>
      </c>
    </row>
    <row r="9" spans="1:17" ht="15" customHeight="1" x14ac:dyDescent="0.25">
      <c r="A9" s="3" t="s">
        <v>67</v>
      </c>
      <c r="B9" s="3" t="s">
        <v>165</v>
      </c>
      <c r="C9" s="3" t="s">
        <v>166</v>
      </c>
      <c r="D9" s="3" t="s">
        <v>142</v>
      </c>
      <c r="E9" s="3" t="s">
        <v>159</v>
      </c>
      <c r="F9" s="3" t="s">
        <v>141</v>
      </c>
      <c r="G9" s="7">
        <f>'05_IMPORT_BASELINE'!D9</f>
        <v>1.8398792409504849</v>
      </c>
      <c r="H9" s="7">
        <f>'04_THRESHOLDS_WEIGHTS'!G9</f>
        <v>2</v>
      </c>
      <c r="I9" s="7">
        <f>'04_THRESHOLDS_WEIGHTS'!H9</f>
        <v>1.5</v>
      </c>
      <c r="J9" s="7">
        <f>'04_THRESHOLDS_WEIGHTS'!I9</f>
        <v>1.05</v>
      </c>
      <c r="K9" s="7">
        <f>'04_THRESHOLDS_WEIGHTS'!J9</f>
        <v>1</v>
      </c>
      <c r="L9" s="6">
        <f t="shared" si="2"/>
        <v>0.33006037952475753</v>
      </c>
      <c r="M9" s="2" t="str">
        <f t="shared" si="0"/>
        <v>Moderate</v>
      </c>
      <c r="N9" s="6">
        <f>'04_THRESHOLDS_WEIGHTS'!K9</f>
        <v>0.16666666666666666</v>
      </c>
      <c r="O9" s="6">
        <f>'04_THRESHOLDS_WEIGHTS'!L9</f>
        <v>0.125</v>
      </c>
      <c r="P9" s="6">
        <f t="shared" si="3"/>
        <v>5.5010063254126253E-2</v>
      </c>
      <c r="Q9" s="6">
        <f t="shared" si="1"/>
        <v>4.1257547440594691E-2</v>
      </c>
    </row>
    <row r="10" spans="1:17" ht="15" customHeight="1" x14ac:dyDescent="0.25">
      <c r="A10" s="3" t="s">
        <v>76</v>
      </c>
      <c r="B10" s="3" t="s">
        <v>171</v>
      </c>
      <c r="C10" s="3" t="s">
        <v>172</v>
      </c>
      <c r="D10" s="3" t="s">
        <v>125</v>
      </c>
      <c r="E10" s="3" t="s">
        <v>173</v>
      </c>
      <c r="F10" s="3" t="s">
        <v>124</v>
      </c>
      <c r="G10" s="7">
        <f>'05_IMPORT_BASELINE'!D10</f>
        <v>0.99375000000000002</v>
      </c>
      <c r="H10" s="7">
        <f>'04_THRESHOLDS_WEIGHTS'!G10</f>
        <v>0.5</v>
      </c>
      <c r="I10" s="7">
        <f>'04_THRESHOLDS_WEIGHTS'!H10</f>
        <v>0.6</v>
      </c>
      <c r="J10" s="7">
        <f>'04_THRESHOLDS_WEIGHTS'!I10</f>
        <v>0.8</v>
      </c>
      <c r="K10" s="7">
        <f>'04_THRESHOLDS_WEIGHTS'!J10</f>
        <v>1</v>
      </c>
      <c r="L10" s="6">
        <f t="shared" si="2"/>
        <v>0.9921875</v>
      </c>
      <c r="M10" s="2" t="str">
        <f t="shared" si="0"/>
        <v>Excellent</v>
      </c>
      <c r="N10" s="6">
        <f>'04_THRESHOLDS_WEIGHTS'!K10</f>
        <v>0.2</v>
      </c>
      <c r="O10" s="6">
        <f>'04_THRESHOLDS_WEIGHTS'!L10</f>
        <v>0.125</v>
      </c>
      <c r="P10" s="6">
        <f t="shared" si="3"/>
        <v>0.19843750000000002</v>
      </c>
      <c r="Q10" s="6">
        <f t="shared" si="1"/>
        <v>0.1240234375</v>
      </c>
    </row>
    <row r="11" spans="1:17" ht="15" customHeight="1" x14ac:dyDescent="0.25">
      <c r="A11" s="3" t="s">
        <v>76</v>
      </c>
      <c r="B11" s="3" t="s">
        <v>179</v>
      </c>
      <c r="C11" s="3" t="s">
        <v>180</v>
      </c>
      <c r="D11" s="3" t="s">
        <v>125</v>
      </c>
      <c r="E11" s="3" t="s">
        <v>173</v>
      </c>
      <c r="F11" s="3" t="s">
        <v>124</v>
      </c>
      <c r="G11" s="7">
        <f>'05_IMPORT_BASELINE'!D11</f>
        <v>0.99046393325311666</v>
      </c>
      <c r="H11" s="7">
        <f>'04_THRESHOLDS_WEIGHTS'!G11</f>
        <v>0.5</v>
      </c>
      <c r="I11" s="7">
        <f>'04_THRESHOLDS_WEIGHTS'!H11</f>
        <v>0.6</v>
      </c>
      <c r="J11" s="7">
        <f>'04_THRESHOLDS_WEIGHTS'!I11</f>
        <v>0.8</v>
      </c>
      <c r="K11" s="7">
        <f>'04_THRESHOLDS_WEIGHTS'!J11</f>
        <v>1</v>
      </c>
      <c r="L11" s="6">
        <f t="shared" si="2"/>
        <v>0.98807991656639582</v>
      </c>
      <c r="M11" s="2" t="str">
        <f t="shared" si="0"/>
        <v>Excellent</v>
      </c>
      <c r="N11" s="6">
        <f>'04_THRESHOLDS_WEIGHTS'!K11</f>
        <v>0.2</v>
      </c>
      <c r="O11" s="6">
        <f>'04_THRESHOLDS_WEIGHTS'!L11</f>
        <v>0.125</v>
      </c>
      <c r="P11" s="6">
        <f t="shared" si="3"/>
        <v>0.19761598331327918</v>
      </c>
      <c r="Q11" s="6">
        <f t="shared" si="1"/>
        <v>0.12350998957079948</v>
      </c>
    </row>
    <row r="12" spans="1:17" ht="15" customHeight="1" x14ac:dyDescent="0.25">
      <c r="A12" s="3" t="s">
        <v>76</v>
      </c>
      <c r="B12" s="3" t="s">
        <v>184</v>
      </c>
      <c r="C12" s="3" t="s">
        <v>185</v>
      </c>
      <c r="D12" s="3" t="s">
        <v>125</v>
      </c>
      <c r="E12" s="3" t="s">
        <v>186</v>
      </c>
      <c r="F12" s="3" t="s">
        <v>124</v>
      </c>
      <c r="G12" s="7">
        <f>'05_IMPORT_BASELINE'!D12</f>
        <v>0.77155359092303755</v>
      </c>
      <c r="H12" s="7">
        <f>'04_THRESHOLDS_WEIGHTS'!G12</f>
        <v>0.7</v>
      </c>
      <c r="I12" s="7">
        <f>'04_THRESHOLDS_WEIGHTS'!H12</f>
        <v>0.75</v>
      </c>
      <c r="J12" s="7">
        <f>'04_THRESHOLDS_WEIGHTS'!I12</f>
        <v>0.8</v>
      </c>
      <c r="K12" s="7">
        <f>'04_THRESHOLDS_WEIGHTS'!J12</f>
        <v>1</v>
      </c>
      <c r="L12" s="6">
        <f t="shared" si="2"/>
        <v>0.60776795461518762</v>
      </c>
      <c r="M12" s="2" t="str">
        <f t="shared" si="0"/>
        <v>Good</v>
      </c>
      <c r="N12" s="6">
        <f>'04_THRESHOLDS_WEIGHTS'!K12</f>
        <v>0.2</v>
      </c>
      <c r="O12" s="6">
        <f>'04_THRESHOLDS_WEIGHTS'!L12</f>
        <v>0.25</v>
      </c>
      <c r="P12" s="6">
        <f t="shared" si="3"/>
        <v>0.12155359092303752</v>
      </c>
      <c r="Q12" s="6">
        <f t="shared" si="1"/>
        <v>0.15194198865379691</v>
      </c>
    </row>
    <row r="13" spans="1:17" ht="15" customHeight="1" x14ac:dyDescent="0.25">
      <c r="A13" s="3" t="s">
        <v>76</v>
      </c>
      <c r="B13" s="3" t="s">
        <v>190</v>
      </c>
      <c r="C13" s="3" t="s">
        <v>191</v>
      </c>
      <c r="D13" s="3" t="s">
        <v>125</v>
      </c>
      <c r="E13" s="3" t="s">
        <v>192</v>
      </c>
      <c r="F13" s="3" t="s">
        <v>124</v>
      </c>
      <c r="G13" s="7">
        <f>'05_IMPORT_BASELINE'!D13</f>
        <v>0.83333333333333326</v>
      </c>
      <c r="H13" s="7">
        <f>'04_THRESHOLDS_WEIGHTS'!G13</f>
        <v>0.25</v>
      </c>
      <c r="I13" s="7">
        <f>'04_THRESHOLDS_WEIGHTS'!H13</f>
        <v>0.5</v>
      </c>
      <c r="J13" s="7">
        <f>'04_THRESHOLDS_WEIGHTS'!I13</f>
        <v>0.75</v>
      </c>
      <c r="K13" s="7">
        <f>'04_THRESHOLDS_WEIGHTS'!J13</f>
        <v>1</v>
      </c>
      <c r="L13" s="6">
        <f t="shared" si="2"/>
        <v>0.83333333333333326</v>
      </c>
      <c r="M13" s="2" t="str">
        <f t="shared" si="0"/>
        <v>Excellent</v>
      </c>
      <c r="N13" s="6">
        <f>'04_THRESHOLDS_WEIGHTS'!K13</f>
        <v>0.2</v>
      </c>
      <c r="O13" s="6">
        <f>'04_THRESHOLDS_WEIGHTS'!L13</f>
        <v>0.25</v>
      </c>
      <c r="P13" s="6">
        <f t="shared" si="3"/>
        <v>0.16666666666666666</v>
      </c>
      <c r="Q13" s="6">
        <f t="shared" si="1"/>
        <v>0.20833333333333331</v>
      </c>
    </row>
    <row r="14" spans="1:17" ht="15" customHeight="1" x14ac:dyDescent="0.25">
      <c r="A14" s="3" t="s">
        <v>76</v>
      </c>
      <c r="B14" s="3" t="s">
        <v>196</v>
      </c>
      <c r="C14" s="3" t="s">
        <v>197</v>
      </c>
      <c r="D14" s="3" t="s">
        <v>125</v>
      </c>
      <c r="E14" s="3" t="s">
        <v>198</v>
      </c>
      <c r="F14" s="3" t="s">
        <v>141</v>
      </c>
      <c r="G14" s="7">
        <f>'05_IMPORT_BASELINE'!D14</f>
        <v>0</v>
      </c>
      <c r="H14" s="7">
        <f>'04_THRESHOLDS_WEIGHTS'!G14</f>
        <v>0.3</v>
      </c>
      <c r="I14" s="7">
        <f>'04_THRESHOLDS_WEIGHTS'!H14</f>
        <v>0.1</v>
      </c>
      <c r="J14" s="7">
        <f>'04_THRESHOLDS_WEIGHTS'!I14</f>
        <v>0.01</v>
      </c>
      <c r="K14" s="7">
        <f>'04_THRESHOLDS_WEIGHTS'!J14</f>
        <v>0</v>
      </c>
      <c r="L14" s="6">
        <f t="shared" si="2"/>
        <v>1</v>
      </c>
      <c r="M14" s="2" t="str">
        <f t="shared" si="0"/>
        <v>Excellent</v>
      </c>
      <c r="N14" s="6">
        <f>'04_THRESHOLDS_WEIGHTS'!K14</f>
        <v>0.2</v>
      </c>
      <c r="O14" s="6">
        <f>'04_THRESHOLDS_WEIGHTS'!L14</f>
        <v>0.25</v>
      </c>
      <c r="P14" s="6">
        <f t="shared" si="3"/>
        <v>0.2</v>
      </c>
      <c r="Q14" s="6">
        <f t="shared" si="1"/>
        <v>0.25</v>
      </c>
    </row>
    <row r="15" spans="1:17" ht="15" customHeight="1" x14ac:dyDescent="0.25">
      <c r="A15" s="3" t="s">
        <v>82</v>
      </c>
      <c r="B15" s="3" t="s">
        <v>202</v>
      </c>
      <c r="C15" s="3" t="s">
        <v>203</v>
      </c>
      <c r="D15" s="3" t="s">
        <v>125</v>
      </c>
      <c r="E15" s="3" t="s">
        <v>204</v>
      </c>
      <c r="F15" s="3" t="s">
        <v>124</v>
      </c>
      <c r="G15" s="7">
        <f>'05_IMPORT_BASELINE'!D15</f>
        <v>0.9819737926182841</v>
      </c>
      <c r="H15" s="7">
        <f>'04_THRESHOLDS_WEIGHTS'!G15</f>
        <v>0.5</v>
      </c>
      <c r="I15" s="7">
        <f>'04_THRESHOLDS_WEIGHTS'!H15</f>
        <v>0.75</v>
      </c>
      <c r="J15" s="7">
        <f>'04_THRESHOLDS_WEIGHTS'!I15</f>
        <v>0.85</v>
      </c>
      <c r="K15" s="7">
        <f>'04_THRESHOLDS_WEIGHTS'!J15</f>
        <v>1</v>
      </c>
      <c r="L15" s="6">
        <f t="shared" si="2"/>
        <v>0.96995632103047347</v>
      </c>
      <c r="M15" s="2" t="str">
        <f t="shared" si="0"/>
        <v>Excellent</v>
      </c>
      <c r="N15" s="6">
        <f>'04_THRESHOLDS_WEIGHTS'!K15</f>
        <v>0.2</v>
      </c>
      <c r="O15" s="6">
        <f>'04_THRESHOLDS_WEIGHTS'!L15</f>
        <v>0.25</v>
      </c>
      <c r="P15" s="6">
        <f t="shared" si="3"/>
        <v>0.19399126420609469</v>
      </c>
      <c r="Q15" s="6">
        <f t="shared" si="1"/>
        <v>0.24248908025761837</v>
      </c>
    </row>
    <row r="16" spans="1:17" ht="15" customHeight="1" x14ac:dyDescent="0.25">
      <c r="A16" s="3" t="s">
        <v>82</v>
      </c>
      <c r="B16" s="3" t="s">
        <v>210</v>
      </c>
      <c r="C16" s="3" t="s">
        <v>211</v>
      </c>
      <c r="D16" s="3" t="s">
        <v>125</v>
      </c>
      <c r="E16" s="3" t="s">
        <v>204</v>
      </c>
      <c r="F16" s="3" t="s">
        <v>124</v>
      </c>
      <c r="G16" s="7">
        <f>'05_IMPORT_BASELINE'!D16</f>
        <v>0.95861352848101267</v>
      </c>
      <c r="H16" s="7">
        <f>'04_THRESHOLDS_WEIGHTS'!G16</f>
        <v>0.5</v>
      </c>
      <c r="I16" s="7">
        <f>'04_THRESHOLDS_WEIGHTS'!H16</f>
        <v>0.75</v>
      </c>
      <c r="J16" s="7">
        <f>'04_THRESHOLDS_WEIGHTS'!I16</f>
        <v>0.85</v>
      </c>
      <c r="K16" s="7">
        <f>'04_THRESHOLDS_WEIGHTS'!J16</f>
        <v>1</v>
      </c>
      <c r="L16" s="6">
        <f t="shared" si="2"/>
        <v>0.93102254746835444</v>
      </c>
      <c r="M16" s="2" t="str">
        <f t="shared" si="0"/>
        <v>Excellent</v>
      </c>
      <c r="N16" s="6">
        <f>'04_THRESHOLDS_WEIGHTS'!K16</f>
        <v>0.2</v>
      </c>
      <c r="O16" s="6">
        <f>'04_THRESHOLDS_WEIGHTS'!L16</f>
        <v>0.25</v>
      </c>
      <c r="P16" s="6">
        <f t="shared" si="3"/>
        <v>0.1862045094936709</v>
      </c>
      <c r="Q16" s="6">
        <f t="shared" si="1"/>
        <v>0.23275563686708861</v>
      </c>
    </row>
    <row r="17" spans="1:17" ht="15" customHeight="1" x14ac:dyDescent="0.25">
      <c r="A17" s="3" t="s">
        <v>82</v>
      </c>
      <c r="B17" s="3" t="s">
        <v>215</v>
      </c>
      <c r="C17" s="3" t="s">
        <v>216</v>
      </c>
      <c r="D17" s="3" t="s">
        <v>125</v>
      </c>
      <c r="E17" s="3" t="s">
        <v>218</v>
      </c>
      <c r="F17" s="3" t="s">
        <v>141</v>
      </c>
      <c r="G17" s="7">
        <f>'05_IMPORT_BASELINE'!D17</f>
        <v>0.39790148373247952</v>
      </c>
      <c r="H17" s="7">
        <f>'04_THRESHOLDS_WEIGHTS'!G17</f>
        <v>1</v>
      </c>
      <c r="I17" s="7">
        <f>'04_THRESHOLDS_WEIGHTS'!H17</f>
        <v>0.5</v>
      </c>
      <c r="J17" s="7">
        <f>'04_THRESHOLDS_WEIGHTS'!I17</f>
        <v>0.3</v>
      </c>
      <c r="K17" s="7">
        <f>'04_THRESHOLDS_WEIGHTS'!J17</f>
        <v>0.05</v>
      </c>
      <c r="L17" s="6">
        <f t="shared" si="2"/>
        <v>0.62762314533440056</v>
      </c>
      <c r="M17" s="2" t="str">
        <f t="shared" si="0"/>
        <v>Good</v>
      </c>
      <c r="N17" s="6">
        <f>'04_THRESHOLDS_WEIGHTS'!K17</f>
        <v>0.2</v>
      </c>
      <c r="O17" s="6">
        <f>'04_THRESHOLDS_WEIGHTS'!L17</f>
        <v>0.16666666666666666</v>
      </c>
      <c r="P17" s="6">
        <f t="shared" si="3"/>
        <v>0.12552462906688011</v>
      </c>
      <c r="Q17" s="6">
        <f t="shared" si="1"/>
        <v>0.10460385755573343</v>
      </c>
    </row>
    <row r="18" spans="1:17" ht="15" customHeight="1" x14ac:dyDescent="0.25">
      <c r="A18" s="3" t="s">
        <v>82</v>
      </c>
      <c r="B18" s="3" t="s">
        <v>222</v>
      </c>
      <c r="C18" s="3" t="s">
        <v>223</v>
      </c>
      <c r="D18" s="3" t="s">
        <v>125</v>
      </c>
      <c r="E18" s="3" t="s">
        <v>218</v>
      </c>
      <c r="F18" s="3" t="s">
        <v>141</v>
      </c>
      <c r="G18" s="7">
        <f>'05_IMPORT_BASELINE'!D18</f>
        <v>0.3442534490523983</v>
      </c>
      <c r="H18" s="7">
        <f>'04_THRESHOLDS_WEIGHTS'!G18</f>
        <v>1</v>
      </c>
      <c r="I18" s="7">
        <f>'04_THRESHOLDS_WEIGHTS'!H18</f>
        <v>0.5</v>
      </c>
      <c r="J18" s="7">
        <f>'04_THRESHOLDS_WEIGHTS'!I18</f>
        <v>0.3</v>
      </c>
      <c r="K18" s="7">
        <f>'04_THRESHOLDS_WEIGHTS'!J18</f>
        <v>0.05</v>
      </c>
      <c r="L18" s="6">
        <f t="shared" si="2"/>
        <v>0.69468318868450218</v>
      </c>
      <c r="M18" s="2" t="str">
        <f t="shared" si="0"/>
        <v>Good</v>
      </c>
      <c r="N18" s="6">
        <f>'04_THRESHOLDS_WEIGHTS'!K18</f>
        <v>0.2</v>
      </c>
      <c r="O18" s="6">
        <f>'04_THRESHOLDS_WEIGHTS'!L18</f>
        <v>0.16666666666666666</v>
      </c>
      <c r="P18" s="6">
        <f t="shared" si="3"/>
        <v>0.13893663773690043</v>
      </c>
      <c r="Q18" s="6">
        <f t="shared" si="1"/>
        <v>0.11578053144741703</v>
      </c>
    </row>
    <row r="19" spans="1:17" ht="15" customHeight="1" x14ac:dyDescent="0.25">
      <c r="A19" s="3" t="s">
        <v>82</v>
      </c>
      <c r="B19" s="3" t="s">
        <v>227</v>
      </c>
      <c r="C19" s="3" t="s">
        <v>228</v>
      </c>
      <c r="D19" s="3" t="s">
        <v>125</v>
      </c>
      <c r="E19" s="3" t="s">
        <v>218</v>
      </c>
      <c r="F19" s="3" t="s">
        <v>141</v>
      </c>
      <c r="G19" s="7">
        <f>'05_IMPORT_BASELINE'!D19</f>
        <v>0.43260758789703413</v>
      </c>
      <c r="H19" s="7">
        <f>'04_THRESHOLDS_WEIGHTS'!G19</f>
        <v>1</v>
      </c>
      <c r="I19" s="7">
        <f>'04_THRESHOLDS_WEIGHTS'!H19</f>
        <v>0.5</v>
      </c>
      <c r="J19" s="7">
        <f>'04_THRESHOLDS_WEIGHTS'!I19</f>
        <v>0.3</v>
      </c>
      <c r="K19" s="7">
        <f>'04_THRESHOLDS_WEIGHTS'!J19</f>
        <v>0.05</v>
      </c>
      <c r="L19" s="6">
        <f t="shared" si="2"/>
        <v>0.58424051512870734</v>
      </c>
      <c r="M19" s="2" t="str">
        <f t="shared" si="0"/>
        <v>Good</v>
      </c>
      <c r="N19" s="6">
        <f>'04_THRESHOLDS_WEIGHTS'!K19</f>
        <v>0.2</v>
      </c>
      <c r="O19" s="6">
        <f>'04_THRESHOLDS_WEIGHTS'!L19</f>
        <v>0.16666666666666666</v>
      </c>
      <c r="P19" s="6">
        <f t="shared" si="3"/>
        <v>0.11684810302574147</v>
      </c>
      <c r="Q19" s="6">
        <f t="shared" si="1"/>
        <v>9.7373419188117885E-2</v>
      </c>
    </row>
    <row r="20" spans="1:17" ht="15" customHeight="1" x14ac:dyDescent="0.25">
      <c r="A20" s="3" t="s">
        <v>87</v>
      </c>
      <c r="B20" s="3" t="s">
        <v>232</v>
      </c>
      <c r="C20" s="3" t="s">
        <v>233</v>
      </c>
      <c r="D20" s="3" t="s">
        <v>125</v>
      </c>
      <c r="E20" s="3" t="s">
        <v>235</v>
      </c>
      <c r="F20" s="3" t="s">
        <v>141</v>
      </c>
      <c r="G20" s="7">
        <f>'05_IMPORT_BASELINE'!D20</f>
        <v>1041.7706584759974</v>
      </c>
      <c r="H20" s="7">
        <f>'04_THRESHOLDS_WEIGHTS'!G20</f>
        <v>2000</v>
      </c>
      <c r="I20" s="7">
        <f>'04_THRESHOLDS_WEIGHTS'!H20</f>
        <v>1500</v>
      </c>
      <c r="J20" s="7">
        <f>'04_THRESHOLDS_WEIGHTS'!I20</f>
        <v>1000</v>
      </c>
      <c r="K20" s="7">
        <f>'04_THRESHOLDS_WEIGHTS'!J20</f>
        <v>500</v>
      </c>
      <c r="L20" s="6">
        <f t="shared" si="2"/>
        <v>0.72911467076200132</v>
      </c>
      <c r="M20" s="2" t="str">
        <f t="shared" si="0"/>
        <v>Good</v>
      </c>
      <c r="N20" s="6">
        <f>'04_THRESHOLDS_WEIGHTS'!K20</f>
        <v>0.125</v>
      </c>
      <c r="O20" s="6">
        <f>'04_THRESHOLDS_WEIGHTS'!L20</f>
        <v>8.3333333333333329E-2</v>
      </c>
      <c r="P20" s="6">
        <f t="shared" si="3"/>
        <v>9.1139333845250164E-2</v>
      </c>
      <c r="Q20" s="6">
        <f t="shared" si="1"/>
        <v>6.0759555896833441E-2</v>
      </c>
    </row>
    <row r="21" spans="1:17" ht="15" customHeight="1" x14ac:dyDescent="0.25">
      <c r="A21" s="3" t="s">
        <v>87</v>
      </c>
      <c r="B21" s="3" t="s">
        <v>241</v>
      </c>
      <c r="C21" s="3" t="s">
        <v>242</v>
      </c>
      <c r="D21" s="3" t="s">
        <v>125</v>
      </c>
      <c r="E21" s="3" t="s">
        <v>235</v>
      </c>
      <c r="F21" s="3" t="s">
        <v>141</v>
      </c>
      <c r="G21" s="7">
        <f>'05_IMPORT_BASELINE'!D21</f>
        <v>0.22960575375370904</v>
      </c>
      <c r="H21" s="7">
        <f>'04_THRESHOLDS_WEIGHTS'!G21</f>
        <v>0.4</v>
      </c>
      <c r="I21" s="7">
        <f>'04_THRESHOLDS_WEIGHTS'!H21</f>
        <v>0.3</v>
      </c>
      <c r="J21" s="7">
        <f>'04_THRESHOLDS_WEIGHTS'!I21</f>
        <v>0.2</v>
      </c>
      <c r="K21" s="7">
        <f>'04_THRESHOLDS_WEIGHTS'!J21</f>
        <v>0.1</v>
      </c>
      <c r="L21" s="6">
        <f t="shared" si="2"/>
        <v>0.67598561561572745</v>
      </c>
      <c r="M21" s="2" t="str">
        <f t="shared" si="0"/>
        <v>Good</v>
      </c>
      <c r="N21" s="6">
        <f>'04_THRESHOLDS_WEIGHTS'!K21</f>
        <v>0.125</v>
      </c>
      <c r="O21" s="6">
        <f>'04_THRESHOLDS_WEIGHTS'!L21</f>
        <v>8.3333333333333329E-2</v>
      </c>
      <c r="P21" s="6">
        <f t="shared" si="3"/>
        <v>8.4498201951965932E-2</v>
      </c>
      <c r="Q21" s="6">
        <f t="shared" si="1"/>
        <v>5.6332134634643954E-2</v>
      </c>
    </row>
    <row r="22" spans="1:17" ht="15" customHeight="1" x14ac:dyDescent="0.25">
      <c r="A22" s="3" t="s">
        <v>87</v>
      </c>
      <c r="B22" s="3" t="s">
        <v>247</v>
      </c>
      <c r="C22" s="3" t="s">
        <v>248</v>
      </c>
      <c r="D22" s="3" t="s">
        <v>125</v>
      </c>
      <c r="E22" s="3" t="s">
        <v>235</v>
      </c>
      <c r="F22" s="3" t="s">
        <v>141</v>
      </c>
      <c r="G22" s="7">
        <f>'05_IMPORT_BASELINE'!D22</f>
        <v>0.21587532967923723</v>
      </c>
      <c r="H22" s="7">
        <f>'04_THRESHOLDS_WEIGHTS'!G22</f>
        <v>0.35</v>
      </c>
      <c r="I22" s="7">
        <f>'04_THRESHOLDS_WEIGHTS'!H22</f>
        <v>0.25</v>
      </c>
      <c r="J22" s="7">
        <f>'04_THRESHOLDS_WEIGHTS'!I22</f>
        <v>0.15</v>
      </c>
      <c r="K22" s="7">
        <f>'04_THRESHOLDS_WEIGHTS'!J22</f>
        <v>0.1</v>
      </c>
      <c r="L22" s="6">
        <f t="shared" si="2"/>
        <v>0.58531167580190691</v>
      </c>
      <c r="M22" s="2" t="str">
        <f t="shared" si="0"/>
        <v>Good</v>
      </c>
      <c r="N22" s="6">
        <f>'04_THRESHOLDS_WEIGHTS'!K22</f>
        <v>0.125</v>
      </c>
      <c r="O22" s="6">
        <f>'04_THRESHOLDS_WEIGHTS'!L22</f>
        <v>8.3333333333333329E-2</v>
      </c>
      <c r="P22" s="6">
        <f t="shared" si="3"/>
        <v>7.3163959475238363E-2</v>
      </c>
      <c r="Q22" s="6">
        <f t="shared" si="1"/>
        <v>4.877597298349224E-2</v>
      </c>
    </row>
    <row r="23" spans="1:17" ht="15" customHeight="1" x14ac:dyDescent="0.25">
      <c r="A23" s="3" t="s">
        <v>87</v>
      </c>
      <c r="B23" s="3" t="s">
        <v>253</v>
      </c>
      <c r="C23" s="3" t="s">
        <v>254</v>
      </c>
      <c r="D23" s="3" t="s">
        <v>149</v>
      </c>
      <c r="E23" s="3" t="s">
        <v>256</v>
      </c>
      <c r="F23" s="3" t="s">
        <v>141</v>
      </c>
      <c r="G23" s="7">
        <f>'05_IMPORT_BASELINE'!D23</f>
        <v>125.02781052037633</v>
      </c>
      <c r="H23" s="7">
        <f>'04_THRESHOLDS_WEIGHTS'!G23</f>
        <v>200</v>
      </c>
      <c r="I23" s="7">
        <f>'04_THRESHOLDS_WEIGHTS'!H23</f>
        <v>150</v>
      </c>
      <c r="J23" s="7">
        <f>'04_THRESHOLDS_WEIGHTS'!I23</f>
        <v>100</v>
      </c>
      <c r="K23" s="7">
        <f>'04_THRESHOLDS_WEIGHTS'!J23</f>
        <v>50</v>
      </c>
      <c r="L23" s="6">
        <f t="shared" si="2"/>
        <v>0.62486094739811837</v>
      </c>
      <c r="M23" s="2" t="str">
        <f t="shared" si="0"/>
        <v>Good</v>
      </c>
      <c r="N23" s="6">
        <f>'04_THRESHOLDS_WEIGHTS'!K23</f>
        <v>0.125</v>
      </c>
      <c r="O23" s="6">
        <f>'04_THRESHOLDS_WEIGHTS'!L23</f>
        <v>8.3333333333333329E-2</v>
      </c>
      <c r="P23" s="6">
        <f t="shared" si="3"/>
        <v>7.8107618424764796E-2</v>
      </c>
      <c r="Q23" s="6">
        <f t="shared" si="1"/>
        <v>5.207174561650986E-2</v>
      </c>
    </row>
    <row r="24" spans="1:17" ht="15" customHeight="1" x14ac:dyDescent="0.25">
      <c r="A24" s="3" t="s">
        <v>87</v>
      </c>
      <c r="B24" s="3" t="s">
        <v>261</v>
      </c>
      <c r="C24" s="3" t="s">
        <v>262</v>
      </c>
      <c r="D24" s="3" t="s">
        <v>149</v>
      </c>
      <c r="E24" s="3" t="s">
        <v>256</v>
      </c>
      <c r="F24" s="3" t="s">
        <v>141</v>
      </c>
      <c r="G24" s="7">
        <f>'05_IMPORT_BASELINE'!D24</f>
        <v>2.7269710024471028E-2</v>
      </c>
      <c r="H24" s="7">
        <f>'04_THRESHOLDS_WEIGHTS'!G24</f>
        <v>0.06</v>
      </c>
      <c r="I24" s="7">
        <f>'04_THRESHOLDS_WEIGHTS'!H24</f>
        <v>0.04</v>
      </c>
      <c r="J24" s="7">
        <f>'04_THRESHOLDS_WEIGHTS'!I24</f>
        <v>0.02</v>
      </c>
      <c r="K24" s="7">
        <f>'04_THRESHOLDS_WEIGHTS'!J24</f>
        <v>0.01</v>
      </c>
      <c r="L24" s="6">
        <f t="shared" si="2"/>
        <v>0.65912862469411215</v>
      </c>
      <c r="M24" s="2" t="str">
        <f t="shared" si="0"/>
        <v>Good</v>
      </c>
      <c r="N24" s="6">
        <f>'04_THRESHOLDS_WEIGHTS'!K24</f>
        <v>0.125</v>
      </c>
      <c r="O24" s="6">
        <f>'04_THRESHOLDS_WEIGHTS'!L24</f>
        <v>8.3333333333333329E-2</v>
      </c>
      <c r="P24" s="6">
        <f t="shared" si="3"/>
        <v>8.2391078086764019E-2</v>
      </c>
      <c r="Q24" s="6">
        <f t="shared" si="1"/>
        <v>5.492738539117601E-2</v>
      </c>
    </row>
    <row r="25" spans="1:17" ht="15" customHeight="1" x14ac:dyDescent="0.25">
      <c r="A25" s="3" t="s">
        <v>87</v>
      </c>
      <c r="B25" s="3" t="s">
        <v>267</v>
      </c>
      <c r="C25" s="3" t="s">
        <v>268</v>
      </c>
      <c r="D25" s="3" t="s">
        <v>149</v>
      </c>
      <c r="E25" s="3" t="s">
        <v>256</v>
      </c>
      <c r="F25" s="3" t="s">
        <v>141</v>
      </c>
      <c r="G25" s="7">
        <f>'05_IMPORT_BASELINE'!D25</f>
        <v>2.5638981365007658E-2</v>
      </c>
      <c r="H25" s="7">
        <f>'04_THRESHOLDS_WEIGHTS'!G25</f>
        <v>0.06</v>
      </c>
      <c r="I25" s="7">
        <f>'04_THRESHOLDS_WEIGHTS'!H25</f>
        <v>0.04</v>
      </c>
      <c r="J25" s="7">
        <f>'04_THRESHOLDS_WEIGHTS'!I25</f>
        <v>0.02</v>
      </c>
      <c r="K25" s="7">
        <f>'04_THRESHOLDS_WEIGHTS'!J25</f>
        <v>0.01</v>
      </c>
      <c r="L25" s="6">
        <f t="shared" si="2"/>
        <v>0.67951273293740422</v>
      </c>
      <c r="M25" s="2" t="str">
        <f t="shared" si="0"/>
        <v>Good</v>
      </c>
      <c r="N25" s="6">
        <f>'04_THRESHOLDS_WEIGHTS'!K25</f>
        <v>0.125</v>
      </c>
      <c r="O25" s="6">
        <f>'04_THRESHOLDS_WEIGHTS'!L25</f>
        <v>8.3333333333333329E-2</v>
      </c>
      <c r="P25" s="6">
        <f t="shared" si="3"/>
        <v>8.4939091617175527E-2</v>
      </c>
      <c r="Q25" s="6">
        <f t="shared" si="1"/>
        <v>5.6626061078117018E-2</v>
      </c>
    </row>
    <row r="26" spans="1:17" ht="15" customHeight="1" x14ac:dyDescent="0.25">
      <c r="A26" s="3" t="s">
        <v>87</v>
      </c>
      <c r="B26" s="3" t="s">
        <v>272</v>
      </c>
      <c r="C26" s="3" t="s">
        <v>273</v>
      </c>
      <c r="D26" s="3" t="s">
        <v>274</v>
      </c>
      <c r="E26" s="3" t="s">
        <v>275</v>
      </c>
      <c r="F26" s="3" t="s">
        <v>124</v>
      </c>
      <c r="G26" s="7">
        <f>'05_IMPORT_BASELINE'!D26</f>
        <v>9.2583037616575589E-2</v>
      </c>
      <c r="H26" s="7">
        <f>'04_THRESHOLDS_WEIGHTS'!G26</f>
        <v>0.05</v>
      </c>
      <c r="I26" s="7">
        <f>'04_THRESHOLDS_WEIGHTS'!H26</f>
        <v>0.1</v>
      </c>
      <c r="J26" s="7">
        <f>'04_THRESHOLDS_WEIGHTS'!I26</f>
        <v>0.2</v>
      </c>
      <c r="K26" s="7">
        <f>'04_THRESHOLDS_WEIGHTS'!J26</f>
        <v>0.4</v>
      </c>
      <c r="L26" s="6">
        <f t="shared" si="2"/>
        <v>0.4629151880828779</v>
      </c>
      <c r="M26" s="2" t="str">
        <f t="shared" si="0"/>
        <v>Moderate</v>
      </c>
      <c r="N26" s="6">
        <f>'04_THRESHOLDS_WEIGHTS'!K26</f>
        <v>0.125</v>
      </c>
      <c r="O26" s="6">
        <f>'04_THRESHOLDS_WEIGHTS'!L26</f>
        <v>0.25</v>
      </c>
      <c r="P26" s="6">
        <f t="shared" si="3"/>
        <v>5.7864398510359738E-2</v>
      </c>
      <c r="Q26" s="6">
        <f t="shared" si="1"/>
        <v>0.11572879702071948</v>
      </c>
    </row>
    <row r="27" spans="1:17" ht="15" customHeight="1" x14ac:dyDescent="0.25">
      <c r="A27" s="3" t="s">
        <v>87</v>
      </c>
      <c r="B27" s="3" t="s">
        <v>281</v>
      </c>
      <c r="C27" s="3" t="s">
        <v>282</v>
      </c>
      <c r="D27" s="3" t="s">
        <v>274</v>
      </c>
      <c r="E27" s="3" t="s">
        <v>283</v>
      </c>
      <c r="F27" s="3" t="s">
        <v>124</v>
      </c>
      <c r="G27" s="7">
        <f>'05_IMPORT_BASELINE'!D27</f>
        <v>0.80611897953339418</v>
      </c>
      <c r="H27" s="7">
        <f>'04_THRESHOLDS_WEIGHTS'!G27</f>
        <v>0</v>
      </c>
      <c r="I27" s="7">
        <f>'04_THRESHOLDS_WEIGHTS'!H27</f>
        <v>0.25</v>
      </c>
      <c r="J27" s="7">
        <f>'04_THRESHOLDS_WEIGHTS'!I27</f>
        <v>0.5</v>
      </c>
      <c r="K27" s="7">
        <f>'04_THRESHOLDS_WEIGHTS'!J27</f>
        <v>1</v>
      </c>
      <c r="L27" s="6">
        <f t="shared" si="2"/>
        <v>0.90305948976669703</v>
      </c>
      <c r="M27" s="2" t="str">
        <f t="shared" si="0"/>
        <v>Excellent</v>
      </c>
      <c r="N27" s="6">
        <f>'04_THRESHOLDS_WEIGHTS'!K27</f>
        <v>0.125</v>
      </c>
      <c r="O27" s="6">
        <f>'04_THRESHOLDS_WEIGHTS'!L27</f>
        <v>0.25</v>
      </c>
      <c r="P27" s="6">
        <f t="shared" si="3"/>
        <v>0.11288243622083713</v>
      </c>
      <c r="Q27" s="6">
        <f t="shared" si="1"/>
        <v>0.22576487244167426</v>
      </c>
    </row>
    <row r="28" spans="1:17" ht="15" customHeight="1" x14ac:dyDescent="0.25">
      <c r="A28" s="3" t="s">
        <v>93</v>
      </c>
      <c r="B28" s="3" t="s">
        <v>287</v>
      </c>
      <c r="C28" s="3" t="s">
        <v>288</v>
      </c>
      <c r="D28" s="3" t="s">
        <v>142</v>
      </c>
      <c r="E28" s="3" t="s">
        <v>290</v>
      </c>
      <c r="F28" s="3" t="s">
        <v>141</v>
      </c>
      <c r="G28" s="7">
        <f>'05_IMPORT_BASELINE'!D28</f>
        <v>454.87965603945833</v>
      </c>
      <c r="H28" s="7">
        <f>'04_THRESHOLDS_WEIGHTS'!G28</f>
        <v>600</v>
      </c>
      <c r="I28" s="7">
        <f>'04_THRESHOLDS_WEIGHTS'!H28</f>
        <v>500</v>
      </c>
      <c r="J28" s="7">
        <f>'04_THRESHOLDS_WEIGHTS'!I28</f>
        <v>400</v>
      </c>
      <c r="K28" s="7">
        <f>'04_THRESHOLDS_WEIGHTS'!J28</f>
        <v>300</v>
      </c>
      <c r="L28" s="6">
        <f t="shared" si="2"/>
        <v>0.61280085990135413</v>
      </c>
      <c r="M28" s="2" t="str">
        <f t="shared" si="0"/>
        <v>Good</v>
      </c>
      <c r="N28" s="6">
        <f>'04_THRESHOLDS_WEIGHTS'!K28</f>
        <v>0.1</v>
      </c>
      <c r="O28" s="6">
        <f>'04_THRESHOLDS_WEIGHTS'!L28</f>
        <v>8.3333333333333329E-2</v>
      </c>
      <c r="P28" s="6">
        <f t="shared" si="3"/>
        <v>6.1280085990135416E-2</v>
      </c>
      <c r="Q28" s="6">
        <f t="shared" si="1"/>
        <v>5.106673832511284E-2</v>
      </c>
    </row>
    <row r="29" spans="1:17" ht="15" customHeight="1" x14ac:dyDescent="0.25">
      <c r="A29" s="3" t="s">
        <v>93</v>
      </c>
      <c r="B29" s="3" t="s">
        <v>294</v>
      </c>
      <c r="C29" s="3" t="s">
        <v>295</v>
      </c>
      <c r="D29" s="3" t="s">
        <v>142</v>
      </c>
      <c r="E29" s="3" t="s">
        <v>290</v>
      </c>
      <c r="F29" s="3" t="s">
        <v>141</v>
      </c>
      <c r="G29" s="7">
        <f>'05_IMPORT_BASELINE'!D29</f>
        <v>0.34659797262552594</v>
      </c>
      <c r="H29" s="7">
        <f>'04_THRESHOLDS_WEIGHTS'!G29</f>
        <v>0.45</v>
      </c>
      <c r="I29" s="7">
        <f>'04_THRESHOLDS_WEIGHTS'!H29</f>
        <v>0.35</v>
      </c>
      <c r="J29" s="7">
        <f>'04_THRESHOLDS_WEIGHTS'!I29</f>
        <v>0.25</v>
      </c>
      <c r="K29" s="7">
        <f>'04_THRESHOLDS_WEIGHTS'!J29</f>
        <v>0.2</v>
      </c>
      <c r="L29" s="6">
        <f t="shared" si="2"/>
        <v>0.50850506843618515</v>
      </c>
      <c r="M29" s="2" t="str">
        <f t="shared" si="0"/>
        <v>Good</v>
      </c>
      <c r="N29" s="6">
        <f>'04_THRESHOLDS_WEIGHTS'!K29</f>
        <v>0.1</v>
      </c>
      <c r="O29" s="6">
        <f>'04_THRESHOLDS_WEIGHTS'!L29</f>
        <v>8.3333333333333329E-2</v>
      </c>
      <c r="P29" s="6">
        <f t="shared" si="3"/>
        <v>5.0850506843618519E-2</v>
      </c>
      <c r="Q29" s="6">
        <f t="shared" si="1"/>
        <v>4.2375422369682093E-2</v>
      </c>
    </row>
    <row r="30" spans="1:17" ht="15" customHeight="1" x14ac:dyDescent="0.25">
      <c r="A30" s="3" t="s">
        <v>93</v>
      </c>
      <c r="B30" s="3" t="s">
        <v>299</v>
      </c>
      <c r="C30" s="3" t="s">
        <v>300</v>
      </c>
      <c r="D30" s="3" t="s">
        <v>274</v>
      </c>
      <c r="E30" s="3" t="s">
        <v>290</v>
      </c>
      <c r="F30" s="3" t="s">
        <v>124</v>
      </c>
      <c r="G30" s="7">
        <f>'05_IMPORT_BASELINE'!D30</f>
        <v>9.0615316337890578E-2</v>
      </c>
      <c r="H30" s="7">
        <f>'04_THRESHOLDS_WEIGHTS'!G30</f>
        <v>0.25</v>
      </c>
      <c r="I30" s="7">
        <f>'04_THRESHOLDS_WEIGHTS'!H30</f>
        <v>0.5</v>
      </c>
      <c r="J30" s="7">
        <f>'04_THRESHOLDS_WEIGHTS'!I30</f>
        <v>0.75</v>
      </c>
      <c r="K30" s="7">
        <f>'04_THRESHOLDS_WEIGHTS'!J30</f>
        <v>0.8</v>
      </c>
      <c r="L30" s="6">
        <f t="shared" si="2"/>
        <v>0</v>
      </c>
      <c r="M30" s="2" t="str">
        <f t="shared" si="0"/>
        <v>Low</v>
      </c>
      <c r="N30" s="6">
        <f>'04_THRESHOLDS_WEIGHTS'!K30</f>
        <v>0.1</v>
      </c>
      <c r="O30" s="6">
        <f>'04_THRESHOLDS_WEIGHTS'!L30</f>
        <v>8.3333333333333329E-2</v>
      </c>
      <c r="P30" s="6">
        <f t="shared" si="3"/>
        <v>0</v>
      </c>
      <c r="Q30" s="6">
        <f t="shared" si="1"/>
        <v>0</v>
      </c>
    </row>
    <row r="31" spans="1:17" ht="15" customHeight="1" x14ac:dyDescent="0.25">
      <c r="A31" s="3" t="s">
        <v>93</v>
      </c>
      <c r="B31" s="3" t="s">
        <v>304</v>
      </c>
      <c r="C31" s="3" t="s">
        <v>305</v>
      </c>
      <c r="D31" s="3" t="s">
        <v>142</v>
      </c>
      <c r="E31" s="3" t="s">
        <v>306</v>
      </c>
      <c r="F31" s="3" t="s">
        <v>141</v>
      </c>
      <c r="G31" s="7">
        <f>'05_IMPORT_BASELINE'!D31</f>
        <v>1.0071750145918217</v>
      </c>
      <c r="H31" s="7">
        <f>'04_THRESHOLDS_WEIGHTS'!G31</f>
        <v>1.25</v>
      </c>
      <c r="I31" s="7">
        <f>'04_THRESHOLDS_WEIGHTS'!H31</f>
        <v>1.05</v>
      </c>
      <c r="J31" s="7">
        <f>'04_THRESHOLDS_WEIGHTS'!I31</f>
        <v>0.75</v>
      </c>
      <c r="K31" s="7">
        <f>'04_THRESHOLDS_WEIGHTS'!J31</f>
        <v>0.5</v>
      </c>
      <c r="L31" s="6">
        <f t="shared" si="2"/>
        <v>0.53568748784014864</v>
      </c>
      <c r="M31" s="2" t="str">
        <f t="shared" si="0"/>
        <v>Good</v>
      </c>
      <c r="N31" s="6">
        <f>'04_THRESHOLDS_WEIGHTS'!K31</f>
        <v>0.1</v>
      </c>
      <c r="O31" s="6">
        <f>'04_THRESHOLDS_WEIGHTS'!L31</f>
        <v>0.125</v>
      </c>
      <c r="P31" s="6">
        <f t="shared" si="3"/>
        <v>5.3568748784014866E-2</v>
      </c>
      <c r="Q31" s="6">
        <f t="shared" si="1"/>
        <v>6.6960935980018579E-2</v>
      </c>
    </row>
    <row r="32" spans="1:17" ht="15" customHeight="1" x14ac:dyDescent="0.25">
      <c r="A32" s="3" t="s">
        <v>93</v>
      </c>
      <c r="B32" s="3" t="s">
        <v>312</v>
      </c>
      <c r="C32" s="3" t="s">
        <v>313</v>
      </c>
      <c r="D32" s="3" t="s">
        <v>274</v>
      </c>
      <c r="E32" s="3" t="s">
        <v>306</v>
      </c>
      <c r="F32" s="3" t="s">
        <v>124</v>
      </c>
      <c r="G32" s="7">
        <f>'05_IMPORT_BASELINE'!D32</f>
        <v>0.56628899075120642</v>
      </c>
      <c r="H32" s="7">
        <f>'04_THRESHOLDS_WEIGHTS'!G32</f>
        <v>0.25</v>
      </c>
      <c r="I32" s="7">
        <f>'04_THRESHOLDS_WEIGHTS'!H32</f>
        <v>0.5</v>
      </c>
      <c r="J32" s="7">
        <f>'04_THRESHOLDS_WEIGHTS'!I32</f>
        <v>0.75</v>
      </c>
      <c r="K32" s="7">
        <f>'04_THRESHOLDS_WEIGHTS'!J32</f>
        <v>1</v>
      </c>
      <c r="L32" s="6">
        <f t="shared" si="2"/>
        <v>0.56628899075120642</v>
      </c>
      <c r="M32" s="2" t="str">
        <f t="shared" si="0"/>
        <v>Good</v>
      </c>
      <c r="N32" s="6">
        <f>'04_THRESHOLDS_WEIGHTS'!K32</f>
        <v>0.1</v>
      </c>
      <c r="O32" s="6">
        <f>'04_THRESHOLDS_WEIGHTS'!L32</f>
        <v>0.125</v>
      </c>
      <c r="P32" s="6">
        <f t="shared" si="3"/>
        <v>5.6628899075120642E-2</v>
      </c>
      <c r="Q32" s="6">
        <f t="shared" si="1"/>
        <v>7.0786123843900803E-2</v>
      </c>
    </row>
    <row r="33" spans="1:17" ht="15" customHeight="1" x14ac:dyDescent="0.25">
      <c r="A33" s="3" t="s">
        <v>93</v>
      </c>
      <c r="B33" s="3" t="s">
        <v>317</v>
      </c>
      <c r="C33" s="3" t="s">
        <v>318</v>
      </c>
      <c r="D33" s="3" t="s">
        <v>274</v>
      </c>
      <c r="E33" s="3" t="s">
        <v>319</v>
      </c>
      <c r="F33" s="3" t="s">
        <v>124</v>
      </c>
      <c r="G33" s="7">
        <f>'05_IMPORT_BASELINE'!D33</f>
        <v>0.54884268983162765</v>
      </c>
      <c r="H33" s="7">
        <f>'04_THRESHOLDS_WEIGHTS'!G33</f>
        <v>0</v>
      </c>
      <c r="I33" s="7">
        <f>'04_THRESHOLDS_WEIGHTS'!H33</f>
        <v>0.2</v>
      </c>
      <c r="J33" s="7">
        <f>'04_THRESHOLDS_WEIGHTS'!I33</f>
        <v>0.25</v>
      </c>
      <c r="K33" s="7">
        <f>'04_THRESHOLDS_WEIGHTS'!J33</f>
        <v>0.3</v>
      </c>
      <c r="L33" s="6">
        <f t="shared" si="2"/>
        <v>1</v>
      </c>
      <c r="M33" s="2" t="str">
        <f t="shared" si="0"/>
        <v>Excellent</v>
      </c>
      <c r="N33" s="6">
        <f>'04_THRESHOLDS_WEIGHTS'!K33</f>
        <v>0.1</v>
      </c>
      <c r="O33" s="6">
        <f>'04_THRESHOLDS_WEIGHTS'!L33</f>
        <v>8.3333333333333329E-2</v>
      </c>
      <c r="P33" s="6">
        <f t="shared" si="3"/>
        <v>0.1</v>
      </c>
      <c r="Q33" s="6">
        <f t="shared" si="1"/>
        <v>8.3333333333333329E-2</v>
      </c>
    </row>
    <row r="34" spans="1:17" ht="15" customHeight="1" x14ac:dyDescent="0.25">
      <c r="A34" s="3" t="s">
        <v>93</v>
      </c>
      <c r="B34" s="3" t="s">
        <v>323</v>
      </c>
      <c r="C34" s="3" t="s">
        <v>324</v>
      </c>
      <c r="D34" s="3" t="s">
        <v>149</v>
      </c>
      <c r="E34" s="3" t="s">
        <v>319</v>
      </c>
      <c r="F34" s="3" t="s">
        <v>141</v>
      </c>
      <c r="G34" s="7">
        <f>'05_IMPORT_BASELINE'!D34</f>
        <v>0.19744236000046361</v>
      </c>
      <c r="H34" s="7">
        <f>'04_THRESHOLDS_WEIGHTS'!G34</f>
        <v>0.6</v>
      </c>
      <c r="I34" s="7">
        <f>'04_THRESHOLDS_WEIGHTS'!H34</f>
        <v>0.4</v>
      </c>
      <c r="J34" s="7">
        <f>'04_THRESHOLDS_WEIGHTS'!I34</f>
        <v>0.3</v>
      </c>
      <c r="K34" s="7">
        <f>'04_THRESHOLDS_WEIGHTS'!J34</f>
        <v>0.2</v>
      </c>
      <c r="L34" s="6">
        <f t="shared" si="2"/>
        <v>1</v>
      </c>
      <c r="M34" s="2" t="str">
        <f t="shared" si="0"/>
        <v>Excellent</v>
      </c>
      <c r="N34" s="6">
        <f>'04_THRESHOLDS_WEIGHTS'!K34</f>
        <v>0.1</v>
      </c>
      <c r="O34" s="6">
        <f>'04_THRESHOLDS_WEIGHTS'!L34</f>
        <v>8.3333333333333329E-2</v>
      </c>
      <c r="P34" s="6">
        <f t="shared" si="3"/>
        <v>0.1</v>
      </c>
      <c r="Q34" s="6">
        <f t="shared" si="1"/>
        <v>8.3333333333333329E-2</v>
      </c>
    </row>
    <row r="35" spans="1:17" ht="15" customHeight="1" x14ac:dyDescent="0.25">
      <c r="A35" s="3" t="s">
        <v>93</v>
      </c>
      <c r="B35" s="3" t="s">
        <v>328</v>
      </c>
      <c r="C35" s="3" t="s">
        <v>329</v>
      </c>
      <c r="D35" s="3" t="s">
        <v>330</v>
      </c>
      <c r="E35" s="3" t="s">
        <v>331</v>
      </c>
      <c r="F35" s="3" t="s">
        <v>124</v>
      </c>
      <c r="G35" s="7">
        <f>'05_IMPORT_BASELINE'!D35</f>
        <v>67.9146412605797</v>
      </c>
      <c r="H35" s="7">
        <f>'04_THRESHOLDS_WEIGHTS'!G35</f>
        <v>40</v>
      </c>
      <c r="I35" s="7">
        <f>'04_THRESHOLDS_WEIGHTS'!H35</f>
        <v>60</v>
      </c>
      <c r="J35" s="7">
        <f>'04_THRESHOLDS_WEIGHTS'!I35</f>
        <v>80</v>
      </c>
      <c r="K35" s="7">
        <f>'04_THRESHOLDS_WEIGHTS'!J35</f>
        <v>100</v>
      </c>
      <c r="L35" s="6">
        <f t="shared" si="2"/>
        <v>0.59893301575724622</v>
      </c>
      <c r="M35" s="2" t="str">
        <f t="shared" si="0"/>
        <v>Good</v>
      </c>
      <c r="N35" s="6">
        <f>'04_THRESHOLDS_WEIGHTS'!K35</f>
        <v>0.1</v>
      </c>
      <c r="O35" s="6">
        <f>'04_THRESHOLDS_WEIGHTS'!L35</f>
        <v>0.125</v>
      </c>
      <c r="P35" s="6">
        <f t="shared" si="3"/>
        <v>5.9893301575724624E-2</v>
      </c>
      <c r="Q35" s="6">
        <f t="shared" si="1"/>
        <v>7.4866626969655778E-2</v>
      </c>
    </row>
    <row r="36" spans="1:17" ht="15" customHeight="1" x14ac:dyDescent="0.25">
      <c r="A36" s="3" t="s">
        <v>93</v>
      </c>
      <c r="B36" s="3" t="s">
        <v>335</v>
      </c>
      <c r="C36" s="3" t="s">
        <v>336</v>
      </c>
      <c r="D36" s="3" t="s">
        <v>158</v>
      </c>
      <c r="E36" s="3" t="s">
        <v>331</v>
      </c>
      <c r="F36" s="3" t="s">
        <v>124</v>
      </c>
      <c r="G36" s="7">
        <f>'05_IMPORT_BASELINE'!D36</f>
        <v>0.41686880937942183</v>
      </c>
      <c r="H36" s="7">
        <f>'04_THRESHOLDS_WEIGHTS'!G36</f>
        <v>0.25</v>
      </c>
      <c r="I36" s="7">
        <f>'04_THRESHOLDS_WEIGHTS'!H36</f>
        <v>0.5</v>
      </c>
      <c r="J36" s="7">
        <f>'04_THRESHOLDS_WEIGHTS'!I36</f>
        <v>0.75</v>
      </c>
      <c r="K36" s="7">
        <f>'04_THRESHOLDS_WEIGHTS'!J36</f>
        <v>1</v>
      </c>
      <c r="L36" s="6">
        <f t="shared" si="2"/>
        <v>0.41686880937942183</v>
      </c>
      <c r="M36" s="2" t="str">
        <f t="shared" si="0"/>
        <v>Moderate</v>
      </c>
      <c r="N36" s="6">
        <f>'04_THRESHOLDS_WEIGHTS'!K36</f>
        <v>0.1</v>
      </c>
      <c r="O36" s="6">
        <f>'04_THRESHOLDS_WEIGHTS'!L36</f>
        <v>0.125</v>
      </c>
      <c r="P36" s="6">
        <f t="shared" si="3"/>
        <v>4.1686880937942185E-2</v>
      </c>
      <c r="Q36" s="6">
        <f t="shared" si="1"/>
        <v>5.2108601172427729E-2</v>
      </c>
    </row>
    <row r="37" spans="1:17" ht="15" customHeight="1" x14ac:dyDescent="0.25">
      <c r="A37" s="3" t="s">
        <v>93</v>
      </c>
      <c r="B37" s="3" t="s">
        <v>342</v>
      </c>
      <c r="C37" s="3" t="s">
        <v>343</v>
      </c>
      <c r="D37" s="3" t="s">
        <v>149</v>
      </c>
      <c r="E37" s="3" t="s">
        <v>319</v>
      </c>
      <c r="F37" s="3" t="s">
        <v>124</v>
      </c>
      <c r="G37" s="7">
        <f>'05_IMPORT_BASELINE'!D37</f>
        <v>0.9681647521388449</v>
      </c>
      <c r="H37" s="7">
        <f>'04_THRESHOLDS_WEIGHTS'!G37</f>
        <v>0.7</v>
      </c>
      <c r="I37" s="7">
        <f>'04_THRESHOLDS_WEIGHTS'!H37</f>
        <v>0.85</v>
      </c>
      <c r="J37" s="7">
        <f>'04_THRESHOLDS_WEIGHTS'!I37</f>
        <v>0.95</v>
      </c>
      <c r="K37" s="7">
        <f>'04_THRESHOLDS_WEIGHTS'!J37</f>
        <v>1</v>
      </c>
      <c r="L37" s="6">
        <f t="shared" si="2"/>
        <v>0.8408237606942246</v>
      </c>
      <c r="M37" s="2" t="str">
        <f t="shared" si="0"/>
        <v>Excellent</v>
      </c>
      <c r="N37" s="6">
        <f>'04_THRESHOLDS_WEIGHTS'!K37</f>
        <v>0.1</v>
      </c>
      <c r="O37" s="6">
        <f>'04_THRESHOLDS_WEIGHTS'!L37</f>
        <v>8.3333333333333329E-2</v>
      </c>
      <c r="P37" s="6">
        <f t="shared" si="3"/>
        <v>8.4082376069422468E-2</v>
      </c>
      <c r="Q37" s="6">
        <f t="shared" si="1"/>
        <v>7.0068646724518707E-2</v>
      </c>
    </row>
    <row r="38" spans="1:17" ht="15" customHeight="1" x14ac:dyDescent="0.25">
      <c r="A38" s="3" t="s">
        <v>99</v>
      </c>
      <c r="B38" s="3" t="s">
        <v>347</v>
      </c>
      <c r="C38" s="3" t="s">
        <v>348</v>
      </c>
      <c r="D38" s="3" t="s">
        <v>349</v>
      </c>
      <c r="E38" s="3" t="s">
        <v>350</v>
      </c>
      <c r="F38" s="3" t="s">
        <v>124</v>
      </c>
      <c r="G38" s="7">
        <f>'05_IMPORT_BASELINE'!D38</f>
        <v>0.8125</v>
      </c>
      <c r="H38" s="7">
        <f>'04_THRESHOLDS_WEIGHTS'!G38</f>
        <v>0.25</v>
      </c>
      <c r="I38" s="7">
        <f>'04_THRESHOLDS_WEIGHTS'!H38</f>
        <v>0.5</v>
      </c>
      <c r="J38" s="7">
        <f>'04_THRESHOLDS_WEIGHTS'!I38</f>
        <v>0.75</v>
      </c>
      <c r="K38" s="7">
        <f>'04_THRESHOLDS_WEIGHTS'!J38</f>
        <v>1</v>
      </c>
      <c r="L38" s="6">
        <f t="shared" si="2"/>
        <v>0.8125</v>
      </c>
      <c r="M38" s="2" t="str">
        <f t="shared" si="0"/>
        <v>Excellent</v>
      </c>
      <c r="N38" s="6">
        <f>'04_THRESHOLDS_WEIGHTS'!K38</f>
        <v>0.25</v>
      </c>
      <c r="O38" s="6">
        <f>'04_THRESHOLDS_WEIGHTS'!L38</f>
        <v>0.25</v>
      </c>
      <c r="P38" s="6">
        <f t="shared" si="3"/>
        <v>0.203125</v>
      </c>
      <c r="Q38" s="6">
        <f t="shared" si="1"/>
        <v>0.203125</v>
      </c>
    </row>
    <row r="39" spans="1:17" ht="15" customHeight="1" x14ac:dyDescent="0.25">
      <c r="A39" s="3" t="s">
        <v>99</v>
      </c>
      <c r="B39" s="3" t="s">
        <v>356</v>
      </c>
      <c r="C39" s="3" t="s">
        <v>357</v>
      </c>
      <c r="D39" s="3" t="s">
        <v>349</v>
      </c>
      <c r="E39" s="3" t="s">
        <v>358</v>
      </c>
      <c r="F39" s="3" t="s">
        <v>124</v>
      </c>
      <c r="G39" s="7">
        <f>'05_IMPORT_BASELINE'!D39</f>
        <v>0.625</v>
      </c>
      <c r="H39" s="7">
        <f>'04_THRESHOLDS_WEIGHTS'!G39</f>
        <v>0.25</v>
      </c>
      <c r="I39" s="7">
        <f>'04_THRESHOLDS_WEIGHTS'!H39</f>
        <v>0.5</v>
      </c>
      <c r="J39" s="7">
        <f>'04_THRESHOLDS_WEIGHTS'!I39</f>
        <v>0.75</v>
      </c>
      <c r="K39" s="7">
        <f>'04_THRESHOLDS_WEIGHTS'!J39</f>
        <v>1</v>
      </c>
      <c r="L39" s="6">
        <f t="shared" si="2"/>
        <v>0.625</v>
      </c>
      <c r="M39" s="2" t="str">
        <f t="shared" si="0"/>
        <v>Good</v>
      </c>
      <c r="N39" s="6">
        <f>'04_THRESHOLDS_WEIGHTS'!K39</f>
        <v>0.25</v>
      </c>
      <c r="O39" s="6">
        <f>'04_THRESHOLDS_WEIGHTS'!L39</f>
        <v>0.25</v>
      </c>
      <c r="P39" s="6">
        <f t="shared" si="3"/>
        <v>0.15625</v>
      </c>
      <c r="Q39" s="6">
        <f t="shared" si="1"/>
        <v>0.15625</v>
      </c>
    </row>
    <row r="40" spans="1:17" ht="15" customHeight="1" x14ac:dyDescent="0.25">
      <c r="A40" s="3" t="s">
        <v>99</v>
      </c>
      <c r="B40" s="3" t="s">
        <v>362</v>
      </c>
      <c r="C40" s="3" t="s">
        <v>363</v>
      </c>
      <c r="D40" s="3" t="s">
        <v>349</v>
      </c>
      <c r="E40" s="3" t="s">
        <v>364</v>
      </c>
      <c r="F40" s="3" t="s">
        <v>124</v>
      </c>
      <c r="G40" s="7">
        <f>'05_IMPORT_BASELINE'!D40</f>
        <v>0.5</v>
      </c>
      <c r="H40" s="7">
        <f>'04_THRESHOLDS_WEIGHTS'!G40</f>
        <v>0.25</v>
      </c>
      <c r="I40" s="7">
        <f>'04_THRESHOLDS_WEIGHTS'!H40</f>
        <v>0.5</v>
      </c>
      <c r="J40" s="7">
        <f>'04_THRESHOLDS_WEIGHTS'!I40</f>
        <v>0.75</v>
      </c>
      <c r="K40" s="7">
        <f>'04_THRESHOLDS_WEIGHTS'!J40</f>
        <v>1</v>
      </c>
      <c r="L40" s="6">
        <f t="shared" si="2"/>
        <v>0.5</v>
      </c>
      <c r="M40" s="2" t="str">
        <f t="shared" si="0"/>
        <v>Good</v>
      </c>
      <c r="N40" s="6">
        <f>'04_THRESHOLDS_WEIGHTS'!K40</f>
        <v>0.25</v>
      </c>
      <c r="O40" s="6">
        <f>'04_THRESHOLDS_WEIGHTS'!L40</f>
        <v>0.25</v>
      </c>
      <c r="P40" s="6">
        <f t="shared" si="3"/>
        <v>0.125</v>
      </c>
      <c r="Q40" s="6">
        <f t="shared" si="1"/>
        <v>0.125</v>
      </c>
    </row>
    <row r="41" spans="1:17" ht="15" customHeight="1" x14ac:dyDescent="0.25">
      <c r="A41" s="3" t="s">
        <v>99</v>
      </c>
      <c r="B41" s="3" t="s">
        <v>368</v>
      </c>
      <c r="C41" s="3" t="s">
        <v>369</v>
      </c>
      <c r="D41" s="3" t="s">
        <v>349</v>
      </c>
      <c r="E41" s="3" t="s">
        <v>370</v>
      </c>
      <c r="F41" s="3" t="s">
        <v>124</v>
      </c>
      <c r="G41" s="7">
        <f>'05_IMPORT_BASELINE'!D41</f>
        <v>0.4375</v>
      </c>
      <c r="H41" s="7">
        <f>'04_THRESHOLDS_WEIGHTS'!G41</f>
        <v>0.25</v>
      </c>
      <c r="I41" s="7">
        <f>'04_THRESHOLDS_WEIGHTS'!H41</f>
        <v>0.5</v>
      </c>
      <c r="J41" s="7">
        <f>'04_THRESHOLDS_WEIGHTS'!I41</f>
        <v>0.75</v>
      </c>
      <c r="K41" s="7">
        <f>'04_THRESHOLDS_WEIGHTS'!J41</f>
        <v>1</v>
      </c>
      <c r="L41" s="6">
        <f t="shared" si="2"/>
        <v>0.4375</v>
      </c>
      <c r="M41" s="2" t="str">
        <f t="shared" si="0"/>
        <v>Moderate</v>
      </c>
      <c r="N41" s="6">
        <f>'04_THRESHOLDS_WEIGHTS'!K41</f>
        <v>0.25</v>
      </c>
      <c r="O41" s="6">
        <f>'04_THRESHOLDS_WEIGHTS'!L41</f>
        <v>0.25</v>
      </c>
      <c r="P41" s="6">
        <f t="shared" si="3"/>
        <v>0.109375</v>
      </c>
      <c r="Q41" s="6">
        <f t="shared" si="1"/>
        <v>0.109375</v>
      </c>
    </row>
  </sheetData>
  <mergeCells count="1">
    <mergeCell ref="A1:Q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2"/>
  <sheetViews>
    <sheetView showGridLines="0" workbookViewId="0">
      <selection activeCell="E29" sqref="E29"/>
    </sheetView>
  </sheetViews>
  <sheetFormatPr defaultRowHeight="15" x14ac:dyDescent="0.25"/>
  <cols>
    <col min="1" max="1" width="24" customWidth="1"/>
    <col min="2" max="6" width="20" customWidth="1"/>
    <col min="7" max="7" width="42" customWidth="1"/>
  </cols>
  <sheetData>
    <row r="1" spans="1:7" ht="27" customHeight="1" x14ac:dyDescent="0.25">
      <c r="A1" s="10" t="s">
        <v>610</v>
      </c>
      <c r="B1" s="10"/>
      <c r="C1" s="10"/>
      <c r="D1" s="10"/>
      <c r="E1" s="10"/>
      <c r="F1" s="10"/>
      <c r="G1" s="10"/>
    </row>
    <row r="3" spans="1:7" ht="30" x14ac:dyDescent="0.25">
      <c r="A3" s="1" t="s">
        <v>60</v>
      </c>
      <c r="B3" s="1" t="s">
        <v>611</v>
      </c>
      <c r="C3" s="1" t="s">
        <v>612</v>
      </c>
      <c r="D3" s="1" t="s">
        <v>613</v>
      </c>
      <c r="E3" s="1" t="s">
        <v>614</v>
      </c>
      <c r="F3" s="1" t="s">
        <v>615</v>
      </c>
      <c r="G3" s="1" t="s">
        <v>616</v>
      </c>
    </row>
    <row r="4" spans="1:7" x14ac:dyDescent="0.25">
      <c r="A4" s="3" t="s">
        <v>67</v>
      </c>
      <c r="B4" s="6">
        <f>SUMIFS('08_NORMALISATION'!$P$4:$P$41,'08_NORMALISATION'!$A$4:$A$41,A4)</f>
        <v>0.60981447207677852</v>
      </c>
      <c r="C4" s="6">
        <f>SUMIFS('08_NORMALISATION'!$Q$4:$Q$41,'08_NORMALISATION'!$A$4:$A$41,A4)</f>
        <v>0.59980884489797603</v>
      </c>
      <c r="D4" s="6" t="str">
        <f t="shared" ref="D4:E9" si="0">IF(NOT(ISNUMBER(B4)),"",IF(B4&lt;0.25,"Low",IF(B4&lt;0.5,"Moderate",IF(B4&lt;0.75,"Good","Excellent"))))</f>
        <v>Good</v>
      </c>
      <c r="E4" s="6" t="str">
        <f t="shared" si="0"/>
        <v>Good</v>
      </c>
      <c r="F4" s="6">
        <f t="shared" ref="F4:F9" si="1">C4-B4</f>
        <v>-1.000562717880249E-2</v>
      </c>
      <c r="G4" s="2" t="s">
        <v>617</v>
      </c>
    </row>
    <row r="5" spans="1:7" x14ac:dyDescent="0.25">
      <c r="A5" s="3" t="s">
        <v>76</v>
      </c>
      <c r="B5" s="6">
        <f>SUMIFS('08_NORMALISATION'!$P$4:$P$41,'08_NORMALISATION'!$A$4:$A$41,A5)</f>
        <v>0.88427374090298327</v>
      </c>
      <c r="C5" s="6">
        <f>SUMIFS('08_NORMALISATION'!$Q$4:$Q$41,'08_NORMALISATION'!$A$4:$A$41,A5)</f>
        <v>0.8578087490579297</v>
      </c>
      <c r="D5" s="6" t="str">
        <f t="shared" si="0"/>
        <v>Excellent</v>
      </c>
      <c r="E5" s="6" t="str">
        <f t="shared" si="0"/>
        <v>Excellent</v>
      </c>
      <c r="F5" s="6">
        <f t="shared" si="1"/>
        <v>-2.6464991845053576E-2</v>
      </c>
      <c r="G5" s="2" t="s">
        <v>617</v>
      </c>
    </row>
    <row r="6" spans="1:7" x14ac:dyDescent="0.25">
      <c r="A6" s="3" t="s">
        <v>82</v>
      </c>
      <c r="B6" s="6">
        <f>SUMIFS('08_NORMALISATION'!$P$4:$P$41,'08_NORMALISATION'!$A$4:$A$41,A6)</f>
        <v>0.76150514352928766</v>
      </c>
      <c r="C6" s="6">
        <f>SUMIFS('08_NORMALISATION'!$Q$4:$Q$41,'08_NORMALISATION'!$A$4:$A$41,A6)</f>
        <v>0.79300252531597537</v>
      </c>
      <c r="D6" s="6" t="str">
        <f t="shared" si="0"/>
        <v>Excellent</v>
      </c>
      <c r="E6" s="6" t="str">
        <f t="shared" si="0"/>
        <v>Excellent</v>
      </c>
      <c r="F6" s="6">
        <f t="shared" si="1"/>
        <v>3.1497381786687706E-2</v>
      </c>
      <c r="G6" s="2" t="s">
        <v>617</v>
      </c>
    </row>
    <row r="7" spans="1:7" x14ac:dyDescent="0.25">
      <c r="A7" s="3" t="s">
        <v>87</v>
      </c>
      <c r="B7" s="6">
        <f>SUMIFS('08_NORMALISATION'!$P$4:$P$41,'08_NORMALISATION'!$A$4:$A$41,A7)</f>
        <v>0.66498611813235564</v>
      </c>
      <c r="C7" s="6">
        <f>SUMIFS('08_NORMALISATION'!$Q$4:$Q$41,'08_NORMALISATION'!$A$4:$A$41,A7)</f>
        <v>0.67098652506316625</v>
      </c>
      <c r="D7" s="6" t="str">
        <f t="shared" si="0"/>
        <v>Good</v>
      </c>
      <c r="E7" s="6" t="str">
        <f t="shared" si="0"/>
        <v>Good</v>
      </c>
      <c r="F7" s="6">
        <f t="shared" si="1"/>
        <v>6.0004069308106089E-3</v>
      </c>
      <c r="G7" s="2" t="s">
        <v>617</v>
      </c>
    </row>
    <row r="8" spans="1:7" x14ac:dyDescent="0.25">
      <c r="A8" s="3" t="s">
        <v>93</v>
      </c>
      <c r="B8" s="6">
        <f>SUMIFS('08_NORMALISATION'!$P$4:$P$41,'08_NORMALISATION'!$A$4:$A$41,A8)</f>
        <v>0.60799079927597877</v>
      </c>
      <c r="C8" s="6">
        <f>SUMIFS('08_NORMALISATION'!$Q$4:$Q$41,'08_NORMALISATION'!$A$4:$A$41,A8)</f>
        <v>0.59489976205198325</v>
      </c>
      <c r="D8" s="6" t="str">
        <f t="shared" si="0"/>
        <v>Good</v>
      </c>
      <c r="E8" s="6" t="str">
        <f t="shared" si="0"/>
        <v>Good</v>
      </c>
      <c r="F8" s="6">
        <f t="shared" si="1"/>
        <v>-1.3091037223995516E-2</v>
      </c>
      <c r="G8" s="2" t="s">
        <v>617</v>
      </c>
    </row>
    <row r="9" spans="1:7" x14ac:dyDescent="0.25">
      <c r="A9" s="3" t="s">
        <v>99</v>
      </c>
      <c r="B9" s="6">
        <f>SUMIFS('08_NORMALISATION'!$P$4:$P$41,'08_NORMALISATION'!$A$4:$A$41,A9)</f>
        <v>0.59375</v>
      </c>
      <c r="C9" s="6">
        <f>SUMIFS('08_NORMALISATION'!$Q$4:$Q$41,'08_NORMALISATION'!$A$4:$A$41,A9)</f>
        <v>0.59375</v>
      </c>
      <c r="D9" s="6" t="str">
        <f t="shared" si="0"/>
        <v>Good</v>
      </c>
      <c r="E9" s="6" t="str">
        <f t="shared" si="0"/>
        <v>Good</v>
      </c>
      <c r="F9" s="6">
        <f t="shared" si="1"/>
        <v>0</v>
      </c>
      <c r="G9" s="2" t="s">
        <v>617</v>
      </c>
    </row>
    <row r="12" spans="1:7" ht="30" x14ac:dyDescent="0.25">
      <c r="A12" s="1" t="s">
        <v>618</v>
      </c>
      <c r="B12" s="1" t="s">
        <v>619</v>
      </c>
      <c r="C12" s="1" t="s">
        <v>620</v>
      </c>
      <c r="D12" s="1" t="s">
        <v>613</v>
      </c>
      <c r="E12" s="1" t="s">
        <v>614</v>
      </c>
      <c r="F12" s="1" t="s">
        <v>621</v>
      </c>
      <c r="G12" s="1" t="s">
        <v>46</v>
      </c>
    </row>
    <row r="13" spans="1:7" x14ac:dyDescent="0.25">
      <c r="A13" s="3" t="s">
        <v>6</v>
      </c>
      <c r="B13" s="6">
        <f>AVERAGE(B4:B9)</f>
        <v>0.68705337898623065</v>
      </c>
      <c r="C13" s="6">
        <f>AVERAGE(C4:C9)</f>
        <v>0.68504273439783836</v>
      </c>
      <c r="D13" s="6" t="str">
        <f>IF(NOT(ISNUMBER(B13)),"",IF(B13&lt;0.25,"Low",IF(B13&lt;0.5,"Moderate",IF(B13&lt;0.75,"Good","Excellent"))))</f>
        <v>Good</v>
      </c>
      <c r="E13" s="6" t="str">
        <f>IF(NOT(ISNUMBER(C13)),"",IF(C13&lt;0.25,"Low",IF(C13&lt;0.5,"Moderate",IF(C13&lt;0.75,"Good","Excellent"))))</f>
        <v>Good</v>
      </c>
      <c r="F13" s="7">
        <f>IF('01_CONTROL'!B11="Equal indicators",B13,C13)</f>
        <v>0.68504273439783836</v>
      </c>
      <c r="G13" s="4" t="str">
        <f>'01_CONTROL'!B11</f>
        <v>Dimension-balanced</v>
      </c>
    </row>
    <row r="16" spans="1:7" x14ac:dyDescent="0.25">
      <c r="A16" s="1" t="s">
        <v>622</v>
      </c>
      <c r="B16" s="1" t="s">
        <v>623</v>
      </c>
      <c r="C16" s="1" t="s">
        <v>624</v>
      </c>
    </row>
    <row r="17" spans="1:3" ht="30" x14ac:dyDescent="0.25">
      <c r="A17" s="3" t="s">
        <v>625</v>
      </c>
      <c r="B17" s="2" t="str">
        <f>E13</f>
        <v>Good</v>
      </c>
      <c r="C17" s="2" t="s">
        <v>626</v>
      </c>
    </row>
    <row r="18" spans="1:3" ht="45" x14ac:dyDescent="0.25">
      <c r="A18" s="3" t="s">
        <v>627</v>
      </c>
      <c r="B18" s="2" t="str">
        <f>INDEX(A4:A9,MATCH(MIN(C4:C9),C4:C9,0))</f>
        <v>F</v>
      </c>
      <c r="C18" s="2" t="s">
        <v>628</v>
      </c>
    </row>
    <row r="19" spans="1:3" ht="45" x14ac:dyDescent="0.25">
      <c r="A19" s="3" t="s">
        <v>629</v>
      </c>
      <c r="B19" s="2" t="str">
        <f>INDEX(A4:A9,MATCH(MAX(C4:C9),C4:C9,0))</f>
        <v>B</v>
      </c>
      <c r="C19" s="2" t="s">
        <v>630</v>
      </c>
    </row>
    <row r="20" spans="1:3" ht="30" x14ac:dyDescent="0.25">
      <c r="A20" s="3" t="s">
        <v>631</v>
      </c>
      <c r="B20" s="2" t="str">
        <f>INDEX('08_NORMALISATION'!B4:B41,MATCH(MIN('08_NORMALISATION'!L4:L41),'08_NORMALISATION'!L4:L41,0))</f>
        <v>E3</v>
      </c>
      <c r="C20" s="2" t="s">
        <v>632</v>
      </c>
    </row>
    <row r="21" spans="1:3" ht="30" x14ac:dyDescent="0.25">
      <c r="A21" s="3" t="s">
        <v>633</v>
      </c>
      <c r="B21" s="2" t="str">
        <f>INDEX('08_NORMALISATION'!B4:B41,MATCH(MAX('08_NORMALISATION'!L4:L41),'08_NORMALISATION'!L4:L41,0))</f>
        <v>B5</v>
      </c>
      <c r="C21" s="2" t="s">
        <v>634</v>
      </c>
    </row>
    <row r="22" spans="1:3" ht="60" x14ac:dyDescent="0.25">
      <c r="A22" s="3" t="s">
        <v>635</v>
      </c>
      <c r="B22" s="2" t="s">
        <v>636</v>
      </c>
      <c r="C22" s="2"/>
    </row>
  </sheetData>
  <mergeCells count="1">
    <mergeCell ref="A1:G1"/>
  </mergeCells>
  <conditionalFormatting sqref="C1">
    <cfRule type="dataBar" priority="1">
      <dataBar>
        <cfvo type="min"/>
        <cfvo type="max"/>
        <color rgb="FF1F4E79"/>
      </dataBar>
    </cfRule>
    <cfRule type="dataBar" priority="2">
      <dataBar>
        <cfvo type="min"/>
        <cfvo type="max"/>
        <color rgb="FF1F4E79"/>
      </dataBar>
      <extLst>
        <ext xmlns:x14="http://schemas.microsoft.com/office/spreadsheetml/2009/9/main" uri="{B025F937-C7B1-47D3-B67F-A62EFF666E3E}">
          <x14:id>{0D26777F-46F4-5DFC-5AD3-8D0E76F064A1}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26777F-46F4-5DFC-5AD3-8D0E76F064A1}">
            <x14:dataBar>
              <x14:cfvo type="min"/>
              <x14:cfvo type="max"/>
              <x14:negativeFillColor auto="1"/>
              <x14:axisColor auto="1"/>
            </x14:dataBar>
          </x14:cfRule>
          <xm:sqref>C1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58"/>
  <sheetViews>
    <sheetView showGridLines="0" topLeftCell="G11" workbookViewId="0">
      <selection sqref="A1:U1"/>
    </sheetView>
  </sheetViews>
  <sheetFormatPr defaultRowHeight="15" x14ac:dyDescent="0.25"/>
  <cols>
    <col min="1" max="2" width="14" customWidth="1"/>
    <col min="3" max="3" width="36" customWidth="1"/>
    <col min="4" max="5" width="20" customWidth="1"/>
    <col min="6" max="21" width="15" customWidth="1"/>
  </cols>
  <sheetData>
    <row r="1" spans="1:21" ht="27" customHeight="1" x14ac:dyDescent="0.25">
      <c r="A1" s="10" t="s">
        <v>637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3" spans="1:21" ht="30" x14ac:dyDescent="0.25">
      <c r="A3" s="1" t="s">
        <v>60</v>
      </c>
      <c r="B3" s="1" t="s">
        <v>105</v>
      </c>
      <c r="C3" s="1" t="s">
        <v>106</v>
      </c>
      <c r="D3" s="1" t="s">
        <v>375</v>
      </c>
      <c r="E3" s="1" t="s">
        <v>108</v>
      </c>
      <c r="F3" s="1" t="s">
        <v>376</v>
      </c>
      <c r="G3" s="1" t="s">
        <v>377</v>
      </c>
      <c r="H3" s="1" t="s">
        <v>378</v>
      </c>
      <c r="I3" s="1" t="s">
        <v>603</v>
      </c>
      <c r="J3" s="1" t="s">
        <v>638</v>
      </c>
      <c r="K3" s="1" t="s">
        <v>639</v>
      </c>
      <c r="L3" s="1" t="s">
        <v>640</v>
      </c>
      <c r="M3" s="1" t="s">
        <v>641</v>
      </c>
      <c r="N3" s="1" t="s">
        <v>642</v>
      </c>
      <c r="O3" s="1" t="s">
        <v>643</v>
      </c>
      <c r="P3" s="1" t="s">
        <v>644</v>
      </c>
      <c r="Q3" s="1" t="s">
        <v>645</v>
      </c>
      <c r="R3" s="1" t="s">
        <v>646</v>
      </c>
      <c r="S3" s="1" t="s">
        <v>647</v>
      </c>
      <c r="T3" s="1" t="s">
        <v>648</v>
      </c>
      <c r="U3" s="1" t="s">
        <v>649</v>
      </c>
    </row>
    <row r="4" spans="1:21" ht="15" customHeight="1" x14ac:dyDescent="0.25">
      <c r="A4" s="3" t="s">
        <v>67</v>
      </c>
      <c r="B4" s="3" t="s">
        <v>121</v>
      </c>
      <c r="C4" s="3" t="s">
        <v>122</v>
      </c>
      <c r="D4" s="3" t="s">
        <v>126</v>
      </c>
      <c r="E4" s="3" t="s">
        <v>124</v>
      </c>
      <c r="F4" s="4">
        <f>'04_THRESHOLDS_WEIGHTS'!G4</f>
        <v>0.4</v>
      </c>
      <c r="G4" s="4">
        <f>'04_THRESHOLDS_WEIGHTS'!H4</f>
        <v>0.6</v>
      </c>
      <c r="H4" s="4">
        <f>'04_THRESHOLDS_WEIGHTS'!I4</f>
        <v>0.8</v>
      </c>
      <c r="I4" s="4">
        <f>'04_THRESHOLDS_WEIGHTS'!J4</f>
        <v>1</v>
      </c>
      <c r="J4" s="6">
        <f>'07_IMPORT_ENSEMBLE'!E4</f>
        <v>0.72499999999999998</v>
      </c>
      <c r="K4" s="6">
        <f t="shared" ref="K4:K41" si="0">IF(NOT(ISNUMBER(J4)),"",IF(E4="Positive",IF(J4&lt;F4,0,IF(J4&lt;G4,0.25+0.25*(J4-F4)/(G4-F4),IF(J4&lt;H4,0.5+0.25*(J4-G4)/(H4-G4),IF(J4&lt;I4,0.75+0.25*(J4-H4)/(I4-H4),1)))),IF(J4&gt;F4,0,IF(J4&gt;G4,0.25+0.25*(F4-J4)/(F4-G4),IF(J4&gt;H4,0.5+0.25*(G4-J4)/(G4-H4),IF(J4&gt;I4,0.75+0.25*(H4-J4)/(H4-I4),1))))))</f>
        <v>0.65625</v>
      </c>
      <c r="L4" s="6">
        <f>'07_IMPORT_ENSEMBLE'!F4</f>
        <v>0.72499999999999998</v>
      </c>
      <c r="M4" s="6">
        <f t="shared" ref="M4:M41" si="1">IF(NOT(ISNUMBER(L4)),"",IF(E4="Positive",IF(L4&lt;F4,0,IF(L4&lt;G4,0.25+0.25*(L4-F4)/(G4-F4),IF(L4&lt;H4,0.5+0.25*(L4-G4)/(H4-G4),IF(L4&lt;I4,0.75+0.25*(L4-H4)/(I4-H4),1)))),IF(L4&gt;F4,0,IF(L4&gt;G4,0.25+0.25*(F4-L4)/(F4-G4),IF(L4&gt;H4,0.5+0.25*(G4-L4)/(G4-H4),IF(L4&gt;I4,0.75+0.25*(H4-L4)/(H4-I4),1))))))</f>
        <v>0.65625</v>
      </c>
      <c r="N4" s="6">
        <f>'07_IMPORT_ENSEMBLE'!G4</f>
        <v>0.72499999999999998</v>
      </c>
      <c r="O4" s="6">
        <f t="shared" ref="O4:O41" si="2">IF(NOT(ISNUMBER(N4)),"",IF(E4="Positive",IF(N4&lt;F4,0,IF(N4&lt;G4,0.25+0.25*(N4-F4)/(G4-F4),IF(N4&lt;H4,0.5+0.25*(N4-G4)/(H4-G4),IF(N4&lt;I4,0.75+0.25*(N4-H4)/(I4-H4),1)))),IF(N4&gt;F4,0,IF(N4&gt;G4,0.25+0.25*(F4-N4)/(F4-G4),IF(N4&gt;H4,0.5+0.25*(G4-N4)/(G4-H4),IF(N4&gt;I4,0.75+0.25*(H4-N4)/(H4-I4),1))))))</f>
        <v>0.65625</v>
      </c>
      <c r="P4" s="6">
        <f>'07_IMPORT_ENSEMBLE'!H4</f>
        <v>0.72499999999999998</v>
      </c>
      <c r="Q4" s="6">
        <f t="shared" ref="Q4:Q41" si="3">IF(NOT(ISNUMBER(P4)),"",IF(E4="Positive",IF(P4&lt;F4,0,IF(P4&lt;G4,0.25+0.25*(P4-F4)/(G4-F4),IF(P4&lt;H4,0.5+0.25*(P4-G4)/(H4-G4),IF(P4&lt;I4,0.75+0.25*(P4-H4)/(I4-H4),1)))),IF(P4&gt;F4,0,IF(P4&gt;G4,0.25+0.25*(F4-P4)/(F4-G4),IF(P4&gt;H4,0.5+0.25*(G4-P4)/(G4-H4),IF(P4&gt;I4,0.75+0.25*(H4-P4)/(H4-I4),1))))))</f>
        <v>0.65625</v>
      </c>
      <c r="R4" s="6">
        <f t="shared" ref="R4:R41" si="4">AVERAGE(J4,L4,N4,P4)</f>
        <v>0.72499999999999998</v>
      </c>
      <c r="S4" s="6">
        <f t="shared" ref="S4:S41" si="5">IF(NOT(ISNUMBER(R4)),"",IF(E4="Positive",IF(R4&lt;F4,0,IF(R4&lt;G4,0.25+0.25*(R4-F4)/(G4-F4),IF(R4&lt;H4,0.5+0.25*(R4-G4)/(H4-G4),IF(R4&lt;I4,0.75+0.25*(R4-H4)/(I4-H4),1)))),IF(R4&gt;F4,0,IF(R4&gt;G4,0.25+0.25*(F4-R4)/(F4-G4),IF(R4&gt;H4,0.5+0.25*(G4-R4)/(G4-H4),IF(R4&gt;I4,0.75+0.25*(H4-R4)/(H4-I4),1))))))</f>
        <v>0.65625</v>
      </c>
      <c r="T4" s="6">
        <f t="shared" ref="T4:T41" si="6">MIN(J4,L4,N4,P4)</f>
        <v>0.72499999999999998</v>
      </c>
      <c r="U4" s="6">
        <f t="shared" ref="U4:U41" si="7">MAX(J4,L4,N4,P4)</f>
        <v>0.72499999999999998</v>
      </c>
    </row>
    <row r="5" spans="1:21" ht="15" customHeight="1" x14ac:dyDescent="0.25">
      <c r="A5" s="3" t="s">
        <v>67</v>
      </c>
      <c r="B5" s="3" t="s">
        <v>133</v>
      </c>
      <c r="C5" s="3" t="s">
        <v>134</v>
      </c>
      <c r="D5" s="3" t="s">
        <v>126</v>
      </c>
      <c r="E5" s="3" t="s">
        <v>124</v>
      </c>
      <c r="F5" s="4">
        <f>'04_THRESHOLDS_WEIGHTS'!G5</f>
        <v>0.4</v>
      </c>
      <c r="G5" s="4">
        <f>'04_THRESHOLDS_WEIGHTS'!H5</f>
        <v>0.6</v>
      </c>
      <c r="H5" s="4">
        <f>'04_THRESHOLDS_WEIGHTS'!I5</f>
        <v>0.8</v>
      </c>
      <c r="I5" s="4">
        <f>'04_THRESHOLDS_WEIGHTS'!J5</f>
        <v>1</v>
      </c>
      <c r="J5" s="6">
        <f>'07_IMPORT_ENSEMBLE'!E5</f>
        <v>0.81718292336732146</v>
      </c>
      <c r="K5" s="6">
        <f t="shared" si="0"/>
        <v>0.77147865420915174</v>
      </c>
      <c r="L5" s="6">
        <f>'07_IMPORT_ENSEMBLE'!F5</f>
        <v>0.81718292336732146</v>
      </c>
      <c r="M5" s="6">
        <f t="shared" si="1"/>
        <v>0.77147865420915174</v>
      </c>
      <c r="N5" s="6">
        <f>'07_IMPORT_ENSEMBLE'!G5</f>
        <v>0.81718292336732146</v>
      </c>
      <c r="O5" s="6">
        <f t="shared" si="2"/>
        <v>0.77147865420915174</v>
      </c>
      <c r="P5" s="6">
        <f>'07_IMPORT_ENSEMBLE'!H5</f>
        <v>0.81718292336732146</v>
      </c>
      <c r="Q5" s="6">
        <f t="shared" si="3"/>
        <v>0.77147865420915174</v>
      </c>
      <c r="R5" s="6">
        <f t="shared" si="4"/>
        <v>0.81718292336732146</v>
      </c>
      <c r="S5" s="6">
        <f t="shared" si="5"/>
        <v>0.77147865420915174</v>
      </c>
      <c r="T5" s="6">
        <f t="shared" si="6"/>
        <v>0.81718292336732146</v>
      </c>
      <c r="U5" s="6">
        <f t="shared" si="7"/>
        <v>0.81718292336732146</v>
      </c>
    </row>
    <row r="6" spans="1:21" ht="15" customHeight="1" x14ac:dyDescent="0.25">
      <c r="A6" s="3" t="s">
        <v>67</v>
      </c>
      <c r="B6" s="3" t="s">
        <v>138</v>
      </c>
      <c r="C6" s="3" t="s">
        <v>139</v>
      </c>
      <c r="D6" s="3" t="s">
        <v>143</v>
      </c>
      <c r="E6" s="3" t="s">
        <v>141</v>
      </c>
      <c r="F6" s="4">
        <f>'04_THRESHOLDS_WEIGHTS'!G6</f>
        <v>12</v>
      </c>
      <c r="G6" s="4">
        <f>'04_THRESHOLDS_WEIGHTS'!H6</f>
        <v>6</v>
      </c>
      <c r="H6" s="4">
        <f>'04_THRESHOLDS_WEIGHTS'!I6</f>
        <v>3</v>
      </c>
      <c r="I6" s="4">
        <f>'04_THRESHOLDS_WEIGHTS'!J6</f>
        <v>0</v>
      </c>
      <c r="J6" s="6">
        <f>'07_IMPORT_ENSEMBLE'!E6</f>
        <v>4.5</v>
      </c>
      <c r="K6" s="6">
        <f t="shared" si="0"/>
        <v>0.625</v>
      </c>
      <c r="L6" s="6">
        <f>'07_IMPORT_ENSEMBLE'!F6</f>
        <v>4.5</v>
      </c>
      <c r="M6" s="6">
        <f t="shared" si="1"/>
        <v>0.625</v>
      </c>
      <c r="N6" s="6">
        <f>'07_IMPORT_ENSEMBLE'!G6</f>
        <v>4.5</v>
      </c>
      <c r="O6" s="6">
        <f t="shared" si="2"/>
        <v>0.625</v>
      </c>
      <c r="P6" s="6">
        <f>'07_IMPORT_ENSEMBLE'!H6</f>
        <v>4.5</v>
      </c>
      <c r="Q6" s="6">
        <f t="shared" si="3"/>
        <v>0.625</v>
      </c>
      <c r="R6" s="6">
        <f t="shared" si="4"/>
        <v>4.5</v>
      </c>
      <c r="S6" s="6">
        <f t="shared" si="5"/>
        <v>0.625</v>
      </c>
      <c r="T6" s="6">
        <f t="shared" si="6"/>
        <v>4.5</v>
      </c>
      <c r="U6" s="6">
        <f t="shared" si="7"/>
        <v>4.5</v>
      </c>
    </row>
    <row r="7" spans="1:21" ht="15" customHeight="1" x14ac:dyDescent="0.25">
      <c r="A7" s="3" t="s">
        <v>67</v>
      </c>
      <c r="B7" s="3" t="s">
        <v>147</v>
      </c>
      <c r="C7" s="3" t="s">
        <v>148</v>
      </c>
      <c r="D7" s="3" t="s">
        <v>150</v>
      </c>
      <c r="E7" s="3" t="s">
        <v>141</v>
      </c>
      <c r="F7" s="4">
        <f>'04_THRESHOLDS_WEIGHTS'!G7</f>
        <v>1.1000000000000001</v>
      </c>
      <c r="G7" s="4">
        <f>'04_THRESHOLDS_WEIGHTS'!H7</f>
        <v>0.9</v>
      </c>
      <c r="H7" s="4">
        <f>'04_THRESHOLDS_WEIGHTS'!I7</f>
        <v>0.5</v>
      </c>
      <c r="I7" s="4">
        <f>'04_THRESHOLDS_WEIGHTS'!J7</f>
        <v>0</v>
      </c>
      <c r="J7" s="6">
        <f>'07_IMPORT_ENSEMBLE'!E7</f>
        <v>0.87666571724298115</v>
      </c>
      <c r="K7" s="6">
        <f t="shared" si="0"/>
        <v>0.5145839267231368</v>
      </c>
      <c r="L7" s="6">
        <f>'07_IMPORT_ENSEMBLE'!F7</f>
        <v>0.87666571724298115</v>
      </c>
      <c r="M7" s="6">
        <f t="shared" si="1"/>
        <v>0.5145839267231368</v>
      </c>
      <c r="N7" s="6">
        <f>'07_IMPORT_ENSEMBLE'!G7</f>
        <v>0.87666571724298115</v>
      </c>
      <c r="O7" s="6">
        <f t="shared" si="2"/>
        <v>0.5145839267231368</v>
      </c>
      <c r="P7" s="6">
        <f>'07_IMPORT_ENSEMBLE'!H7</f>
        <v>0.87666571724298115</v>
      </c>
      <c r="Q7" s="6">
        <f t="shared" si="3"/>
        <v>0.5145839267231368</v>
      </c>
      <c r="R7" s="6">
        <f t="shared" si="4"/>
        <v>0.87666571724298115</v>
      </c>
      <c r="S7" s="6">
        <f t="shared" si="5"/>
        <v>0.5145839267231368</v>
      </c>
      <c r="T7" s="6">
        <f t="shared" si="6"/>
        <v>0.87666571724298115</v>
      </c>
      <c r="U7" s="6">
        <f t="shared" si="7"/>
        <v>0.87666571724298115</v>
      </c>
    </row>
    <row r="8" spans="1:21" ht="15" customHeight="1" x14ac:dyDescent="0.25">
      <c r="A8" s="3" t="s">
        <v>67</v>
      </c>
      <c r="B8" s="3" t="s">
        <v>156</v>
      </c>
      <c r="C8" s="3" t="s">
        <v>157</v>
      </c>
      <c r="D8" s="3" t="s">
        <v>159</v>
      </c>
      <c r="E8" s="3" t="s">
        <v>124</v>
      </c>
      <c r="F8" s="4">
        <f>'04_THRESHOLDS_WEIGHTS'!G8</f>
        <v>0.75</v>
      </c>
      <c r="G8" s="4">
        <f>'04_THRESHOLDS_WEIGHTS'!H8</f>
        <v>1.5</v>
      </c>
      <c r="H8" s="4">
        <f>'04_THRESHOLDS_WEIGHTS'!I8</f>
        <v>3</v>
      </c>
      <c r="I8" s="4">
        <f>'04_THRESHOLDS_WEIGHTS'!J8</f>
        <v>90.830935457300612</v>
      </c>
      <c r="J8" s="6">
        <f>'07_IMPORT_ENSEMBLE'!E8</f>
        <v>7.0450965952559681</v>
      </c>
      <c r="K8" s="6">
        <f t="shared" si="0"/>
        <v>0.76151387200362486</v>
      </c>
      <c r="L8" s="6">
        <f>'07_IMPORT_ENSEMBLE'!F8</f>
        <v>7.0450965952559681</v>
      </c>
      <c r="M8" s="6">
        <f t="shared" si="1"/>
        <v>0.76151387200362486</v>
      </c>
      <c r="N8" s="6">
        <f>'07_IMPORT_ENSEMBLE'!G8</f>
        <v>7.0450965952559681</v>
      </c>
      <c r="O8" s="6">
        <f t="shared" si="2"/>
        <v>0.76151387200362486</v>
      </c>
      <c r="P8" s="6">
        <f>'07_IMPORT_ENSEMBLE'!H8</f>
        <v>7.0450965952559681</v>
      </c>
      <c r="Q8" s="6">
        <f t="shared" si="3"/>
        <v>0.76151387200362486</v>
      </c>
      <c r="R8" s="6">
        <f t="shared" si="4"/>
        <v>7.0450965952559681</v>
      </c>
      <c r="S8" s="6">
        <f t="shared" si="5"/>
        <v>0.76151387200362486</v>
      </c>
      <c r="T8" s="6">
        <f t="shared" si="6"/>
        <v>7.0450965952559681</v>
      </c>
      <c r="U8" s="6">
        <f t="shared" si="7"/>
        <v>7.0450965952559681</v>
      </c>
    </row>
    <row r="9" spans="1:21" ht="15" customHeight="1" x14ac:dyDescent="0.25">
      <c r="A9" s="3" t="s">
        <v>67</v>
      </c>
      <c r="B9" s="3" t="s">
        <v>165</v>
      </c>
      <c r="C9" s="3" t="s">
        <v>166</v>
      </c>
      <c r="D9" s="3" t="s">
        <v>159</v>
      </c>
      <c r="E9" s="3" t="s">
        <v>141</v>
      </c>
      <c r="F9" s="4">
        <f>'04_THRESHOLDS_WEIGHTS'!G9</f>
        <v>2</v>
      </c>
      <c r="G9" s="4">
        <f>'04_THRESHOLDS_WEIGHTS'!H9</f>
        <v>1.5</v>
      </c>
      <c r="H9" s="4">
        <f>'04_THRESHOLDS_WEIGHTS'!I9</f>
        <v>1.05</v>
      </c>
      <c r="I9" s="4">
        <f>'04_THRESHOLDS_WEIGHTS'!J9</f>
        <v>1</v>
      </c>
      <c r="J9" s="6">
        <f>'07_IMPORT_ENSEMBLE'!E9</f>
        <v>1.8398792409504849</v>
      </c>
      <c r="K9" s="6">
        <f t="shared" si="0"/>
        <v>0.33006037952475753</v>
      </c>
      <c r="L9" s="6">
        <f>'07_IMPORT_ENSEMBLE'!F9</f>
        <v>1.8398792409504849</v>
      </c>
      <c r="M9" s="6">
        <f t="shared" si="1"/>
        <v>0.33006037952475753</v>
      </c>
      <c r="N9" s="6">
        <f>'07_IMPORT_ENSEMBLE'!G9</f>
        <v>1.8398792409504849</v>
      </c>
      <c r="O9" s="6">
        <f t="shared" si="2"/>
        <v>0.33006037952475753</v>
      </c>
      <c r="P9" s="6">
        <f>'07_IMPORT_ENSEMBLE'!H9</f>
        <v>1.8398792409504849</v>
      </c>
      <c r="Q9" s="6">
        <f t="shared" si="3"/>
        <v>0.33006037952475753</v>
      </c>
      <c r="R9" s="6">
        <f t="shared" si="4"/>
        <v>1.8398792409504849</v>
      </c>
      <c r="S9" s="6">
        <f t="shared" si="5"/>
        <v>0.33006037952475753</v>
      </c>
      <c r="T9" s="6">
        <f t="shared" si="6"/>
        <v>1.8398792409504849</v>
      </c>
      <c r="U9" s="6">
        <f t="shared" si="7"/>
        <v>1.8398792409504849</v>
      </c>
    </row>
    <row r="10" spans="1:21" ht="15" customHeight="1" x14ac:dyDescent="0.25">
      <c r="A10" s="3" t="s">
        <v>76</v>
      </c>
      <c r="B10" s="3" t="s">
        <v>171</v>
      </c>
      <c r="C10" s="3" t="s">
        <v>172</v>
      </c>
      <c r="D10" s="3" t="s">
        <v>173</v>
      </c>
      <c r="E10" s="3" t="s">
        <v>124</v>
      </c>
      <c r="F10" s="4">
        <f>'04_THRESHOLDS_WEIGHTS'!G10</f>
        <v>0.5</v>
      </c>
      <c r="G10" s="4">
        <f>'04_THRESHOLDS_WEIGHTS'!H10</f>
        <v>0.6</v>
      </c>
      <c r="H10" s="4">
        <f>'04_THRESHOLDS_WEIGHTS'!I10</f>
        <v>0.8</v>
      </c>
      <c r="I10" s="4">
        <f>'04_THRESHOLDS_WEIGHTS'!J10</f>
        <v>1</v>
      </c>
      <c r="J10" s="6">
        <f>'07_IMPORT_ENSEMBLE'!E10</f>
        <v>0.97499999999999998</v>
      </c>
      <c r="K10" s="6">
        <f t="shared" si="0"/>
        <v>0.96875</v>
      </c>
      <c r="L10" s="6">
        <f>'07_IMPORT_ENSEMBLE'!F10</f>
        <v>1</v>
      </c>
      <c r="M10" s="6">
        <f t="shared" si="1"/>
        <v>1</v>
      </c>
      <c r="N10" s="6">
        <f>'07_IMPORT_ENSEMBLE'!G10</f>
        <v>1</v>
      </c>
      <c r="O10" s="6">
        <f t="shared" si="2"/>
        <v>1</v>
      </c>
      <c r="P10" s="6">
        <f>'07_IMPORT_ENSEMBLE'!H10</f>
        <v>1</v>
      </c>
      <c r="Q10" s="6">
        <f t="shared" si="3"/>
        <v>1</v>
      </c>
      <c r="R10" s="6">
        <f t="shared" si="4"/>
        <v>0.99375000000000002</v>
      </c>
      <c r="S10" s="6">
        <f t="shared" si="5"/>
        <v>0.9921875</v>
      </c>
      <c r="T10" s="6">
        <f t="shared" si="6"/>
        <v>0.97499999999999998</v>
      </c>
      <c r="U10" s="6">
        <f t="shared" si="7"/>
        <v>1</v>
      </c>
    </row>
    <row r="11" spans="1:21" ht="15" customHeight="1" x14ac:dyDescent="0.25">
      <c r="A11" s="3" t="s">
        <v>76</v>
      </c>
      <c r="B11" s="3" t="s">
        <v>179</v>
      </c>
      <c r="C11" s="3" t="s">
        <v>180</v>
      </c>
      <c r="D11" s="3" t="s">
        <v>173</v>
      </c>
      <c r="E11" s="3" t="s">
        <v>124</v>
      </c>
      <c r="F11" s="4">
        <f>'04_THRESHOLDS_WEIGHTS'!G11</f>
        <v>0.5</v>
      </c>
      <c r="G11" s="4">
        <f>'04_THRESHOLDS_WEIGHTS'!H11</f>
        <v>0.6</v>
      </c>
      <c r="H11" s="4">
        <f>'04_THRESHOLDS_WEIGHTS'!I11</f>
        <v>0.8</v>
      </c>
      <c r="I11" s="4">
        <f>'04_THRESHOLDS_WEIGHTS'!J11</f>
        <v>1</v>
      </c>
      <c r="J11" s="6">
        <f>'07_IMPORT_ENSEMBLE'!E11</f>
        <v>0.96185573301246652</v>
      </c>
      <c r="K11" s="6">
        <f t="shared" si="0"/>
        <v>0.95231966626558318</v>
      </c>
      <c r="L11" s="6">
        <f>'07_IMPORT_ENSEMBLE'!F11</f>
        <v>1</v>
      </c>
      <c r="M11" s="6">
        <f t="shared" si="1"/>
        <v>1</v>
      </c>
      <c r="N11" s="6">
        <f>'07_IMPORT_ENSEMBLE'!G11</f>
        <v>1</v>
      </c>
      <c r="O11" s="6">
        <f t="shared" si="2"/>
        <v>1</v>
      </c>
      <c r="P11" s="6">
        <f>'07_IMPORT_ENSEMBLE'!H11</f>
        <v>1</v>
      </c>
      <c r="Q11" s="6">
        <f t="shared" si="3"/>
        <v>1</v>
      </c>
      <c r="R11" s="6">
        <f t="shared" si="4"/>
        <v>0.99046393325311666</v>
      </c>
      <c r="S11" s="6">
        <f t="shared" si="5"/>
        <v>0.98807991656639582</v>
      </c>
      <c r="T11" s="6">
        <f t="shared" si="6"/>
        <v>0.96185573301246652</v>
      </c>
      <c r="U11" s="6">
        <f t="shared" si="7"/>
        <v>1</v>
      </c>
    </row>
    <row r="12" spans="1:21" ht="15" customHeight="1" x14ac:dyDescent="0.25">
      <c r="A12" s="3" t="s">
        <v>76</v>
      </c>
      <c r="B12" s="3" t="s">
        <v>184</v>
      </c>
      <c r="C12" s="3" t="s">
        <v>185</v>
      </c>
      <c r="D12" s="3" t="s">
        <v>186</v>
      </c>
      <c r="E12" s="3" t="s">
        <v>124</v>
      </c>
      <c r="F12" s="4">
        <f>'04_THRESHOLDS_WEIGHTS'!G12</f>
        <v>0.7</v>
      </c>
      <c r="G12" s="4">
        <f>'04_THRESHOLDS_WEIGHTS'!H12</f>
        <v>0.75</v>
      </c>
      <c r="H12" s="4">
        <f>'04_THRESHOLDS_WEIGHTS'!I12</f>
        <v>0.8</v>
      </c>
      <c r="I12" s="4">
        <f>'04_THRESHOLDS_WEIGHTS'!J12</f>
        <v>1</v>
      </c>
      <c r="J12" s="6">
        <f>'07_IMPORT_ENSEMBLE'!E12</f>
        <v>8.6214363692150298E-2</v>
      </c>
      <c r="K12" s="6">
        <f t="shared" si="0"/>
        <v>0</v>
      </c>
      <c r="L12" s="6">
        <f>'07_IMPORT_ENSEMBLE'!F12</f>
        <v>1</v>
      </c>
      <c r="M12" s="6">
        <f t="shared" si="1"/>
        <v>1</v>
      </c>
      <c r="N12" s="6">
        <f>'07_IMPORT_ENSEMBLE'!G12</f>
        <v>1</v>
      </c>
      <c r="O12" s="6">
        <f t="shared" si="2"/>
        <v>1</v>
      </c>
      <c r="P12" s="6">
        <f>'07_IMPORT_ENSEMBLE'!H12</f>
        <v>1</v>
      </c>
      <c r="Q12" s="6">
        <f t="shared" si="3"/>
        <v>1</v>
      </c>
      <c r="R12" s="6">
        <f t="shared" si="4"/>
        <v>0.77155359092303755</v>
      </c>
      <c r="S12" s="6">
        <f t="shared" si="5"/>
        <v>0.60776795461518762</v>
      </c>
      <c r="T12" s="6">
        <f t="shared" si="6"/>
        <v>8.6214363692150298E-2</v>
      </c>
      <c r="U12" s="6">
        <f t="shared" si="7"/>
        <v>1</v>
      </c>
    </row>
    <row r="13" spans="1:21" ht="15" customHeight="1" x14ac:dyDescent="0.25">
      <c r="A13" s="3" t="s">
        <v>76</v>
      </c>
      <c r="B13" s="3" t="s">
        <v>190</v>
      </c>
      <c r="C13" s="3" t="s">
        <v>191</v>
      </c>
      <c r="D13" s="3" t="s">
        <v>192</v>
      </c>
      <c r="E13" s="3" t="s">
        <v>124</v>
      </c>
      <c r="F13" s="4">
        <f>'04_THRESHOLDS_WEIGHTS'!G13</f>
        <v>0.25</v>
      </c>
      <c r="G13" s="4">
        <f>'04_THRESHOLDS_WEIGHTS'!H13</f>
        <v>0.5</v>
      </c>
      <c r="H13" s="4">
        <f>'04_THRESHOLDS_WEIGHTS'!I13</f>
        <v>0.75</v>
      </c>
      <c r="I13" s="4">
        <f>'04_THRESHOLDS_WEIGHTS'!J13</f>
        <v>1</v>
      </c>
      <c r="J13" s="6">
        <f>'07_IMPORT_ENSEMBLE'!E13</f>
        <v>0.33333333333333331</v>
      </c>
      <c r="K13" s="6">
        <f t="shared" si="0"/>
        <v>0.33333333333333331</v>
      </c>
      <c r="L13" s="6">
        <f>'07_IMPORT_ENSEMBLE'!F13</f>
        <v>1</v>
      </c>
      <c r="M13" s="6">
        <f t="shared" si="1"/>
        <v>1</v>
      </c>
      <c r="N13" s="6">
        <f>'07_IMPORT_ENSEMBLE'!G13</f>
        <v>1</v>
      </c>
      <c r="O13" s="6">
        <f t="shared" si="2"/>
        <v>1</v>
      </c>
      <c r="P13" s="6">
        <f>'07_IMPORT_ENSEMBLE'!H13</f>
        <v>1</v>
      </c>
      <c r="Q13" s="6">
        <f t="shared" si="3"/>
        <v>1</v>
      </c>
      <c r="R13" s="6">
        <f t="shared" si="4"/>
        <v>0.83333333333333326</v>
      </c>
      <c r="S13" s="6">
        <f t="shared" si="5"/>
        <v>0.83333333333333326</v>
      </c>
      <c r="T13" s="6">
        <f t="shared" si="6"/>
        <v>0.33333333333333331</v>
      </c>
      <c r="U13" s="6">
        <f t="shared" si="7"/>
        <v>1</v>
      </c>
    </row>
    <row r="14" spans="1:21" ht="15" customHeight="1" x14ac:dyDescent="0.25">
      <c r="A14" s="3" t="s">
        <v>76</v>
      </c>
      <c r="B14" s="3" t="s">
        <v>196</v>
      </c>
      <c r="C14" s="3" t="s">
        <v>197</v>
      </c>
      <c r="D14" s="3" t="s">
        <v>198</v>
      </c>
      <c r="E14" s="3" t="s">
        <v>141</v>
      </c>
      <c r="F14" s="4">
        <f>'04_THRESHOLDS_WEIGHTS'!G14</f>
        <v>0.3</v>
      </c>
      <c r="G14" s="4">
        <f>'04_THRESHOLDS_WEIGHTS'!H14</f>
        <v>0.1</v>
      </c>
      <c r="H14" s="4">
        <f>'04_THRESHOLDS_WEIGHTS'!I14</f>
        <v>0.01</v>
      </c>
      <c r="I14" s="4">
        <f>'04_THRESHOLDS_WEIGHTS'!J14</f>
        <v>0</v>
      </c>
      <c r="J14" s="6">
        <f>'07_IMPORT_ENSEMBLE'!E14</f>
        <v>0</v>
      </c>
      <c r="K14" s="6">
        <f t="shared" si="0"/>
        <v>1</v>
      </c>
      <c r="L14" s="6">
        <f>'07_IMPORT_ENSEMBLE'!F14</f>
        <v>0</v>
      </c>
      <c r="M14" s="6">
        <f t="shared" si="1"/>
        <v>1</v>
      </c>
      <c r="N14" s="6">
        <f>'07_IMPORT_ENSEMBLE'!G14</f>
        <v>0</v>
      </c>
      <c r="O14" s="6">
        <f t="shared" si="2"/>
        <v>1</v>
      </c>
      <c r="P14" s="6">
        <f>'07_IMPORT_ENSEMBLE'!H14</f>
        <v>0</v>
      </c>
      <c r="Q14" s="6">
        <f t="shared" si="3"/>
        <v>1</v>
      </c>
      <c r="R14" s="6">
        <f t="shared" si="4"/>
        <v>0</v>
      </c>
      <c r="S14" s="6">
        <f t="shared" si="5"/>
        <v>1</v>
      </c>
      <c r="T14" s="6">
        <f t="shared" si="6"/>
        <v>0</v>
      </c>
      <c r="U14" s="6">
        <f t="shared" si="7"/>
        <v>0</v>
      </c>
    </row>
    <row r="15" spans="1:21" ht="15" customHeight="1" x14ac:dyDescent="0.25">
      <c r="A15" s="3" t="s">
        <v>82</v>
      </c>
      <c r="B15" s="3" t="s">
        <v>202</v>
      </c>
      <c r="C15" s="3" t="s">
        <v>203</v>
      </c>
      <c r="D15" s="3" t="s">
        <v>204</v>
      </c>
      <c r="E15" s="3" t="s">
        <v>124</v>
      </c>
      <c r="F15" s="4">
        <f>'04_THRESHOLDS_WEIGHTS'!G15</f>
        <v>0.5</v>
      </c>
      <c r="G15" s="4">
        <f>'04_THRESHOLDS_WEIGHTS'!H15</f>
        <v>0.75</v>
      </c>
      <c r="H15" s="4">
        <f>'04_THRESHOLDS_WEIGHTS'!I15</f>
        <v>0.85</v>
      </c>
      <c r="I15" s="4">
        <f>'04_THRESHOLDS_WEIGHTS'!J15</f>
        <v>1</v>
      </c>
      <c r="J15" s="6">
        <f>'07_IMPORT_ENSEMBLE'!E15</f>
        <v>0.98159819383548208</v>
      </c>
      <c r="K15" s="6">
        <f t="shared" si="0"/>
        <v>0.9693303230591368</v>
      </c>
      <c r="L15" s="6">
        <f>'07_IMPORT_ENSEMBLE'!F15</f>
        <v>0.9822254237288135</v>
      </c>
      <c r="M15" s="6">
        <f t="shared" si="1"/>
        <v>0.97037570621468916</v>
      </c>
      <c r="N15" s="6">
        <f>'07_IMPORT_ENSEMBLE'!G15</f>
        <v>0.98206720109940449</v>
      </c>
      <c r="O15" s="6">
        <f t="shared" si="2"/>
        <v>0.97011200183234081</v>
      </c>
      <c r="P15" s="6">
        <f>'07_IMPORT_ENSEMBLE'!H15</f>
        <v>0.98200435180943657</v>
      </c>
      <c r="Q15" s="6">
        <f t="shared" si="3"/>
        <v>0.97000725301572766</v>
      </c>
      <c r="R15" s="6">
        <f t="shared" si="4"/>
        <v>0.9819737926182841</v>
      </c>
      <c r="S15" s="6">
        <f t="shared" si="5"/>
        <v>0.96995632103047347</v>
      </c>
      <c r="T15" s="6">
        <f t="shared" si="6"/>
        <v>0.98159819383548208</v>
      </c>
      <c r="U15" s="6">
        <f t="shared" si="7"/>
        <v>0.9822254237288135</v>
      </c>
    </row>
    <row r="16" spans="1:21" ht="15" customHeight="1" x14ac:dyDescent="0.25">
      <c r="A16" s="3" t="s">
        <v>82</v>
      </c>
      <c r="B16" s="3" t="s">
        <v>210</v>
      </c>
      <c r="C16" s="3" t="s">
        <v>211</v>
      </c>
      <c r="D16" s="3" t="s">
        <v>204</v>
      </c>
      <c r="E16" s="3" t="s">
        <v>124</v>
      </c>
      <c r="F16" s="4">
        <f>'04_THRESHOLDS_WEIGHTS'!G16</f>
        <v>0.5</v>
      </c>
      <c r="G16" s="4">
        <f>'04_THRESHOLDS_WEIGHTS'!H16</f>
        <v>0.75</v>
      </c>
      <c r="H16" s="4">
        <f>'04_THRESHOLDS_WEIGHTS'!I16</f>
        <v>0.85</v>
      </c>
      <c r="I16" s="4">
        <f>'04_THRESHOLDS_WEIGHTS'!J16</f>
        <v>1</v>
      </c>
      <c r="J16" s="6">
        <f>'07_IMPORT_ENSEMBLE'!E16</f>
        <v>0.95429852320675101</v>
      </c>
      <c r="K16" s="6">
        <f t="shared" si="0"/>
        <v>0.92383087201125169</v>
      </c>
      <c r="L16" s="6">
        <f>'07_IMPORT_ENSEMBLE'!F16</f>
        <v>0.95719936708860764</v>
      </c>
      <c r="M16" s="6">
        <f t="shared" si="1"/>
        <v>0.92866561181434615</v>
      </c>
      <c r="N16" s="6">
        <f>'07_IMPORT_ENSEMBLE'!G16</f>
        <v>0.96263185654008443</v>
      </c>
      <c r="O16" s="6">
        <f t="shared" si="2"/>
        <v>0.93771976090014075</v>
      </c>
      <c r="P16" s="6">
        <f>'07_IMPORT_ENSEMBLE'!H16</f>
        <v>0.96032436708860769</v>
      </c>
      <c r="Q16" s="6">
        <f t="shared" si="3"/>
        <v>0.93387394514767952</v>
      </c>
      <c r="R16" s="6">
        <f t="shared" si="4"/>
        <v>0.95861352848101267</v>
      </c>
      <c r="S16" s="6">
        <f t="shared" si="5"/>
        <v>0.93102254746835444</v>
      </c>
      <c r="T16" s="6">
        <f t="shared" si="6"/>
        <v>0.95429852320675101</v>
      </c>
      <c r="U16" s="6">
        <f t="shared" si="7"/>
        <v>0.96263185654008443</v>
      </c>
    </row>
    <row r="17" spans="1:21" ht="15" customHeight="1" x14ac:dyDescent="0.25">
      <c r="A17" s="3" t="s">
        <v>82</v>
      </c>
      <c r="B17" s="3" t="s">
        <v>215</v>
      </c>
      <c r="C17" s="3" t="s">
        <v>216</v>
      </c>
      <c r="D17" s="3" t="s">
        <v>218</v>
      </c>
      <c r="E17" s="3" t="s">
        <v>141</v>
      </c>
      <c r="F17" s="4">
        <f>'04_THRESHOLDS_WEIGHTS'!G17</f>
        <v>1</v>
      </c>
      <c r="G17" s="4">
        <f>'04_THRESHOLDS_WEIGHTS'!H17</f>
        <v>0.5</v>
      </c>
      <c r="H17" s="4">
        <f>'04_THRESHOLDS_WEIGHTS'!I17</f>
        <v>0.3</v>
      </c>
      <c r="I17" s="4">
        <f>'04_THRESHOLDS_WEIGHTS'!J17</f>
        <v>0.05</v>
      </c>
      <c r="J17" s="6">
        <f>'07_IMPORT_ENSEMBLE'!E17</f>
        <v>0.41449666287326004</v>
      </c>
      <c r="K17" s="6">
        <f t="shared" si="0"/>
        <v>0.60687917140842496</v>
      </c>
      <c r="L17" s="6">
        <f>'07_IMPORT_ENSEMBLE'!F17</f>
        <v>0.39084250534545983</v>
      </c>
      <c r="M17" s="6">
        <f t="shared" si="1"/>
        <v>0.63644686831817521</v>
      </c>
      <c r="N17" s="6">
        <f>'07_IMPORT_ENSEMBLE'!G17</f>
        <v>0.39065088077661558</v>
      </c>
      <c r="O17" s="6">
        <f t="shared" si="2"/>
        <v>0.63668639902923052</v>
      </c>
      <c r="P17" s="6">
        <f>'07_IMPORT_ENSEMBLE'!H17</f>
        <v>0.39561588593458269</v>
      </c>
      <c r="Q17" s="6">
        <f t="shared" si="3"/>
        <v>0.63048014258177165</v>
      </c>
      <c r="R17" s="6">
        <f t="shared" si="4"/>
        <v>0.39790148373247952</v>
      </c>
      <c r="S17" s="6">
        <f t="shared" si="5"/>
        <v>0.62762314533440056</v>
      </c>
      <c r="T17" s="6">
        <f t="shared" si="6"/>
        <v>0.39065088077661558</v>
      </c>
      <c r="U17" s="6">
        <f t="shared" si="7"/>
        <v>0.41449666287326004</v>
      </c>
    </row>
    <row r="18" spans="1:21" ht="15" customHeight="1" x14ac:dyDescent="0.25">
      <c r="A18" s="3" t="s">
        <v>82</v>
      </c>
      <c r="B18" s="3" t="s">
        <v>222</v>
      </c>
      <c r="C18" s="3" t="s">
        <v>223</v>
      </c>
      <c r="D18" s="3" t="s">
        <v>218</v>
      </c>
      <c r="E18" s="3" t="s">
        <v>141</v>
      </c>
      <c r="F18" s="4">
        <f>'04_THRESHOLDS_WEIGHTS'!G18</f>
        <v>1</v>
      </c>
      <c r="G18" s="4">
        <f>'04_THRESHOLDS_WEIGHTS'!H18</f>
        <v>0.5</v>
      </c>
      <c r="H18" s="4">
        <f>'04_THRESHOLDS_WEIGHTS'!I18</f>
        <v>0.3</v>
      </c>
      <c r="I18" s="4">
        <f>'04_THRESHOLDS_WEIGHTS'!J18</f>
        <v>0.05</v>
      </c>
      <c r="J18" s="6">
        <f>'07_IMPORT_ENSEMBLE'!E18</f>
        <v>0.34489200538706505</v>
      </c>
      <c r="K18" s="6">
        <f t="shared" si="0"/>
        <v>0.6938849932661687</v>
      </c>
      <c r="L18" s="6">
        <f>'07_IMPORT_ENSEMBLE'!F18</f>
        <v>0.34259933480827687</v>
      </c>
      <c r="M18" s="6">
        <f t="shared" si="1"/>
        <v>0.69675083148965389</v>
      </c>
      <c r="N18" s="6">
        <f>'07_IMPORT_ENSEMBLE'!G18</f>
        <v>0.34566311347891582</v>
      </c>
      <c r="O18" s="6">
        <f t="shared" si="2"/>
        <v>0.69292110815135521</v>
      </c>
      <c r="P18" s="6">
        <f>'07_IMPORT_ENSEMBLE'!H18</f>
        <v>0.34385934253533534</v>
      </c>
      <c r="Q18" s="6">
        <f t="shared" si="3"/>
        <v>0.69517582183083082</v>
      </c>
      <c r="R18" s="6">
        <f t="shared" si="4"/>
        <v>0.3442534490523983</v>
      </c>
      <c r="S18" s="6">
        <f t="shared" si="5"/>
        <v>0.69468318868450218</v>
      </c>
      <c r="T18" s="6">
        <f t="shared" si="6"/>
        <v>0.34259933480827687</v>
      </c>
      <c r="U18" s="6">
        <f t="shared" si="7"/>
        <v>0.34566311347891582</v>
      </c>
    </row>
    <row r="19" spans="1:21" ht="15" customHeight="1" x14ac:dyDescent="0.25">
      <c r="A19" s="3" t="s">
        <v>82</v>
      </c>
      <c r="B19" s="3" t="s">
        <v>227</v>
      </c>
      <c r="C19" s="3" t="s">
        <v>228</v>
      </c>
      <c r="D19" s="3" t="s">
        <v>218</v>
      </c>
      <c r="E19" s="3" t="s">
        <v>141</v>
      </c>
      <c r="F19" s="4">
        <f>'04_THRESHOLDS_WEIGHTS'!G19</f>
        <v>1</v>
      </c>
      <c r="G19" s="4">
        <f>'04_THRESHOLDS_WEIGHTS'!H19</f>
        <v>0.5</v>
      </c>
      <c r="H19" s="4">
        <f>'04_THRESHOLDS_WEIGHTS'!I19</f>
        <v>0.3</v>
      </c>
      <c r="I19" s="4">
        <f>'04_THRESHOLDS_WEIGHTS'!J19</f>
        <v>0.05</v>
      </c>
      <c r="J19" s="6">
        <f>'07_IMPORT_ENSEMBLE'!E19</f>
        <v>0.43355049179436123</v>
      </c>
      <c r="K19" s="6">
        <f t="shared" si="0"/>
        <v>0.5830618852570485</v>
      </c>
      <c r="L19" s="6">
        <f>'07_IMPORT_ENSEMBLE'!F19</f>
        <v>0.43320896150205862</v>
      </c>
      <c r="M19" s="6">
        <f t="shared" si="1"/>
        <v>0.58348879812242671</v>
      </c>
      <c r="N19" s="6">
        <f>'07_IMPORT_ENSEMBLE'!G19</f>
        <v>0.43556098592906772</v>
      </c>
      <c r="O19" s="6">
        <f t="shared" si="2"/>
        <v>0.58054876758866536</v>
      </c>
      <c r="P19" s="6">
        <f>'07_IMPORT_ENSEMBLE'!H19</f>
        <v>0.42810991236264906</v>
      </c>
      <c r="Q19" s="6">
        <f t="shared" si="3"/>
        <v>0.58986260954668868</v>
      </c>
      <c r="R19" s="6">
        <f t="shared" si="4"/>
        <v>0.43260758789703413</v>
      </c>
      <c r="S19" s="6">
        <f t="shared" si="5"/>
        <v>0.58424051512870734</v>
      </c>
      <c r="T19" s="6">
        <f t="shared" si="6"/>
        <v>0.42810991236264906</v>
      </c>
      <c r="U19" s="6">
        <f t="shared" si="7"/>
        <v>0.43556098592906772</v>
      </c>
    </row>
    <row r="20" spans="1:21" ht="15" customHeight="1" x14ac:dyDescent="0.25">
      <c r="A20" s="3" t="s">
        <v>87</v>
      </c>
      <c r="B20" s="3" t="s">
        <v>232</v>
      </c>
      <c r="C20" s="3" t="s">
        <v>233</v>
      </c>
      <c r="D20" s="3" t="s">
        <v>235</v>
      </c>
      <c r="E20" s="3" t="s">
        <v>141</v>
      </c>
      <c r="F20" s="4">
        <f>'04_THRESHOLDS_WEIGHTS'!G20</f>
        <v>2000</v>
      </c>
      <c r="G20" s="4">
        <f>'04_THRESHOLDS_WEIGHTS'!H20</f>
        <v>1500</v>
      </c>
      <c r="H20" s="4">
        <f>'04_THRESHOLDS_WEIGHTS'!I20</f>
        <v>1000</v>
      </c>
      <c r="I20" s="4">
        <f>'04_THRESHOLDS_WEIGHTS'!J20</f>
        <v>500</v>
      </c>
      <c r="J20" s="6">
        <f>'07_IMPORT_ENSEMBLE'!E20</f>
        <v>1041.7706584759974</v>
      </c>
      <c r="K20" s="6">
        <f t="shared" si="0"/>
        <v>0.72911467076200132</v>
      </c>
      <c r="L20" s="6">
        <f>'07_IMPORT_ENSEMBLE'!F20</f>
        <v>1041.7706584759974</v>
      </c>
      <c r="M20" s="6">
        <f t="shared" si="1"/>
        <v>0.72911467076200132</v>
      </c>
      <c r="N20" s="6">
        <f>'07_IMPORT_ENSEMBLE'!G20</f>
        <v>1041.7706584759974</v>
      </c>
      <c r="O20" s="6">
        <f t="shared" si="2"/>
        <v>0.72911467076200132</v>
      </c>
      <c r="P20" s="6">
        <f>'07_IMPORT_ENSEMBLE'!H20</f>
        <v>1041.7706584759974</v>
      </c>
      <c r="Q20" s="6">
        <f t="shared" si="3"/>
        <v>0.72911467076200132</v>
      </c>
      <c r="R20" s="6">
        <f t="shared" si="4"/>
        <v>1041.7706584759974</v>
      </c>
      <c r="S20" s="6">
        <f t="shared" si="5"/>
        <v>0.72911467076200132</v>
      </c>
      <c r="T20" s="6">
        <f t="shared" si="6"/>
        <v>1041.7706584759974</v>
      </c>
      <c r="U20" s="6">
        <f t="shared" si="7"/>
        <v>1041.7706584759974</v>
      </c>
    </row>
    <row r="21" spans="1:21" ht="15" customHeight="1" x14ac:dyDescent="0.25">
      <c r="A21" s="3" t="s">
        <v>87</v>
      </c>
      <c r="B21" s="3" t="s">
        <v>241</v>
      </c>
      <c r="C21" s="3" t="s">
        <v>242</v>
      </c>
      <c r="D21" s="3" t="s">
        <v>235</v>
      </c>
      <c r="E21" s="3" t="s">
        <v>141</v>
      </c>
      <c r="F21" s="4">
        <f>'04_THRESHOLDS_WEIGHTS'!G21</f>
        <v>0.4</v>
      </c>
      <c r="G21" s="4">
        <f>'04_THRESHOLDS_WEIGHTS'!H21</f>
        <v>0.3</v>
      </c>
      <c r="H21" s="4">
        <f>'04_THRESHOLDS_WEIGHTS'!I21</f>
        <v>0.2</v>
      </c>
      <c r="I21" s="4">
        <f>'04_THRESHOLDS_WEIGHTS'!J21</f>
        <v>0.1</v>
      </c>
      <c r="J21" s="6">
        <f>'07_IMPORT_ENSEMBLE'!E21</f>
        <v>0.22960575375370904</v>
      </c>
      <c r="K21" s="6">
        <f t="shared" si="0"/>
        <v>0.67598561561572745</v>
      </c>
      <c r="L21" s="6">
        <f>'07_IMPORT_ENSEMBLE'!F21</f>
        <v>0.22960575375370904</v>
      </c>
      <c r="M21" s="6">
        <f t="shared" si="1"/>
        <v>0.67598561561572745</v>
      </c>
      <c r="N21" s="6">
        <f>'07_IMPORT_ENSEMBLE'!G21</f>
        <v>0.22960575375370904</v>
      </c>
      <c r="O21" s="6">
        <f t="shared" si="2"/>
        <v>0.67598561561572745</v>
      </c>
      <c r="P21" s="6">
        <f>'07_IMPORT_ENSEMBLE'!H21</f>
        <v>0.22960575375370904</v>
      </c>
      <c r="Q21" s="6">
        <f t="shared" si="3"/>
        <v>0.67598561561572745</v>
      </c>
      <c r="R21" s="6">
        <f t="shared" si="4"/>
        <v>0.22960575375370904</v>
      </c>
      <c r="S21" s="6">
        <f t="shared" si="5"/>
        <v>0.67598561561572745</v>
      </c>
      <c r="T21" s="6">
        <f t="shared" si="6"/>
        <v>0.22960575375370904</v>
      </c>
      <c r="U21" s="6">
        <f t="shared" si="7"/>
        <v>0.22960575375370904</v>
      </c>
    </row>
    <row r="22" spans="1:21" ht="15" customHeight="1" x14ac:dyDescent="0.25">
      <c r="A22" s="3" t="s">
        <v>87</v>
      </c>
      <c r="B22" s="3" t="s">
        <v>247</v>
      </c>
      <c r="C22" s="3" t="s">
        <v>248</v>
      </c>
      <c r="D22" s="3" t="s">
        <v>235</v>
      </c>
      <c r="E22" s="3" t="s">
        <v>141</v>
      </c>
      <c r="F22" s="4">
        <f>'04_THRESHOLDS_WEIGHTS'!G22</f>
        <v>0.35</v>
      </c>
      <c r="G22" s="4">
        <f>'04_THRESHOLDS_WEIGHTS'!H22</f>
        <v>0.25</v>
      </c>
      <c r="H22" s="4">
        <f>'04_THRESHOLDS_WEIGHTS'!I22</f>
        <v>0.15</v>
      </c>
      <c r="I22" s="4">
        <f>'04_THRESHOLDS_WEIGHTS'!J22</f>
        <v>0.1</v>
      </c>
      <c r="J22" s="6">
        <f>'07_IMPORT_ENSEMBLE'!E22</f>
        <v>0.21587532967923723</v>
      </c>
      <c r="K22" s="6">
        <f t="shared" si="0"/>
        <v>0.58531167580190691</v>
      </c>
      <c r="L22" s="6">
        <f>'07_IMPORT_ENSEMBLE'!F22</f>
        <v>0.21587532967923723</v>
      </c>
      <c r="M22" s="6">
        <f t="shared" si="1"/>
        <v>0.58531167580190691</v>
      </c>
      <c r="N22" s="6">
        <f>'07_IMPORT_ENSEMBLE'!G22</f>
        <v>0.21587532967923723</v>
      </c>
      <c r="O22" s="6">
        <f t="shared" si="2"/>
        <v>0.58531167580190691</v>
      </c>
      <c r="P22" s="6">
        <f>'07_IMPORT_ENSEMBLE'!H22</f>
        <v>0.21587532967923723</v>
      </c>
      <c r="Q22" s="6">
        <f t="shared" si="3"/>
        <v>0.58531167580190691</v>
      </c>
      <c r="R22" s="6">
        <f t="shared" si="4"/>
        <v>0.21587532967923723</v>
      </c>
      <c r="S22" s="6">
        <f t="shared" si="5"/>
        <v>0.58531167580190691</v>
      </c>
      <c r="T22" s="6">
        <f t="shared" si="6"/>
        <v>0.21587532967923723</v>
      </c>
      <c r="U22" s="6">
        <f t="shared" si="7"/>
        <v>0.21587532967923723</v>
      </c>
    </row>
    <row r="23" spans="1:21" ht="15" customHeight="1" x14ac:dyDescent="0.25">
      <c r="A23" s="3" t="s">
        <v>87</v>
      </c>
      <c r="B23" s="3" t="s">
        <v>253</v>
      </c>
      <c r="C23" s="3" t="s">
        <v>254</v>
      </c>
      <c r="D23" s="3" t="s">
        <v>256</v>
      </c>
      <c r="E23" s="3" t="s">
        <v>141</v>
      </c>
      <c r="F23" s="4">
        <f>'04_THRESHOLDS_WEIGHTS'!G23</f>
        <v>200</v>
      </c>
      <c r="G23" s="4">
        <f>'04_THRESHOLDS_WEIGHTS'!H23</f>
        <v>150</v>
      </c>
      <c r="H23" s="4">
        <f>'04_THRESHOLDS_WEIGHTS'!I23</f>
        <v>100</v>
      </c>
      <c r="I23" s="4">
        <f>'04_THRESHOLDS_WEIGHTS'!J23</f>
        <v>50</v>
      </c>
      <c r="J23" s="6">
        <f>'07_IMPORT_ENSEMBLE'!E23</f>
        <v>125.02781052037633</v>
      </c>
      <c r="K23" s="6">
        <f t="shared" si="0"/>
        <v>0.62486094739811837</v>
      </c>
      <c r="L23" s="6">
        <f>'07_IMPORT_ENSEMBLE'!F23</f>
        <v>125.02781052037633</v>
      </c>
      <c r="M23" s="6">
        <f t="shared" si="1"/>
        <v>0.62486094739811837</v>
      </c>
      <c r="N23" s="6">
        <f>'07_IMPORT_ENSEMBLE'!G23</f>
        <v>125.02781052037633</v>
      </c>
      <c r="O23" s="6">
        <f t="shared" si="2"/>
        <v>0.62486094739811837</v>
      </c>
      <c r="P23" s="6">
        <f>'07_IMPORT_ENSEMBLE'!H23</f>
        <v>125.02781052037633</v>
      </c>
      <c r="Q23" s="6">
        <f t="shared" si="3"/>
        <v>0.62486094739811837</v>
      </c>
      <c r="R23" s="6">
        <f t="shared" si="4"/>
        <v>125.02781052037633</v>
      </c>
      <c r="S23" s="6">
        <f t="shared" si="5"/>
        <v>0.62486094739811837</v>
      </c>
      <c r="T23" s="6">
        <f t="shared" si="6"/>
        <v>125.02781052037633</v>
      </c>
      <c r="U23" s="6">
        <f t="shared" si="7"/>
        <v>125.02781052037633</v>
      </c>
    </row>
    <row r="24" spans="1:21" ht="15" customHeight="1" x14ac:dyDescent="0.25">
      <c r="A24" s="3" t="s">
        <v>87</v>
      </c>
      <c r="B24" s="3" t="s">
        <v>261</v>
      </c>
      <c r="C24" s="3" t="s">
        <v>262</v>
      </c>
      <c r="D24" s="3" t="s">
        <v>256</v>
      </c>
      <c r="E24" s="3" t="s">
        <v>141</v>
      </c>
      <c r="F24" s="4">
        <f>'04_THRESHOLDS_WEIGHTS'!G24</f>
        <v>0.06</v>
      </c>
      <c r="G24" s="4">
        <f>'04_THRESHOLDS_WEIGHTS'!H24</f>
        <v>0.04</v>
      </c>
      <c r="H24" s="4">
        <f>'04_THRESHOLDS_WEIGHTS'!I24</f>
        <v>0.02</v>
      </c>
      <c r="I24" s="4">
        <f>'04_THRESHOLDS_WEIGHTS'!J24</f>
        <v>0.01</v>
      </c>
      <c r="J24" s="6">
        <f>'07_IMPORT_ENSEMBLE'!E24</f>
        <v>2.7269710024471028E-2</v>
      </c>
      <c r="K24" s="6">
        <f t="shared" si="0"/>
        <v>0.65912862469411215</v>
      </c>
      <c r="L24" s="6">
        <f>'07_IMPORT_ENSEMBLE'!F24</f>
        <v>2.7269710024471028E-2</v>
      </c>
      <c r="M24" s="6">
        <f t="shared" si="1"/>
        <v>0.65912862469411215</v>
      </c>
      <c r="N24" s="6">
        <f>'07_IMPORT_ENSEMBLE'!G24</f>
        <v>2.7269710024471028E-2</v>
      </c>
      <c r="O24" s="6">
        <f t="shared" si="2"/>
        <v>0.65912862469411215</v>
      </c>
      <c r="P24" s="6">
        <f>'07_IMPORT_ENSEMBLE'!H24</f>
        <v>2.7269710024471028E-2</v>
      </c>
      <c r="Q24" s="6">
        <f t="shared" si="3"/>
        <v>0.65912862469411215</v>
      </c>
      <c r="R24" s="6">
        <f t="shared" si="4"/>
        <v>2.7269710024471028E-2</v>
      </c>
      <c r="S24" s="6">
        <f t="shared" si="5"/>
        <v>0.65912862469411215</v>
      </c>
      <c r="T24" s="6">
        <f t="shared" si="6"/>
        <v>2.7269710024471028E-2</v>
      </c>
      <c r="U24" s="6">
        <f t="shared" si="7"/>
        <v>2.7269710024471028E-2</v>
      </c>
    </row>
    <row r="25" spans="1:21" ht="15" customHeight="1" x14ac:dyDescent="0.25">
      <c r="A25" s="3" t="s">
        <v>87</v>
      </c>
      <c r="B25" s="3" t="s">
        <v>267</v>
      </c>
      <c r="C25" s="3" t="s">
        <v>268</v>
      </c>
      <c r="D25" s="3" t="s">
        <v>256</v>
      </c>
      <c r="E25" s="3" t="s">
        <v>141</v>
      </c>
      <c r="F25" s="4">
        <f>'04_THRESHOLDS_WEIGHTS'!G25</f>
        <v>0.06</v>
      </c>
      <c r="G25" s="4">
        <f>'04_THRESHOLDS_WEIGHTS'!H25</f>
        <v>0.04</v>
      </c>
      <c r="H25" s="4">
        <f>'04_THRESHOLDS_WEIGHTS'!I25</f>
        <v>0.02</v>
      </c>
      <c r="I25" s="4">
        <f>'04_THRESHOLDS_WEIGHTS'!J25</f>
        <v>0.01</v>
      </c>
      <c r="J25" s="6">
        <f>'07_IMPORT_ENSEMBLE'!E25</f>
        <v>2.5638981365007658E-2</v>
      </c>
      <c r="K25" s="6">
        <f t="shared" si="0"/>
        <v>0.67951273293740422</v>
      </c>
      <c r="L25" s="6">
        <f>'07_IMPORT_ENSEMBLE'!F25</f>
        <v>2.5638981365007658E-2</v>
      </c>
      <c r="M25" s="6">
        <f t="shared" si="1"/>
        <v>0.67951273293740422</v>
      </c>
      <c r="N25" s="6">
        <f>'07_IMPORT_ENSEMBLE'!G25</f>
        <v>2.5638981365007658E-2</v>
      </c>
      <c r="O25" s="6">
        <f t="shared" si="2"/>
        <v>0.67951273293740422</v>
      </c>
      <c r="P25" s="6">
        <f>'07_IMPORT_ENSEMBLE'!H25</f>
        <v>2.5638981365007658E-2</v>
      </c>
      <c r="Q25" s="6">
        <f t="shared" si="3"/>
        <v>0.67951273293740422</v>
      </c>
      <c r="R25" s="6">
        <f t="shared" si="4"/>
        <v>2.5638981365007658E-2</v>
      </c>
      <c r="S25" s="6">
        <f t="shared" si="5"/>
        <v>0.67951273293740422</v>
      </c>
      <c r="T25" s="6">
        <f t="shared" si="6"/>
        <v>2.5638981365007658E-2</v>
      </c>
      <c r="U25" s="6">
        <f t="shared" si="7"/>
        <v>2.5638981365007658E-2</v>
      </c>
    </row>
    <row r="26" spans="1:21" ht="15" customHeight="1" x14ac:dyDescent="0.25">
      <c r="A26" s="3" t="s">
        <v>87</v>
      </c>
      <c r="B26" s="3" t="s">
        <v>272</v>
      </c>
      <c r="C26" s="3" t="s">
        <v>273</v>
      </c>
      <c r="D26" s="3" t="s">
        <v>275</v>
      </c>
      <c r="E26" s="3" t="s">
        <v>124</v>
      </c>
      <c r="F26" s="4">
        <f>'04_THRESHOLDS_WEIGHTS'!G26</f>
        <v>0.05</v>
      </c>
      <c r="G26" s="4">
        <f>'04_THRESHOLDS_WEIGHTS'!H26</f>
        <v>0.1</v>
      </c>
      <c r="H26" s="4">
        <f>'04_THRESHOLDS_WEIGHTS'!I26</f>
        <v>0.2</v>
      </c>
      <c r="I26" s="4">
        <f>'04_THRESHOLDS_WEIGHTS'!J26</f>
        <v>0.4</v>
      </c>
      <c r="J26" s="6">
        <f>'07_IMPORT_ENSEMBLE'!E26</f>
        <v>9.2583037616575589E-2</v>
      </c>
      <c r="K26" s="6">
        <f t="shared" si="0"/>
        <v>0.4629151880828779</v>
      </c>
      <c r="L26" s="6">
        <f>'07_IMPORT_ENSEMBLE'!F26</f>
        <v>9.2583037616575589E-2</v>
      </c>
      <c r="M26" s="6">
        <f t="shared" si="1"/>
        <v>0.4629151880828779</v>
      </c>
      <c r="N26" s="6">
        <f>'07_IMPORT_ENSEMBLE'!G26</f>
        <v>9.2583037616575589E-2</v>
      </c>
      <c r="O26" s="6">
        <f t="shared" si="2"/>
        <v>0.4629151880828779</v>
      </c>
      <c r="P26" s="6">
        <f>'07_IMPORT_ENSEMBLE'!H26</f>
        <v>9.2583037616575589E-2</v>
      </c>
      <c r="Q26" s="6">
        <f t="shared" si="3"/>
        <v>0.4629151880828779</v>
      </c>
      <c r="R26" s="6">
        <f t="shared" si="4"/>
        <v>9.2583037616575589E-2</v>
      </c>
      <c r="S26" s="6">
        <f t="shared" si="5"/>
        <v>0.4629151880828779</v>
      </c>
      <c r="T26" s="6">
        <f t="shared" si="6"/>
        <v>9.2583037616575589E-2</v>
      </c>
      <c r="U26" s="6">
        <f t="shared" si="7"/>
        <v>9.2583037616575589E-2</v>
      </c>
    </row>
    <row r="27" spans="1:21" ht="15" customHeight="1" x14ac:dyDescent="0.25">
      <c r="A27" s="3" t="s">
        <v>87</v>
      </c>
      <c r="B27" s="3" t="s">
        <v>281</v>
      </c>
      <c r="C27" s="3" t="s">
        <v>282</v>
      </c>
      <c r="D27" s="3" t="s">
        <v>283</v>
      </c>
      <c r="E27" s="3" t="s">
        <v>124</v>
      </c>
      <c r="F27" s="4">
        <f>'04_THRESHOLDS_WEIGHTS'!G27</f>
        <v>0</v>
      </c>
      <c r="G27" s="4">
        <f>'04_THRESHOLDS_WEIGHTS'!H27</f>
        <v>0.25</v>
      </c>
      <c r="H27" s="4">
        <f>'04_THRESHOLDS_WEIGHTS'!I27</f>
        <v>0.5</v>
      </c>
      <c r="I27" s="4">
        <f>'04_THRESHOLDS_WEIGHTS'!J27</f>
        <v>1</v>
      </c>
      <c r="J27" s="6">
        <f>'07_IMPORT_ENSEMBLE'!E27</f>
        <v>0.80611897953339418</v>
      </c>
      <c r="K27" s="6">
        <f t="shared" si="0"/>
        <v>0.90305948976669703</v>
      </c>
      <c r="L27" s="6">
        <f>'07_IMPORT_ENSEMBLE'!F27</f>
        <v>0.80611897953339418</v>
      </c>
      <c r="M27" s="6">
        <f t="shared" si="1"/>
        <v>0.90305948976669703</v>
      </c>
      <c r="N27" s="6">
        <f>'07_IMPORT_ENSEMBLE'!G27</f>
        <v>0.80611897953339418</v>
      </c>
      <c r="O27" s="6">
        <f t="shared" si="2"/>
        <v>0.90305948976669703</v>
      </c>
      <c r="P27" s="6">
        <f>'07_IMPORT_ENSEMBLE'!H27</f>
        <v>0.80611897953339418</v>
      </c>
      <c r="Q27" s="6">
        <f t="shared" si="3"/>
        <v>0.90305948976669703</v>
      </c>
      <c r="R27" s="6">
        <f t="shared" si="4"/>
        <v>0.80611897953339418</v>
      </c>
      <c r="S27" s="6">
        <f t="shared" si="5"/>
        <v>0.90305948976669703</v>
      </c>
      <c r="T27" s="6">
        <f t="shared" si="6"/>
        <v>0.80611897953339418</v>
      </c>
      <c r="U27" s="6">
        <f t="shared" si="7"/>
        <v>0.80611897953339418</v>
      </c>
    </row>
    <row r="28" spans="1:21" ht="15" customHeight="1" x14ac:dyDescent="0.25">
      <c r="A28" s="3" t="s">
        <v>93</v>
      </c>
      <c r="B28" s="3" t="s">
        <v>287</v>
      </c>
      <c r="C28" s="3" t="s">
        <v>288</v>
      </c>
      <c r="D28" s="3" t="s">
        <v>290</v>
      </c>
      <c r="E28" s="3" t="s">
        <v>141</v>
      </c>
      <c r="F28" s="4">
        <f>'04_THRESHOLDS_WEIGHTS'!G28</f>
        <v>600</v>
      </c>
      <c r="G28" s="4">
        <f>'04_THRESHOLDS_WEIGHTS'!H28</f>
        <v>500</v>
      </c>
      <c r="H28" s="4">
        <f>'04_THRESHOLDS_WEIGHTS'!I28</f>
        <v>400</v>
      </c>
      <c r="I28" s="4">
        <f>'04_THRESHOLDS_WEIGHTS'!J28</f>
        <v>300</v>
      </c>
      <c r="J28" s="6">
        <f>'07_IMPORT_ENSEMBLE'!E28</f>
        <v>518.69724409908804</v>
      </c>
      <c r="K28" s="6">
        <f t="shared" si="0"/>
        <v>0.4532568897522799</v>
      </c>
      <c r="L28" s="6">
        <f>'07_IMPORT_ENSEMBLE'!F28</f>
        <v>429.58563181624248</v>
      </c>
      <c r="M28" s="6">
        <f t="shared" si="1"/>
        <v>0.67603592045939376</v>
      </c>
      <c r="N28" s="6">
        <f>'07_IMPORT_ENSEMBLE'!G28</f>
        <v>476.50427150445677</v>
      </c>
      <c r="O28" s="6">
        <f t="shared" si="2"/>
        <v>0.55873932123885806</v>
      </c>
      <c r="P28" s="6">
        <f>'07_IMPORT_ENSEMBLE'!H28</f>
        <v>394.73147673804573</v>
      </c>
      <c r="Q28" s="6">
        <f t="shared" si="3"/>
        <v>0.76317130815488565</v>
      </c>
      <c r="R28" s="6">
        <f t="shared" si="4"/>
        <v>454.87965603945827</v>
      </c>
      <c r="S28" s="6">
        <f t="shared" si="5"/>
        <v>0.61280085990135436</v>
      </c>
      <c r="T28" s="6">
        <f t="shared" si="6"/>
        <v>394.73147673804573</v>
      </c>
      <c r="U28" s="6">
        <f t="shared" si="7"/>
        <v>518.69724409908804</v>
      </c>
    </row>
    <row r="29" spans="1:21" ht="15" customHeight="1" x14ac:dyDescent="0.25">
      <c r="A29" s="3" t="s">
        <v>93</v>
      </c>
      <c r="B29" s="3" t="s">
        <v>294</v>
      </c>
      <c r="C29" s="3" t="s">
        <v>295</v>
      </c>
      <c r="D29" s="3" t="s">
        <v>290</v>
      </c>
      <c r="E29" s="3" t="s">
        <v>141</v>
      </c>
      <c r="F29" s="4">
        <f>'04_THRESHOLDS_WEIGHTS'!G29</f>
        <v>0.45</v>
      </c>
      <c r="G29" s="4">
        <f>'04_THRESHOLDS_WEIGHTS'!H29</f>
        <v>0.35</v>
      </c>
      <c r="H29" s="4">
        <f>'04_THRESHOLDS_WEIGHTS'!I29</f>
        <v>0.25</v>
      </c>
      <c r="I29" s="4">
        <f>'04_THRESHOLDS_WEIGHTS'!J29</f>
        <v>0.2</v>
      </c>
      <c r="J29" s="6">
        <f>'07_IMPORT_ENSEMBLE'!E29</f>
        <v>0.33773208295289525</v>
      </c>
      <c r="K29" s="6">
        <f t="shared" si="0"/>
        <v>0.53066979261776182</v>
      </c>
      <c r="L29" s="6">
        <f>'07_IMPORT_ENSEMBLE'!F29</f>
        <v>0.33755007537539428</v>
      </c>
      <c r="M29" s="6">
        <f t="shared" si="1"/>
        <v>0.53112481156151425</v>
      </c>
      <c r="N29" s="6">
        <f>'07_IMPORT_ENSEMBLE'!G29</f>
        <v>0.35567446646304046</v>
      </c>
      <c r="O29" s="6">
        <f t="shared" si="2"/>
        <v>0.48581383384239879</v>
      </c>
      <c r="P29" s="6">
        <f>'07_IMPORT_ENSEMBLE'!H29</f>
        <v>0.35543526571077394</v>
      </c>
      <c r="Q29" s="6">
        <f t="shared" si="3"/>
        <v>0.48641183572306512</v>
      </c>
      <c r="R29" s="6">
        <f t="shared" si="4"/>
        <v>0.346597972625526</v>
      </c>
      <c r="S29" s="6">
        <f t="shared" si="5"/>
        <v>0.50850506843618493</v>
      </c>
      <c r="T29" s="6">
        <f t="shared" si="6"/>
        <v>0.33755007537539428</v>
      </c>
      <c r="U29" s="6">
        <f t="shared" si="7"/>
        <v>0.35567446646304046</v>
      </c>
    </row>
    <row r="30" spans="1:21" ht="15" customHeight="1" x14ac:dyDescent="0.25">
      <c r="A30" s="3" t="s">
        <v>93</v>
      </c>
      <c r="B30" s="3" t="s">
        <v>299</v>
      </c>
      <c r="C30" s="3" t="s">
        <v>300</v>
      </c>
      <c r="D30" s="3" t="s">
        <v>290</v>
      </c>
      <c r="E30" s="3" t="s">
        <v>124</v>
      </c>
      <c r="F30" s="4">
        <f>'04_THRESHOLDS_WEIGHTS'!G30</f>
        <v>0.25</v>
      </c>
      <c r="G30" s="4">
        <f>'04_THRESHOLDS_WEIGHTS'!H30</f>
        <v>0.5</v>
      </c>
      <c r="H30" s="4">
        <f>'04_THRESHOLDS_WEIGHTS'!I30</f>
        <v>0.75</v>
      </c>
      <c r="I30" s="4">
        <f>'04_THRESHOLDS_WEIGHTS'!J30</f>
        <v>0.8</v>
      </c>
      <c r="J30" s="6">
        <f>'07_IMPORT_ENSEMBLE'!E30</f>
        <v>9.0615316337890578E-2</v>
      </c>
      <c r="K30" s="6">
        <f t="shared" si="0"/>
        <v>0</v>
      </c>
      <c r="L30" s="6">
        <f>'07_IMPORT_ENSEMBLE'!F30</f>
        <v>9.0615316337890578E-2</v>
      </c>
      <c r="M30" s="6">
        <f t="shared" si="1"/>
        <v>0</v>
      </c>
      <c r="N30" s="6">
        <f>'07_IMPORT_ENSEMBLE'!G30</f>
        <v>9.0615316337890578E-2</v>
      </c>
      <c r="O30" s="6">
        <f t="shared" si="2"/>
        <v>0</v>
      </c>
      <c r="P30" s="6">
        <f>'07_IMPORT_ENSEMBLE'!H30</f>
        <v>9.0615316337890578E-2</v>
      </c>
      <c r="Q30" s="6">
        <f t="shared" si="3"/>
        <v>0</v>
      </c>
      <c r="R30" s="6">
        <f t="shared" si="4"/>
        <v>9.0615316337890578E-2</v>
      </c>
      <c r="S30" s="6">
        <f t="shared" si="5"/>
        <v>0</v>
      </c>
      <c r="T30" s="6">
        <f t="shared" si="6"/>
        <v>9.0615316337890578E-2</v>
      </c>
      <c r="U30" s="6">
        <f t="shared" si="7"/>
        <v>9.0615316337890578E-2</v>
      </c>
    </row>
    <row r="31" spans="1:21" ht="15" customHeight="1" x14ac:dyDescent="0.25">
      <c r="A31" s="3" t="s">
        <v>93</v>
      </c>
      <c r="B31" s="3" t="s">
        <v>304</v>
      </c>
      <c r="C31" s="3" t="s">
        <v>305</v>
      </c>
      <c r="D31" s="3" t="s">
        <v>306</v>
      </c>
      <c r="E31" s="3" t="s">
        <v>141</v>
      </c>
      <c r="F31" s="4">
        <f>'04_THRESHOLDS_WEIGHTS'!G31</f>
        <v>1.25</v>
      </c>
      <c r="G31" s="4">
        <f>'04_THRESHOLDS_WEIGHTS'!H31</f>
        <v>1.05</v>
      </c>
      <c r="H31" s="4">
        <f>'04_THRESHOLDS_WEIGHTS'!I31</f>
        <v>0.75</v>
      </c>
      <c r="I31" s="4">
        <f>'04_THRESHOLDS_WEIGHTS'!J31</f>
        <v>0.5</v>
      </c>
      <c r="J31" s="6">
        <f>'07_IMPORT_ENSEMBLE'!E31</f>
        <v>1.0982335323190271</v>
      </c>
      <c r="K31" s="6">
        <f t="shared" si="0"/>
        <v>0.43970808460121619</v>
      </c>
      <c r="L31" s="6">
        <f>'07_IMPORT_ENSEMBLE'!F31</f>
        <v>0.91611649686461649</v>
      </c>
      <c r="M31" s="6">
        <f t="shared" si="1"/>
        <v>0.61156958594615296</v>
      </c>
      <c r="N31" s="6">
        <f>'07_IMPORT_ENSEMBLE'!G31</f>
        <v>1.0982335323190271</v>
      </c>
      <c r="O31" s="6">
        <f t="shared" si="2"/>
        <v>0.43970808460121619</v>
      </c>
      <c r="P31" s="6">
        <f>'07_IMPORT_ENSEMBLE'!H31</f>
        <v>0.91611649686461649</v>
      </c>
      <c r="Q31" s="6">
        <f t="shared" si="3"/>
        <v>0.61156958594615296</v>
      </c>
      <c r="R31" s="6">
        <f t="shared" si="4"/>
        <v>1.0071750145918217</v>
      </c>
      <c r="S31" s="6">
        <f t="shared" si="5"/>
        <v>0.53568748784014864</v>
      </c>
      <c r="T31" s="6">
        <f t="shared" si="6"/>
        <v>0.91611649686461649</v>
      </c>
      <c r="U31" s="6">
        <f t="shared" si="7"/>
        <v>1.0982335323190271</v>
      </c>
    </row>
    <row r="32" spans="1:21" ht="15" customHeight="1" x14ac:dyDescent="0.25">
      <c r="A32" s="3" t="s">
        <v>93</v>
      </c>
      <c r="B32" s="3" t="s">
        <v>312</v>
      </c>
      <c r="C32" s="3" t="s">
        <v>313</v>
      </c>
      <c r="D32" s="3" t="s">
        <v>306</v>
      </c>
      <c r="E32" s="3" t="s">
        <v>124</v>
      </c>
      <c r="F32" s="4">
        <f>'04_THRESHOLDS_WEIGHTS'!G32</f>
        <v>0.25</v>
      </c>
      <c r="G32" s="4">
        <f>'04_THRESHOLDS_WEIGHTS'!H32</f>
        <v>0.5</v>
      </c>
      <c r="H32" s="4">
        <f>'04_THRESHOLDS_WEIGHTS'!I32</f>
        <v>0.75</v>
      </c>
      <c r="I32" s="4">
        <f>'04_THRESHOLDS_WEIGHTS'!J32</f>
        <v>1</v>
      </c>
      <c r="J32" s="6">
        <f>'07_IMPORT_ENSEMBLE'!E32</f>
        <v>0.56628899075120642</v>
      </c>
      <c r="K32" s="6">
        <f t="shared" si="0"/>
        <v>0.56628899075120642</v>
      </c>
      <c r="L32" s="6">
        <f>'07_IMPORT_ENSEMBLE'!F32</f>
        <v>0.56628899075120642</v>
      </c>
      <c r="M32" s="6">
        <f t="shared" si="1"/>
        <v>0.56628899075120642</v>
      </c>
      <c r="N32" s="6">
        <f>'07_IMPORT_ENSEMBLE'!G32</f>
        <v>0.56628899075120642</v>
      </c>
      <c r="O32" s="6">
        <f t="shared" si="2"/>
        <v>0.56628899075120642</v>
      </c>
      <c r="P32" s="6">
        <f>'07_IMPORT_ENSEMBLE'!H32</f>
        <v>0.56628899075120642</v>
      </c>
      <c r="Q32" s="6">
        <f t="shared" si="3"/>
        <v>0.56628899075120642</v>
      </c>
      <c r="R32" s="6">
        <f t="shared" si="4"/>
        <v>0.56628899075120642</v>
      </c>
      <c r="S32" s="6">
        <f t="shared" si="5"/>
        <v>0.56628899075120642</v>
      </c>
      <c r="T32" s="6">
        <f t="shared" si="6"/>
        <v>0.56628899075120642</v>
      </c>
      <c r="U32" s="6">
        <f t="shared" si="7"/>
        <v>0.56628899075120642</v>
      </c>
    </row>
    <row r="33" spans="1:21" ht="15" customHeight="1" x14ac:dyDescent="0.25">
      <c r="A33" s="3" t="s">
        <v>93</v>
      </c>
      <c r="B33" s="3" t="s">
        <v>317</v>
      </c>
      <c r="C33" s="3" t="s">
        <v>318</v>
      </c>
      <c r="D33" s="3" t="s">
        <v>319</v>
      </c>
      <c r="E33" s="3" t="s">
        <v>124</v>
      </c>
      <c r="F33" s="4">
        <f>'04_THRESHOLDS_WEIGHTS'!G33</f>
        <v>0</v>
      </c>
      <c r="G33" s="4">
        <f>'04_THRESHOLDS_WEIGHTS'!H33</f>
        <v>0.2</v>
      </c>
      <c r="H33" s="4">
        <f>'04_THRESHOLDS_WEIGHTS'!I33</f>
        <v>0.25</v>
      </c>
      <c r="I33" s="4">
        <f>'04_THRESHOLDS_WEIGHTS'!J33</f>
        <v>0.3</v>
      </c>
      <c r="J33" s="6">
        <f>'07_IMPORT_ENSEMBLE'!E33</f>
        <v>0.54884268983162765</v>
      </c>
      <c r="K33" s="6">
        <f t="shared" si="0"/>
        <v>1</v>
      </c>
      <c r="L33" s="6">
        <f>'07_IMPORT_ENSEMBLE'!F33</f>
        <v>0.54884268983162765</v>
      </c>
      <c r="M33" s="6">
        <f t="shared" si="1"/>
        <v>1</v>
      </c>
      <c r="N33" s="6">
        <f>'07_IMPORT_ENSEMBLE'!G33</f>
        <v>0.54884268983162765</v>
      </c>
      <c r="O33" s="6">
        <f t="shared" si="2"/>
        <v>1</v>
      </c>
      <c r="P33" s="6">
        <f>'07_IMPORT_ENSEMBLE'!H33</f>
        <v>0.54884268983162765</v>
      </c>
      <c r="Q33" s="6">
        <f t="shared" si="3"/>
        <v>1</v>
      </c>
      <c r="R33" s="6">
        <f t="shared" si="4"/>
        <v>0.54884268983162765</v>
      </c>
      <c r="S33" s="6">
        <f t="shared" si="5"/>
        <v>1</v>
      </c>
      <c r="T33" s="6">
        <f t="shared" si="6"/>
        <v>0.54884268983162765</v>
      </c>
      <c r="U33" s="6">
        <f t="shared" si="7"/>
        <v>0.54884268983162765</v>
      </c>
    </row>
    <row r="34" spans="1:21" ht="15" customHeight="1" x14ac:dyDescent="0.25">
      <c r="A34" s="3" t="s">
        <v>93</v>
      </c>
      <c r="B34" s="3" t="s">
        <v>323</v>
      </c>
      <c r="C34" s="3" t="s">
        <v>324</v>
      </c>
      <c r="D34" s="3" t="s">
        <v>319</v>
      </c>
      <c r="E34" s="3" t="s">
        <v>141</v>
      </c>
      <c r="F34" s="4">
        <f>'04_THRESHOLDS_WEIGHTS'!G34</f>
        <v>0.6</v>
      </c>
      <c r="G34" s="4">
        <f>'04_THRESHOLDS_WEIGHTS'!H34</f>
        <v>0.4</v>
      </c>
      <c r="H34" s="4">
        <f>'04_THRESHOLDS_WEIGHTS'!I34</f>
        <v>0.3</v>
      </c>
      <c r="I34" s="4">
        <f>'04_THRESHOLDS_WEIGHTS'!J34</f>
        <v>0.2</v>
      </c>
      <c r="J34" s="6">
        <f>'07_IMPORT_ENSEMBLE'!E34</f>
        <v>0.19744236000046361</v>
      </c>
      <c r="K34" s="6">
        <f t="shared" si="0"/>
        <v>1</v>
      </c>
      <c r="L34" s="6">
        <f>'07_IMPORT_ENSEMBLE'!F34</f>
        <v>0.19744236000046361</v>
      </c>
      <c r="M34" s="6">
        <f t="shared" si="1"/>
        <v>1</v>
      </c>
      <c r="N34" s="6">
        <f>'07_IMPORT_ENSEMBLE'!G34</f>
        <v>0.19744236000046361</v>
      </c>
      <c r="O34" s="6">
        <f t="shared" si="2"/>
        <v>1</v>
      </c>
      <c r="P34" s="6">
        <f>'07_IMPORT_ENSEMBLE'!H34</f>
        <v>0.19744236000046361</v>
      </c>
      <c r="Q34" s="6">
        <f t="shared" si="3"/>
        <v>1</v>
      </c>
      <c r="R34" s="6">
        <f t="shared" si="4"/>
        <v>0.19744236000046361</v>
      </c>
      <c r="S34" s="6">
        <f t="shared" si="5"/>
        <v>1</v>
      </c>
      <c r="T34" s="6">
        <f t="shared" si="6"/>
        <v>0.19744236000046361</v>
      </c>
      <c r="U34" s="6">
        <f t="shared" si="7"/>
        <v>0.19744236000046361</v>
      </c>
    </row>
    <row r="35" spans="1:21" ht="15" customHeight="1" x14ac:dyDescent="0.25">
      <c r="A35" s="3" t="s">
        <v>93</v>
      </c>
      <c r="B35" s="3" t="s">
        <v>328</v>
      </c>
      <c r="C35" s="3" t="s">
        <v>329</v>
      </c>
      <c r="D35" s="3" t="s">
        <v>331</v>
      </c>
      <c r="E35" s="3" t="s">
        <v>124</v>
      </c>
      <c r="F35" s="4">
        <f>'04_THRESHOLDS_WEIGHTS'!G35</f>
        <v>40</v>
      </c>
      <c r="G35" s="4">
        <f>'04_THRESHOLDS_WEIGHTS'!H35</f>
        <v>60</v>
      </c>
      <c r="H35" s="4">
        <f>'04_THRESHOLDS_WEIGHTS'!I35</f>
        <v>80</v>
      </c>
      <c r="I35" s="4">
        <f>'04_THRESHOLDS_WEIGHTS'!J35</f>
        <v>100</v>
      </c>
      <c r="J35" s="6">
        <f>'07_IMPORT_ENSEMBLE'!E35</f>
        <v>67.9146412605797</v>
      </c>
      <c r="K35" s="6">
        <f t="shared" si="0"/>
        <v>0.59893301575724622</v>
      </c>
      <c r="L35" s="6">
        <f>'07_IMPORT_ENSEMBLE'!F35</f>
        <v>67.9146412605797</v>
      </c>
      <c r="M35" s="6">
        <f t="shared" si="1"/>
        <v>0.59893301575724622</v>
      </c>
      <c r="N35" s="6">
        <f>'07_IMPORT_ENSEMBLE'!G35</f>
        <v>67.9146412605797</v>
      </c>
      <c r="O35" s="6">
        <f t="shared" si="2"/>
        <v>0.59893301575724622</v>
      </c>
      <c r="P35" s="6">
        <f>'07_IMPORT_ENSEMBLE'!H35</f>
        <v>67.9146412605797</v>
      </c>
      <c r="Q35" s="6">
        <f t="shared" si="3"/>
        <v>0.59893301575724622</v>
      </c>
      <c r="R35" s="6">
        <f t="shared" si="4"/>
        <v>67.9146412605797</v>
      </c>
      <c r="S35" s="6">
        <f t="shared" si="5"/>
        <v>0.59893301575724622</v>
      </c>
      <c r="T35" s="6">
        <f t="shared" si="6"/>
        <v>67.9146412605797</v>
      </c>
      <c r="U35" s="6">
        <f t="shared" si="7"/>
        <v>67.9146412605797</v>
      </c>
    </row>
    <row r="36" spans="1:21" ht="15" customHeight="1" x14ac:dyDescent="0.25">
      <c r="A36" s="3" t="s">
        <v>93</v>
      </c>
      <c r="B36" s="3" t="s">
        <v>335</v>
      </c>
      <c r="C36" s="3" t="s">
        <v>336</v>
      </c>
      <c r="D36" s="3" t="s">
        <v>331</v>
      </c>
      <c r="E36" s="3" t="s">
        <v>124</v>
      </c>
      <c r="F36" s="4">
        <f>'04_THRESHOLDS_WEIGHTS'!G36</f>
        <v>0.25</v>
      </c>
      <c r="G36" s="4">
        <f>'04_THRESHOLDS_WEIGHTS'!H36</f>
        <v>0.5</v>
      </c>
      <c r="H36" s="4">
        <f>'04_THRESHOLDS_WEIGHTS'!I36</f>
        <v>0.75</v>
      </c>
      <c r="I36" s="4">
        <f>'04_THRESHOLDS_WEIGHTS'!J36</f>
        <v>1</v>
      </c>
      <c r="J36" s="6">
        <f>'07_IMPORT_ENSEMBLE'!E36</f>
        <v>0.41686880937942183</v>
      </c>
      <c r="K36" s="6">
        <f t="shared" si="0"/>
        <v>0.41686880937942183</v>
      </c>
      <c r="L36" s="6">
        <f>'07_IMPORT_ENSEMBLE'!F36</f>
        <v>0.41686880937942183</v>
      </c>
      <c r="M36" s="6">
        <f t="shared" si="1"/>
        <v>0.41686880937942183</v>
      </c>
      <c r="N36" s="6">
        <f>'07_IMPORT_ENSEMBLE'!G36</f>
        <v>0.41686880937942183</v>
      </c>
      <c r="O36" s="6">
        <f t="shared" si="2"/>
        <v>0.41686880937942183</v>
      </c>
      <c r="P36" s="6">
        <f>'07_IMPORT_ENSEMBLE'!H36</f>
        <v>0.41686880937942183</v>
      </c>
      <c r="Q36" s="6">
        <f t="shared" si="3"/>
        <v>0.41686880937942183</v>
      </c>
      <c r="R36" s="6">
        <f t="shared" si="4"/>
        <v>0.41686880937942183</v>
      </c>
      <c r="S36" s="6">
        <f t="shared" si="5"/>
        <v>0.41686880937942183</v>
      </c>
      <c r="T36" s="6">
        <f t="shared" si="6"/>
        <v>0.41686880937942183</v>
      </c>
      <c r="U36" s="6">
        <f t="shared" si="7"/>
        <v>0.41686880937942183</v>
      </c>
    </row>
    <row r="37" spans="1:21" ht="15" customHeight="1" x14ac:dyDescent="0.25">
      <c r="A37" s="3" t="s">
        <v>93</v>
      </c>
      <c r="B37" s="3" t="s">
        <v>342</v>
      </c>
      <c r="C37" s="3" t="s">
        <v>343</v>
      </c>
      <c r="D37" s="3" t="s">
        <v>319</v>
      </c>
      <c r="E37" s="3" t="s">
        <v>124</v>
      </c>
      <c r="F37" s="4">
        <f>'04_THRESHOLDS_WEIGHTS'!G37</f>
        <v>0.7</v>
      </c>
      <c r="G37" s="4">
        <f>'04_THRESHOLDS_WEIGHTS'!H37</f>
        <v>0.85</v>
      </c>
      <c r="H37" s="4">
        <f>'04_THRESHOLDS_WEIGHTS'!I37</f>
        <v>0.95</v>
      </c>
      <c r="I37" s="4">
        <f>'04_THRESHOLDS_WEIGHTS'!J37</f>
        <v>1</v>
      </c>
      <c r="J37" s="6">
        <f>'07_IMPORT_ENSEMBLE'!E37</f>
        <v>0.9681647521388449</v>
      </c>
      <c r="K37" s="6">
        <f t="shared" si="0"/>
        <v>0.8408237606942246</v>
      </c>
      <c r="L37" s="6">
        <f>'07_IMPORT_ENSEMBLE'!F37</f>
        <v>0.9681647521388449</v>
      </c>
      <c r="M37" s="6">
        <f t="shared" si="1"/>
        <v>0.8408237606942246</v>
      </c>
      <c r="N37" s="6">
        <f>'07_IMPORT_ENSEMBLE'!G37</f>
        <v>0.9681647521388449</v>
      </c>
      <c r="O37" s="6">
        <f t="shared" si="2"/>
        <v>0.8408237606942246</v>
      </c>
      <c r="P37" s="6">
        <f>'07_IMPORT_ENSEMBLE'!H37</f>
        <v>0.9681647521388449</v>
      </c>
      <c r="Q37" s="6">
        <f t="shared" si="3"/>
        <v>0.8408237606942246</v>
      </c>
      <c r="R37" s="6">
        <f t="shared" si="4"/>
        <v>0.9681647521388449</v>
      </c>
      <c r="S37" s="6">
        <f t="shared" si="5"/>
        <v>0.8408237606942246</v>
      </c>
      <c r="T37" s="6">
        <f t="shared" si="6"/>
        <v>0.9681647521388449</v>
      </c>
      <c r="U37" s="6">
        <f t="shared" si="7"/>
        <v>0.9681647521388449</v>
      </c>
    </row>
    <row r="38" spans="1:21" ht="15" customHeight="1" x14ac:dyDescent="0.25">
      <c r="A38" s="3" t="s">
        <v>99</v>
      </c>
      <c r="B38" s="3" t="s">
        <v>347</v>
      </c>
      <c r="C38" s="3" t="s">
        <v>348</v>
      </c>
      <c r="D38" s="3" t="s">
        <v>350</v>
      </c>
      <c r="E38" s="3" t="s">
        <v>124</v>
      </c>
      <c r="F38" s="4">
        <f>'04_THRESHOLDS_WEIGHTS'!G38</f>
        <v>0.25</v>
      </c>
      <c r="G38" s="4">
        <f>'04_THRESHOLDS_WEIGHTS'!H38</f>
        <v>0.5</v>
      </c>
      <c r="H38" s="4">
        <f>'04_THRESHOLDS_WEIGHTS'!I38</f>
        <v>0.75</v>
      </c>
      <c r="I38" s="4">
        <f>'04_THRESHOLDS_WEIGHTS'!J38</f>
        <v>1</v>
      </c>
      <c r="J38" s="6">
        <f>'07_IMPORT_ENSEMBLE'!E38</f>
        <v>0.8125</v>
      </c>
      <c r="K38" s="6">
        <f t="shared" si="0"/>
        <v>0.8125</v>
      </c>
      <c r="L38" s="6">
        <f>'07_IMPORT_ENSEMBLE'!F38</f>
        <v>0.8125</v>
      </c>
      <c r="M38" s="6">
        <f t="shared" si="1"/>
        <v>0.8125</v>
      </c>
      <c r="N38" s="6">
        <f>'07_IMPORT_ENSEMBLE'!G38</f>
        <v>0.8125</v>
      </c>
      <c r="O38" s="6">
        <f t="shared" si="2"/>
        <v>0.8125</v>
      </c>
      <c r="P38" s="6">
        <f>'07_IMPORT_ENSEMBLE'!H38</f>
        <v>0.8125</v>
      </c>
      <c r="Q38" s="6">
        <f t="shared" si="3"/>
        <v>0.8125</v>
      </c>
      <c r="R38" s="6">
        <f t="shared" si="4"/>
        <v>0.8125</v>
      </c>
      <c r="S38" s="6">
        <f t="shared" si="5"/>
        <v>0.8125</v>
      </c>
      <c r="T38" s="6">
        <f t="shared" si="6"/>
        <v>0.8125</v>
      </c>
      <c r="U38" s="6">
        <f t="shared" si="7"/>
        <v>0.8125</v>
      </c>
    </row>
    <row r="39" spans="1:21" ht="15" customHeight="1" x14ac:dyDescent="0.25">
      <c r="A39" s="3" t="s">
        <v>99</v>
      </c>
      <c r="B39" s="3" t="s">
        <v>356</v>
      </c>
      <c r="C39" s="3" t="s">
        <v>357</v>
      </c>
      <c r="D39" s="3" t="s">
        <v>358</v>
      </c>
      <c r="E39" s="3" t="s">
        <v>124</v>
      </c>
      <c r="F39" s="4">
        <f>'04_THRESHOLDS_WEIGHTS'!G39</f>
        <v>0.25</v>
      </c>
      <c r="G39" s="4">
        <f>'04_THRESHOLDS_WEIGHTS'!H39</f>
        <v>0.5</v>
      </c>
      <c r="H39" s="4">
        <f>'04_THRESHOLDS_WEIGHTS'!I39</f>
        <v>0.75</v>
      </c>
      <c r="I39" s="4">
        <f>'04_THRESHOLDS_WEIGHTS'!J39</f>
        <v>1</v>
      </c>
      <c r="J39" s="6">
        <f>'07_IMPORT_ENSEMBLE'!E39</f>
        <v>0.625</v>
      </c>
      <c r="K39" s="6">
        <f t="shared" si="0"/>
        <v>0.625</v>
      </c>
      <c r="L39" s="6">
        <f>'07_IMPORT_ENSEMBLE'!F39</f>
        <v>0.625</v>
      </c>
      <c r="M39" s="6">
        <f t="shared" si="1"/>
        <v>0.625</v>
      </c>
      <c r="N39" s="6">
        <f>'07_IMPORT_ENSEMBLE'!G39</f>
        <v>0.625</v>
      </c>
      <c r="O39" s="6">
        <f t="shared" si="2"/>
        <v>0.625</v>
      </c>
      <c r="P39" s="6">
        <f>'07_IMPORT_ENSEMBLE'!H39</f>
        <v>0.625</v>
      </c>
      <c r="Q39" s="6">
        <f t="shared" si="3"/>
        <v>0.625</v>
      </c>
      <c r="R39" s="6">
        <f t="shared" si="4"/>
        <v>0.625</v>
      </c>
      <c r="S39" s="6">
        <f t="shared" si="5"/>
        <v>0.625</v>
      </c>
      <c r="T39" s="6">
        <f t="shared" si="6"/>
        <v>0.625</v>
      </c>
      <c r="U39" s="6">
        <f t="shared" si="7"/>
        <v>0.625</v>
      </c>
    </row>
    <row r="40" spans="1:21" ht="15" customHeight="1" x14ac:dyDescent="0.25">
      <c r="A40" s="3" t="s">
        <v>99</v>
      </c>
      <c r="B40" s="3" t="s">
        <v>362</v>
      </c>
      <c r="C40" s="3" t="s">
        <v>363</v>
      </c>
      <c r="D40" s="3" t="s">
        <v>364</v>
      </c>
      <c r="E40" s="3" t="s">
        <v>124</v>
      </c>
      <c r="F40" s="4">
        <f>'04_THRESHOLDS_WEIGHTS'!G40</f>
        <v>0.25</v>
      </c>
      <c r="G40" s="4">
        <f>'04_THRESHOLDS_WEIGHTS'!H40</f>
        <v>0.5</v>
      </c>
      <c r="H40" s="4">
        <f>'04_THRESHOLDS_WEIGHTS'!I40</f>
        <v>0.75</v>
      </c>
      <c r="I40" s="4">
        <f>'04_THRESHOLDS_WEIGHTS'!J40</f>
        <v>1</v>
      </c>
      <c r="J40" s="6">
        <f>'07_IMPORT_ENSEMBLE'!E40</f>
        <v>0.5</v>
      </c>
      <c r="K40" s="6">
        <f t="shared" si="0"/>
        <v>0.5</v>
      </c>
      <c r="L40" s="6">
        <f>'07_IMPORT_ENSEMBLE'!F40</f>
        <v>0.5</v>
      </c>
      <c r="M40" s="6">
        <f t="shared" si="1"/>
        <v>0.5</v>
      </c>
      <c r="N40" s="6">
        <f>'07_IMPORT_ENSEMBLE'!G40</f>
        <v>0.5</v>
      </c>
      <c r="O40" s="6">
        <f t="shared" si="2"/>
        <v>0.5</v>
      </c>
      <c r="P40" s="6">
        <f>'07_IMPORT_ENSEMBLE'!H40</f>
        <v>0.5</v>
      </c>
      <c r="Q40" s="6">
        <f t="shared" si="3"/>
        <v>0.5</v>
      </c>
      <c r="R40" s="6">
        <f t="shared" si="4"/>
        <v>0.5</v>
      </c>
      <c r="S40" s="6">
        <f t="shared" si="5"/>
        <v>0.5</v>
      </c>
      <c r="T40" s="6">
        <f t="shared" si="6"/>
        <v>0.5</v>
      </c>
      <c r="U40" s="6">
        <f t="shared" si="7"/>
        <v>0.5</v>
      </c>
    </row>
    <row r="41" spans="1:21" ht="15" customHeight="1" x14ac:dyDescent="0.25">
      <c r="A41" s="3" t="s">
        <v>99</v>
      </c>
      <c r="B41" s="3" t="s">
        <v>368</v>
      </c>
      <c r="C41" s="3" t="s">
        <v>369</v>
      </c>
      <c r="D41" s="3" t="s">
        <v>370</v>
      </c>
      <c r="E41" s="3" t="s">
        <v>124</v>
      </c>
      <c r="F41" s="4">
        <f>'04_THRESHOLDS_WEIGHTS'!G41</f>
        <v>0.25</v>
      </c>
      <c r="G41" s="4">
        <f>'04_THRESHOLDS_WEIGHTS'!H41</f>
        <v>0.5</v>
      </c>
      <c r="H41" s="4">
        <f>'04_THRESHOLDS_WEIGHTS'!I41</f>
        <v>0.75</v>
      </c>
      <c r="I41" s="4">
        <f>'04_THRESHOLDS_WEIGHTS'!J41</f>
        <v>1</v>
      </c>
      <c r="J41" s="6">
        <f>'07_IMPORT_ENSEMBLE'!E41</f>
        <v>0.4375</v>
      </c>
      <c r="K41" s="6">
        <f t="shared" si="0"/>
        <v>0.4375</v>
      </c>
      <c r="L41" s="6">
        <f>'07_IMPORT_ENSEMBLE'!F41</f>
        <v>0.4375</v>
      </c>
      <c r="M41" s="6">
        <f t="shared" si="1"/>
        <v>0.4375</v>
      </c>
      <c r="N41" s="6">
        <f>'07_IMPORT_ENSEMBLE'!G41</f>
        <v>0.4375</v>
      </c>
      <c r="O41" s="6">
        <f t="shared" si="2"/>
        <v>0.4375</v>
      </c>
      <c r="P41" s="6">
        <f>'07_IMPORT_ENSEMBLE'!H41</f>
        <v>0.4375</v>
      </c>
      <c r="Q41" s="6">
        <f t="shared" si="3"/>
        <v>0.4375</v>
      </c>
      <c r="R41" s="6">
        <f t="shared" si="4"/>
        <v>0.4375</v>
      </c>
      <c r="S41" s="6">
        <f t="shared" si="5"/>
        <v>0.4375</v>
      </c>
      <c r="T41" s="6">
        <f t="shared" si="6"/>
        <v>0.4375</v>
      </c>
      <c r="U41" s="6">
        <f t="shared" si="7"/>
        <v>0.4375</v>
      </c>
    </row>
    <row r="45" spans="1:21" ht="30" x14ac:dyDescent="0.25">
      <c r="A45" s="1" t="s">
        <v>650</v>
      </c>
      <c r="B45" s="1" t="s">
        <v>67</v>
      </c>
      <c r="C45" s="1" t="s">
        <v>76</v>
      </c>
      <c r="D45" s="1" t="s">
        <v>82</v>
      </c>
      <c r="E45" s="1" t="s">
        <v>87</v>
      </c>
      <c r="F45" s="1" t="s">
        <v>93</v>
      </c>
      <c r="G45" s="1" t="s">
        <v>99</v>
      </c>
      <c r="H45" s="1" t="s">
        <v>651</v>
      </c>
      <c r="I45" s="1" t="s">
        <v>652</v>
      </c>
      <c r="J45" s="1" t="s">
        <v>605</v>
      </c>
    </row>
    <row r="46" spans="1:21" x14ac:dyDescent="0.25">
      <c r="A46" s="3" t="s">
        <v>593</v>
      </c>
      <c r="B46" s="6">
        <f>AVERAGE(AVERAGE('10_ENSEMBLE_ANALYSIS'!K4,'10_ENSEMBLE_ANALYSIS'!K5),AVERAGE('10_ENSEMBLE_ANALYSIS'!K6),AVERAGE('10_ENSEMBLE_ANALYSIS'!K7),AVERAGE('10_ENSEMBLE_ANALYSIS'!K8,'10_ENSEMBLE_ANALYSIS'!K9))</f>
        <v>0.59980884489797603</v>
      </c>
      <c r="C46" s="6">
        <f>AVERAGE(AVERAGE('10_ENSEMBLE_ANALYSIS'!K10,'10_ENSEMBLE_ANALYSIS'!K11),AVERAGE('10_ENSEMBLE_ANALYSIS'!K12),AVERAGE('10_ENSEMBLE_ANALYSIS'!K13),AVERAGE('10_ENSEMBLE_ANALYSIS'!K14))</f>
        <v>0.57346704161653128</v>
      </c>
      <c r="D46" s="6">
        <f>AVERAGE(AVERAGE('10_ENSEMBLE_ANALYSIS'!K15,'10_ENSEMBLE_ANALYSIS'!K16),AVERAGE('10_ENSEMBLE_ANALYSIS'!K17,'10_ENSEMBLE_ANALYSIS'!K18,'10_ENSEMBLE_ANALYSIS'!K19))</f>
        <v>0.78726130708953734</v>
      </c>
      <c r="E46" s="6">
        <f>AVERAGE(AVERAGE('10_ENSEMBLE_ANALYSIS'!K20,'10_ENSEMBLE_ANALYSIS'!K21,'10_ENSEMBLE_ANALYSIS'!K22),AVERAGE('10_ENSEMBLE_ANALYSIS'!K23,'10_ENSEMBLE_ANALYSIS'!K24,'10_ENSEMBLE_ANALYSIS'!K25),AVERAGE('10_ENSEMBLE_ANALYSIS'!K26),AVERAGE('10_ENSEMBLE_ANALYSIS'!K27))</f>
        <v>0.67098652506316625</v>
      </c>
      <c r="F46" s="6">
        <f>AVERAGE(AVERAGE('10_ENSEMBLE_ANALYSIS'!K28,'10_ENSEMBLE_ANALYSIS'!K29,'10_ENSEMBLE_ANALYSIS'!K30),AVERAGE('10_ENSEMBLE_ANALYSIS'!K31,'10_ENSEMBLE_ANALYSIS'!K32),AVERAGE('10_ENSEMBLE_ANALYSIS'!K33,'10_ENSEMBLE_ANALYSIS'!K34,'10_ENSEMBLE_ANALYSIS'!K37),AVERAGE('10_ENSEMBLE_ANALYSIS'!K35,'10_ENSEMBLE_ANALYSIS'!K36))</f>
        <v>0.57145406614982519</v>
      </c>
      <c r="G46" s="6">
        <f>AVERAGE(AVERAGE('10_ENSEMBLE_ANALYSIS'!K38),AVERAGE('10_ENSEMBLE_ANALYSIS'!K39),AVERAGE('10_ENSEMBLE_ANALYSIS'!K40),AVERAGE('10_ENSEMBLE_ANALYSIS'!K41))</f>
        <v>0.59375</v>
      </c>
      <c r="H46" s="6">
        <f>AVERAGE(B46:G46)</f>
        <v>0.63278796413617278</v>
      </c>
      <c r="I46" s="6">
        <f>AVERAGE(AVERAGE('10_ENSEMBLE_ANALYSIS'!K4,'10_ENSEMBLE_ANALYSIS'!K5,'10_ENSEMBLE_ANALYSIS'!K6,'10_ENSEMBLE_ANALYSIS'!K7,'10_ENSEMBLE_ANALYSIS'!K8,'10_ENSEMBLE_ANALYSIS'!K9),AVERAGE('10_ENSEMBLE_ANALYSIS'!K10,'10_ENSEMBLE_ANALYSIS'!K11,'10_ENSEMBLE_ANALYSIS'!K12,'10_ENSEMBLE_ANALYSIS'!K13,'10_ENSEMBLE_ANALYSIS'!K14),AVERAGE('10_ENSEMBLE_ANALYSIS'!K15,'10_ENSEMBLE_ANALYSIS'!K16,'10_ENSEMBLE_ANALYSIS'!K17,'10_ENSEMBLE_ANALYSIS'!K18,'10_ENSEMBLE_ANALYSIS'!K19),AVERAGE('10_ENSEMBLE_ANALYSIS'!K20,'10_ENSEMBLE_ANALYSIS'!K21,'10_ENSEMBLE_ANALYSIS'!K22,'10_ENSEMBLE_ANALYSIS'!K23,'10_ENSEMBLE_ANALYSIS'!K24,'10_ENSEMBLE_ANALYSIS'!K25,'10_ENSEMBLE_ANALYSIS'!K26,'10_ENSEMBLE_ANALYSIS'!K27),AVERAGE('10_ENSEMBLE_ANALYSIS'!K28,'10_ENSEMBLE_ANALYSIS'!K29,'10_ENSEMBLE_ANALYSIS'!K30,'10_ENSEMBLE_ANALYSIS'!K31,'10_ENSEMBLE_ANALYSIS'!K32,'10_ENSEMBLE_ANALYSIS'!K33,'10_ENSEMBLE_ANALYSIS'!K34,'10_ENSEMBLE_ANALYSIS'!K35,'10_ENSEMBLE_ANALYSIS'!K36,'10_ENSEMBLE_ANALYSIS'!K37),AVERAGE('10_ENSEMBLE_ANALYSIS'!K38,'10_ENSEMBLE_ANALYSIS'!K39,'10_ENSEMBLE_ANALYSIS'!K40,'10_ENSEMBLE_ANALYSIS'!K41))</f>
        <v>0.64324726224744322</v>
      </c>
      <c r="J46" s="2" t="str">
        <f>IF(NOT(ISNUMBER(H46)),"",IF(H46&lt;0.25,"Low",IF(H46&lt;0.5,"Moderate",IF(H46&lt;0.75,"Good","Excellent"))))</f>
        <v>Good</v>
      </c>
    </row>
    <row r="47" spans="1:21" x14ac:dyDescent="0.25">
      <c r="A47" s="3" t="s">
        <v>594</v>
      </c>
      <c r="B47" s="6">
        <f>AVERAGE(AVERAGE('10_ENSEMBLE_ANALYSIS'!M4,'10_ENSEMBLE_ANALYSIS'!M5),AVERAGE('10_ENSEMBLE_ANALYSIS'!M6),AVERAGE('10_ENSEMBLE_ANALYSIS'!M7),AVERAGE('10_ENSEMBLE_ANALYSIS'!M8,'10_ENSEMBLE_ANALYSIS'!M9))</f>
        <v>0.59980884489797603</v>
      </c>
      <c r="C47" s="6">
        <f>AVERAGE(AVERAGE('10_ENSEMBLE_ANALYSIS'!M10,'10_ENSEMBLE_ANALYSIS'!M11),AVERAGE('10_ENSEMBLE_ANALYSIS'!M12),AVERAGE('10_ENSEMBLE_ANALYSIS'!M13),AVERAGE('10_ENSEMBLE_ANALYSIS'!M14))</f>
        <v>1</v>
      </c>
      <c r="D47" s="6">
        <f>AVERAGE(AVERAGE('10_ENSEMBLE_ANALYSIS'!M15,'10_ENSEMBLE_ANALYSIS'!M16),AVERAGE('10_ENSEMBLE_ANALYSIS'!M17,'10_ENSEMBLE_ANALYSIS'!M18,'10_ENSEMBLE_ANALYSIS'!M19))</f>
        <v>0.79420807916230152</v>
      </c>
      <c r="E47" s="6">
        <f>AVERAGE(AVERAGE('10_ENSEMBLE_ANALYSIS'!M20,'10_ENSEMBLE_ANALYSIS'!M21,'10_ENSEMBLE_ANALYSIS'!M22),AVERAGE('10_ENSEMBLE_ANALYSIS'!M23,'10_ENSEMBLE_ANALYSIS'!M24,'10_ENSEMBLE_ANALYSIS'!M25),AVERAGE('10_ENSEMBLE_ANALYSIS'!M26),AVERAGE('10_ENSEMBLE_ANALYSIS'!M27))</f>
        <v>0.67098652506316625</v>
      </c>
      <c r="F47" s="6">
        <f>AVERAGE(AVERAGE('10_ENSEMBLE_ANALYSIS'!M28,'10_ENSEMBLE_ANALYSIS'!M29,'10_ENSEMBLE_ANALYSIS'!M30),AVERAGE('10_ENSEMBLE_ANALYSIS'!M31,'10_ENSEMBLE_ANALYSIS'!M32),AVERAGE('10_ENSEMBLE_ANALYSIS'!M33,'10_ENSEMBLE_ANALYSIS'!M34,'10_ENSEMBLE_ANALYSIS'!M37),AVERAGE('10_ENSEMBLE_ANALYSIS'!M35,'10_ENSEMBLE_ANALYSIS'!M36))</f>
        <v>0.61153959128884772</v>
      </c>
      <c r="G47" s="6">
        <f>AVERAGE(AVERAGE('10_ENSEMBLE_ANALYSIS'!M38),AVERAGE('10_ENSEMBLE_ANALYSIS'!M39),AVERAGE('10_ENSEMBLE_ANALYSIS'!M40),AVERAGE('10_ENSEMBLE_ANALYSIS'!M41))</f>
        <v>0.59375</v>
      </c>
      <c r="H47" s="6">
        <f>AVERAGE(B47:G47)</f>
        <v>0.71171550673538186</v>
      </c>
      <c r="I47" s="6">
        <f>AVERAGE(AVERAGE('10_ENSEMBLE_ANALYSIS'!M4,'10_ENSEMBLE_ANALYSIS'!M5,'10_ENSEMBLE_ANALYSIS'!M6,'10_ENSEMBLE_ANALYSIS'!M7,'10_ENSEMBLE_ANALYSIS'!M8,'10_ENSEMBLE_ANALYSIS'!M9),AVERAGE('10_ENSEMBLE_ANALYSIS'!M10,'10_ENSEMBLE_ANALYSIS'!M11,'10_ENSEMBLE_ANALYSIS'!M12,'10_ENSEMBLE_ANALYSIS'!M13,'10_ENSEMBLE_ANALYSIS'!M14),AVERAGE('10_ENSEMBLE_ANALYSIS'!M15,'10_ENSEMBLE_ANALYSIS'!M16,'10_ENSEMBLE_ANALYSIS'!M17,'10_ENSEMBLE_ANALYSIS'!M18,'10_ENSEMBLE_ANALYSIS'!M19),AVERAGE('10_ENSEMBLE_ANALYSIS'!M20,'10_ENSEMBLE_ANALYSIS'!M21,'10_ENSEMBLE_ANALYSIS'!M22,'10_ENSEMBLE_ANALYSIS'!M23,'10_ENSEMBLE_ANALYSIS'!M24,'10_ENSEMBLE_ANALYSIS'!M25,'10_ENSEMBLE_ANALYSIS'!M26,'10_ENSEMBLE_ANALYSIS'!M27),AVERAGE('10_ENSEMBLE_ANALYSIS'!M28,'10_ENSEMBLE_ANALYSIS'!M29,'10_ENSEMBLE_ANALYSIS'!M30,'10_ENSEMBLE_ANALYSIS'!M31,'10_ENSEMBLE_ANALYSIS'!M32,'10_ENSEMBLE_ANALYSIS'!M33,'10_ENSEMBLE_ANALYSIS'!M34,'10_ENSEMBLE_ANALYSIS'!M35,'10_ENSEMBLE_ANALYSIS'!M36,'10_ENSEMBLE_ANALYSIS'!M37),AVERAGE('10_ENSEMBLE_ANALYSIS'!M38,'10_ENSEMBLE_ANALYSIS'!M39,'10_ENSEMBLE_ANALYSIS'!M40,'10_ENSEMBLE_ANALYSIS'!M41))</f>
        <v>0.70931010714265141</v>
      </c>
      <c r="J47" s="2" t="str">
        <f>IF(NOT(ISNUMBER(H47)),"",IF(H47&lt;0.25,"Low",IF(H47&lt;0.5,"Moderate",IF(H47&lt;0.75,"Good","Excellent"))))</f>
        <v>Good</v>
      </c>
    </row>
    <row r="48" spans="1:21" x14ac:dyDescent="0.25">
      <c r="A48" s="3" t="s">
        <v>595</v>
      </c>
      <c r="B48" s="6">
        <f>AVERAGE(AVERAGE('10_ENSEMBLE_ANALYSIS'!O4,'10_ENSEMBLE_ANALYSIS'!O5),AVERAGE('10_ENSEMBLE_ANALYSIS'!O6),AVERAGE('10_ENSEMBLE_ANALYSIS'!O7),AVERAGE('10_ENSEMBLE_ANALYSIS'!O8,'10_ENSEMBLE_ANALYSIS'!O9))</f>
        <v>0.59980884489797603</v>
      </c>
      <c r="C48" s="6">
        <f>AVERAGE(AVERAGE('10_ENSEMBLE_ANALYSIS'!O10,'10_ENSEMBLE_ANALYSIS'!O11),AVERAGE('10_ENSEMBLE_ANALYSIS'!O12),AVERAGE('10_ENSEMBLE_ANALYSIS'!O13),AVERAGE('10_ENSEMBLE_ANALYSIS'!O14))</f>
        <v>1</v>
      </c>
      <c r="D48" s="6">
        <f>AVERAGE(AVERAGE('10_ENSEMBLE_ANALYSIS'!O15,'10_ENSEMBLE_ANALYSIS'!O16),AVERAGE('10_ENSEMBLE_ANALYSIS'!O17,'10_ENSEMBLE_ANALYSIS'!O18,'10_ENSEMBLE_ANALYSIS'!O19))</f>
        <v>0.7953173198113288</v>
      </c>
      <c r="E48" s="6">
        <f>AVERAGE(AVERAGE('10_ENSEMBLE_ANALYSIS'!O20,'10_ENSEMBLE_ANALYSIS'!O21,'10_ENSEMBLE_ANALYSIS'!O22),AVERAGE('10_ENSEMBLE_ANALYSIS'!O23,'10_ENSEMBLE_ANALYSIS'!O24,'10_ENSEMBLE_ANALYSIS'!O25),AVERAGE('10_ENSEMBLE_ANALYSIS'!O26),AVERAGE('10_ENSEMBLE_ANALYSIS'!O27))</f>
        <v>0.67098652506316625</v>
      </c>
      <c r="F48" s="6">
        <f>AVERAGE(AVERAGE('10_ENSEMBLE_ANALYSIS'!O28,'10_ENSEMBLE_ANALYSIS'!O29,'10_ENSEMBLE_ANALYSIS'!O30),AVERAGE('10_ENSEMBLE_ANALYSIS'!O31,'10_ENSEMBLE_ANALYSIS'!O32),AVERAGE('10_ENSEMBLE_ANALYSIS'!O33,'10_ENSEMBLE_ANALYSIS'!O34,'10_ENSEMBLE_ANALYSIS'!O37),AVERAGE('10_ENSEMBLE_ANALYSIS'!O35,'10_ENSEMBLE_ANALYSIS'!O36))</f>
        <v>0.57650627220909312</v>
      </c>
      <c r="G48" s="6">
        <f>AVERAGE(AVERAGE('10_ENSEMBLE_ANALYSIS'!O38),AVERAGE('10_ENSEMBLE_ANALYSIS'!O39),AVERAGE('10_ENSEMBLE_ANALYSIS'!O40),AVERAGE('10_ENSEMBLE_ANALYSIS'!O41))</f>
        <v>0.59375</v>
      </c>
      <c r="H48" s="6">
        <f>AVERAGE(B48:G48)</f>
        <v>0.70606149366359405</v>
      </c>
      <c r="I48" s="6">
        <f>AVERAGE(AVERAGE('10_ENSEMBLE_ANALYSIS'!O4,'10_ENSEMBLE_ANALYSIS'!O5,'10_ENSEMBLE_ANALYSIS'!O6,'10_ENSEMBLE_ANALYSIS'!O7,'10_ENSEMBLE_ANALYSIS'!O8,'10_ENSEMBLE_ANALYSIS'!O9),AVERAGE('10_ENSEMBLE_ANALYSIS'!O10,'10_ENSEMBLE_ANALYSIS'!O11,'10_ENSEMBLE_ANALYSIS'!O12,'10_ENSEMBLE_ANALYSIS'!O13,'10_ENSEMBLE_ANALYSIS'!O14),AVERAGE('10_ENSEMBLE_ANALYSIS'!O15,'10_ENSEMBLE_ANALYSIS'!O16,'10_ENSEMBLE_ANALYSIS'!O17,'10_ENSEMBLE_ANALYSIS'!O18,'10_ENSEMBLE_ANALYSIS'!O19),AVERAGE('10_ENSEMBLE_ANALYSIS'!O20,'10_ENSEMBLE_ANALYSIS'!O21,'10_ENSEMBLE_ANALYSIS'!O22,'10_ENSEMBLE_ANALYSIS'!O23,'10_ENSEMBLE_ANALYSIS'!O24,'10_ENSEMBLE_ANALYSIS'!O25,'10_ENSEMBLE_ANALYSIS'!O26,'10_ENSEMBLE_ANALYSIS'!O27),AVERAGE('10_ENSEMBLE_ANALYSIS'!O28,'10_ENSEMBLE_ANALYSIS'!O29,'10_ENSEMBLE_ANALYSIS'!O30,'10_ENSEMBLE_ANALYSIS'!O31,'10_ENSEMBLE_ANALYSIS'!O32,'10_ENSEMBLE_ANALYSIS'!O33,'10_ENSEMBLE_ANALYSIS'!O34,'10_ENSEMBLE_ANALYSIS'!O35,'10_ENSEMBLE_ANALYSIS'!O36,'10_ENSEMBLE_ANALYSIS'!O37),AVERAGE('10_ENSEMBLE_ANALYSIS'!O38,'10_ENSEMBLE_ANALYSIS'!O39,'10_ENSEMBLE_ANALYSIS'!O40,'10_ENSEMBLE_ANALYSIS'!O41))</f>
        <v>0.70381096322265646</v>
      </c>
      <c r="J48" s="2" t="str">
        <f>IF(NOT(ISNUMBER(H48)),"",IF(H48&lt;0.25,"Low",IF(H48&lt;0.5,"Moderate",IF(H48&lt;0.75,"Good","Excellent"))))</f>
        <v>Good</v>
      </c>
    </row>
    <row r="49" spans="1:10" x14ac:dyDescent="0.25">
      <c r="A49" s="3" t="s">
        <v>596</v>
      </c>
      <c r="B49" s="6">
        <f>AVERAGE(AVERAGE('10_ENSEMBLE_ANALYSIS'!Q4,'10_ENSEMBLE_ANALYSIS'!Q5),AVERAGE('10_ENSEMBLE_ANALYSIS'!Q6),AVERAGE('10_ENSEMBLE_ANALYSIS'!Q7),AVERAGE('10_ENSEMBLE_ANALYSIS'!Q8,'10_ENSEMBLE_ANALYSIS'!Q9))</f>
        <v>0.59980884489797603</v>
      </c>
      <c r="C49" s="6">
        <f>AVERAGE(AVERAGE('10_ENSEMBLE_ANALYSIS'!Q10,'10_ENSEMBLE_ANALYSIS'!Q11),AVERAGE('10_ENSEMBLE_ANALYSIS'!Q12),AVERAGE('10_ENSEMBLE_ANALYSIS'!Q13),AVERAGE('10_ENSEMBLE_ANALYSIS'!Q14))</f>
        <v>1</v>
      </c>
      <c r="D49" s="6">
        <f>AVERAGE(AVERAGE('10_ENSEMBLE_ANALYSIS'!Q15,'10_ENSEMBLE_ANALYSIS'!Q16),AVERAGE('10_ENSEMBLE_ANALYSIS'!Q17,'10_ENSEMBLE_ANALYSIS'!Q18,'10_ENSEMBLE_ANALYSIS'!Q19))</f>
        <v>0.79522339520073371</v>
      </c>
      <c r="E49" s="6">
        <f>AVERAGE(AVERAGE('10_ENSEMBLE_ANALYSIS'!Q20,'10_ENSEMBLE_ANALYSIS'!Q21,'10_ENSEMBLE_ANALYSIS'!Q22),AVERAGE('10_ENSEMBLE_ANALYSIS'!Q23,'10_ENSEMBLE_ANALYSIS'!Q24,'10_ENSEMBLE_ANALYSIS'!Q25),AVERAGE('10_ENSEMBLE_ANALYSIS'!Q26),AVERAGE('10_ENSEMBLE_ANALYSIS'!Q27))</f>
        <v>0.67098652506316625</v>
      </c>
      <c r="F49" s="6">
        <f>AVERAGE(AVERAGE('10_ENSEMBLE_ANALYSIS'!Q28,'10_ENSEMBLE_ANALYSIS'!Q29,'10_ENSEMBLE_ANALYSIS'!Q30),AVERAGE('10_ENSEMBLE_ANALYSIS'!Q31,'10_ENSEMBLE_ANALYSIS'!Q32),AVERAGE('10_ENSEMBLE_ANALYSIS'!Q33,'10_ENSEMBLE_ANALYSIS'!Q34,'10_ENSEMBLE_ANALYSIS'!Q37),AVERAGE('10_ENSEMBLE_ANALYSIS'!Q35,'10_ENSEMBLE_ANALYSIS'!Q36))</f>
        <v>0.61507479227693462</v>
      </c>
      <c r="G49" s="6">
        <f>AVERAGE(AVERAGE('10_ENSEMBLE_ANALYSIS'!Q38),AVERAGE('10_ENSEMBLE_ANALYSIS'!Q39),AVERAGE('10_ENSEMBLE_ANALYSIS'!Q40),AVERAGE('10_ENSEMBLE_ANALYSIS'!Q41))</f>
        <v>0.59375</v>
      </c>
      <c r="H49" s="6">
        <f>AVERAGE(B49:G49)</f>
        <v>0.71247392623980177</v>
      </c>
      <c r="I49" s="6">
        <f>AVERAGE(AVERAGE('10_ENSEMBLE_ANALYSIS'!Q4,'10_ENSEMBLE_ANALYSIS'!Q5,'10_ENSEMBLE_ANALYSIS'!Q6,'10_ENSEMBLE_ANALYSIS'!Q7,'10_ENSEMBLE_ANALYSIS'!Q8,'10_ENSEMBLE_ANALYSIS'!Q9),AVERAGE('10_ENSEMBLE_ANALYSIS'!Q10,'10_ENSEMBLE_ANALYSIS'!Q11,'10_ENSEMBLE_ANALYSIS'!Q12,'10_ENSEMBLE_ANALYSIS'!Q13,'10_ENSEMBLE_ANALYSIS'!Q14),AVERAGE('10_ENSEMBLE_ANALYSIS'!Q15,'10_ENSEMBLE_ANALYSIS'!Q16,'10_ENSEMBLE_ANALYSIS'!Q17,'10_ENSEMBLE_ANALYSIS'!Q18,'10_ENSEMBLE_ANALYSIS'!Q19),AVERAGE('10_ENSEMBLE_ANALYSIS'!Q20,'10_ENSEMBLE_ANALYSIS'!Q21,'10_ENSEMBLE_ANALYSIS'!Q22,'10_ENSEMBLE_ANALYSIS'!Q23,'10_ENSEMBLE_ANALYSIS'!Q24,'10_ENSEMBLE_ANALYSIS'!Q25,'10_ENSEMBLE_ANALYSIS'!Q26,'10_ENSEMBLE_ANALYSIS'!Q27),AVERAGE('10_ENSEMBLE_ANALYSIS'!Q28,'10_ENSEMBLE_ANALYSIS'!Q29,'10_ENSEMBLE_ANALYSIS'!Q30,'10_ENSEMBLE_ANALYSIS'!Q31,'10_ENSEMBLE_ANALYSIS'!Q32,'10_ENSEMBLE_ANALYSIS'!Q33,'10_ENSEMBLE_ANALYSIS'!Q34,'10_ENSEMBLE_ANALYSIS'!Q35,'10_ENSEMBLE_ANALYSIS'!Q36,'10_ENSEMBLE_ANALYSIS'!Q37),AVERAGE('10_ENSEMBLE_ANALYSIS'!Q38,'10_ENSEMBLE_ANALYSIS'!Q39,'10_ENSEMBLE_ANALYSIS'!Q40,'10_ENSEMBLE_ANALYSIS'!Q41))</f>
        <v>0.71013954587904904</v>
      </c>
      <c r="J49" s="2" t="str">
        <f>IF(NOT(ISNUMBER(H49)),"",IF(H49&lt;0.25,"Low",IF(H49&lt;0.5,"Moderate",IF(H49&lt;0.75,"Good","Excellent"))))</f>
        <v>Good</v>
      </c>
    </row>
    <row r="52" spans="1:10" ht="30" x14ac:dyDescent="0.25">
      <c r="A52" s="1" t="s">
        <v>653</v>
      </c>
      <c r="B52" s="1" t="s">
        <v>47</v>
      </c>
      <c r="C52" s="1" t="s">
        <v>654</v>
      </c>
      <c r="D52" s="1" t="s">
        <v>605</v>
      </c>
      <c r="E52" s="1" t="s">
        <v>624</v>
      </c>
    </row>
    <row r="53" spans="1:10" ht="15" customHeight="1" x14ac:dyDescent="0.25">
      <c r="A53" s="3" t="s">
        <v>655</v>
      </c>
      <c r="B53" s="6">
        <f>MIN(H46:H49)</f>
        <v>0.63278796413617278</v>
      </c>
      <c r="C53" s="6">
        <f>MIN(I46:I49)</f>
        <v>0.64324726224744322</v>
      </c>
      <c r="D53" s="2" t="str">
        <f>IF(NOT(ISNUMBER(B53)),"",IF(B53&lt;0.25,"Low",IF(B53&lt;0.5,"Moderate",IF(B53&lt;0.75,"Good","Excellent"))))</f>
        <v>Good</v>
      </c>
      <c r="E53" s="2" t="s">
        <v>656</v>
      </c>
    </row>
    <row r="54" spans="1:10" ht="15" customHeight="1" x14ac:dyDescent="0.25">
      <c r="A54" s="3" t="s">
        <v>657</v>
      </c>
      <c r="B54" s="6">
        <f>MAX(H46:H49)</f>
        <v>0.71247392623980177</v>
      </c>
      <c r="C54" s="6">
        <f>MAX(I46:I49)</f>
        <v>0.71013954587904904</v>
      </c>
      <c r="D54" s="2" t="str">
        <f>IF(NOT(ISNUMBER(B54)),"",IF(B54&lt;0.25,"Low",IF(B54&lt;0.5,"Moderate",IF(B54&lt;0.75,"Good","Excellent"))))</f>
        <v>Good</v>
      </c>
      <c r="E54" s="2" t="s">
        <v>658</v>
      </c>
    </row>
    <row r="55" spans="1:10" ht="15" customHeight="1" x14ac:dyDescent="0.25">
      <c r="A55" s="3" t="s">
        <v>659</v>
      </c>
      <c r="B55" s="6">
        <f>AVERAGE(H46:H49)</f>
        <v>0.69075972269373764</v>
      </c>
      <c r="C55" s="6">
        <f>AVERAGE(I46:I49)</f>
        <v>0.69162696962295001</v>
      </c>
      <c r="D55" s="2" t="str">
        <f>IF(NOT(ISNUMBER(B55)),"",IF(B55&lt;0.25,"Low",IF(B55&lt;0.5,"Moderate",IF(B55&lt;0.75,"Good","Excellent"))))</f>
        <v>Good</v>
      </c>
      <c r="E55" s="2" t="s">
        <v>660</v>
      </c>
    </row>
    <row r="56" spans="1:10" ht="15" customHeight="1" x14ac:dyDescent="0.25">
      <c r="A56" s="3" t="s">
        <v>661</v>
      </c>
      <c r="B56" s="6">
        <f>'09_BASELINE_RESULTS'!C13</f>
        <v>0.68504273439783836</v>
      </c>
      <c r="C56" s="6">
        <f>'09_BASELINE_RESULTS'!B13</f>
        <v>0.68705337898623065</v>
      </c>
      <c r="D56" s="2" t="str">
        <f>IF(NOT(ISNUMBER(B56)),"",IF(B56&lt;0.25,"Low",IF(B56&lt;0.5,"Moderate",IF(B56&lt;0.75,"Good","Excellent"))))</f>
        <v>Good</v>
      </c>
      <c r="E56" s="2" t="s">
        <v>662</v>
      </c>
    </row>
    <row r="57" spans="1:10" ht="15" customHeight="1" x14ac:dyDescent="0.25">
      <c r="A57" s="3" t="s">
        <v>663</v>
      </c>
      <c r="B57" s="6">
        <f>B55-B56</f>
        <v>5.7169882958992835E-3</v>
      </c>
      <c r="C57" s="6">
        <f>C55-C56</f>
        <v>4.5735906367193602E-3</v>
      </c>
      <c r="D57" s="2"/>
      <c r="E57" s="2" t="s">
        <v>664</v>
      </c>
    </row>
    <row r="58" spans="1:10" x14ac:dyDescent="0.25">
      <c r="A58" s="3" t="s">
        <v>892</v>
      </c>
      <c r="B58" s="9">
        <f>_xlfn.STDEV.S(H46:H49)</f>
        <v>3.8753582653781704E-2</v>
      </c>
      <c r="C58" s="9">
        <f>_xlfn.STDEV.S(I46:I49)</f>
        <v>3.2375168560466766E-2</v>
      </c>
    </row>
  </sheetData>
  <mergeCells count="1">
    <mergeCell ref="A1:U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1"/>
  <sheetViews>
    <sheetView showGridLines="0" topLeftCell="A18" workbookViewId="0">
      <selection activeCell="M49" sqref="M49"/>
    </sheetView>
  </sheetViews>
  <sheetFormatPr defaultRowHeight="15" x14ac:dyDescent="0.25"/>
  <cols>
    <col min="1" max="2" width="14" customWidth="1"/>
    <col min="3" max="3" width="36" customWidth="1"/>
    <col min="4" max="5" width="22" customWidth="1"/>
    <col min="6" max="12" width="18" customWidth="1"/>
    <col min="13" max="13" width="34" customWidth="1"/>
  </cols>
  <sheetData>
    <row r="1" spans="1:13" ht="27" customHeight="1" x14ac:dyDescent="0.25">
      <c r="A1" s="10" t="s">
        <v>665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spans="1:13" x14ac:dyDescent="0.25">
      <c r="A3" s="1" t="s">
        <v>60</v>
      </c>
      <c r="B3" s="1" t="s">
        <v>105</v>
      </c>
      <c r="C3" s="1" t="s">
        <v>106</v>
      </c>
      <c r="D3" s="1" t="s">
        <v>375</v>
      </c>
      <c r="E3" s="1" t="s">
        <v>108</v>
      </c>
      <c r="F3" s="1" t="s">
        <v>666</v>
      </c>
      <c r="G3" s="1" t="s">
        <v>667</v>
      </c>
      <c r="H3" s="1" t="s">
        <v>668</v>
      </c>
      <c r="I3" s="1" t="s">
        <v>669</v>
      </c>
      <c r="J3" s="1" t="s">
        <v>670</v>
      </c>
      <c r="K3" s="1" t="s">
        <v>671</v>
      </c>
      <c r="L3" s="1" t="s">
        <v>672</v>
      </c>
      <c r="M3" s="1" t="s">
        <v>673</v>
      </c>
    </row>
    <row r="4" spans="1:13" ht="15" customHeight="1" x14ac:dyDescent="0.25">
      <c r="A4" s="3" t="s">
        <v>67</v>
      </c>
      <c r="B4" s="3" t="s">
        <v>121</v>
      </c>
      <c r="C4" s="3" t="s">
        <v>122</v>
      </c>
      <c r="D4" s="3" t="s">
        <v>126</v>
      </c>
      <c r="E4" s="3" t="s">
        <v>124</v>
      </c>
      <c r="F4" s="7">
        <f>IFERROR(SUMIFS('06_IMPORT_ANNUAL'!$D$4:$D$328,'06_IMPORT_ANNUAL'!$B$4:$B$328,$B4,'06_IMPORT_ANNUAL'!$C$4:$C$328,"&gt;="&amp;'01_CONTROL'!$B$5,'06_IMPORT_ANNUAL'!$C$4:$C$328,"&lt;="&amp;'01_CONTROL'!$B$6)/COUNTIFS('06_IMPORT_ANNUAL'!$B$4:$B$328,$B4,'06_IMPORT_ANNUAL'!$C$4:$C$328,"&gt;="&amp;'01_CONTROL'!$B$5,'06_IMPORT_ANNUAL'!$C$4:$C$328,"&lt;="&amp;'01_CONTROL'!$B$6),"")</f>
        <v>0.75</v>
      </c>
      <c r="G4" s="7">
        <f>IFERROR(SUMIFS('06_IMPORT_ANNUAL'!$D$4:$D$328,'06_IMPORT_ANNUAL'!$B$4:$B$328,$B4,'06_IMPORT_ANNUAL'!$C$4:$C$328,'01_CONTROL'!$B$7)/COUNTIFS('06_IMPORT_ANNUAL'!$B$4:$B$328,$B4,'06_IMPORT_ANNUAL'!$C$4:$C$328,'01_CONTROL'!$B$7),"")</f>
        <v>0.91666666666666663</v>
      </c>
      <c r="H4" s="7">
        <f>IFERROR(SUMIFS('06_IMPORT_ANNUAL'!$D$4:$D$328,'06_IMPORT_ANNUAL'!$B$4:$B$328,$B4,'06_IMPORT_ANNUAL'!$C$4:$C$328,"&gt;="&amp;'01_CONTROL'!$B$8,'06_IMPORT_ANNUAL'!$C$4:$C$328,"&lt;="&amp;'01_CONTROL'!$B$9)/COUNTIFS('06_IMPORT_ANNUAL'!$B$4:$B$328,$B4,'06_IMPORT_ANNUAL'!$C$4:$C$328,"&gt;="&amp;'01_CONTROL'!$B$8,'06_IMPORT_ANNUAL'!$C$4:$C$328,"&lt;="&amp;'01_CONTROL'!$B$9),"")</f>
        <v>0.64583333333333337</v>
      </c>
      <c r="I4" s="6">
        <f>IF(NOT(ISNUMBER(F4)),"",IF(E4="Positive",IF(F4&lt;'04_THRESHOLDS_WEIGHTS'!G4,0,IF(F4&lt;'04_THRESHOLDS_WEIGHTS'!H4,0.25+0.25*(F4-'04_THRESHOLDS_WEIGHTS'!G4)/('04_THRESHOLDS_WEIGHTS'!H4-'04_THRESHOLDS_WEIGHTS'!G4),IF(F4&lt;'04_THRESHOLDS_WEIGHTS'!I4,0.5+0.25*(F4-'04_THRESHOLDS_WEIGHTS'!H4)/('04_THRESHOLDS_WEIGHTS'!I4-'04_THRESHOLDS_WEIGHTS'!H4),IF(F4&lt;'04_THRESHOLDS_WEIGHTS'!J4,0.75+0.25*(F4-'04_THRESHOLDS_WEIGHTS'!I4)/('04_THRESHOLDS_WEIGHTS'!J4-'04_THRESHOLDS_WEIGHTS'!I4),1)))),IF(F4&gt;'04_THRESHOLDS_WEIGHTS'!G4,0,IF(F4&gt;'04_THRESHOLDS_WEIGHTS'!H4,0.25+0.25*('04_THRESHOLDS_WEIGHTS'!G4-F4)/('04_THRESHOLDS_WEIGHTS'!G4-'04_THRESHOLDS_WEIGHTS'!H4),IF(F4&gt;'04_THRESHOLDS_WEIGHTS'!I4,0.5+0.25*('04_THRESHOLDS_WEIGHTS'!H4-F4)/('04_THRESHOLDS_WEIGHTS'!H4-'04_THRESHOLDS_WEIGHTS'!I4),IF(F4&gt;'04_THRESHOLDS_WEIGHTS'!J4,0.75+0.25*('04_THRESHOLDS_WEIGHTS'!I4-F4)/('04_THRESHOLDS_WEIGHTS'!I4-'04_THRESHOLDS_WEIGHTS'!J4),1))))))</f>
        <v>0.6875</v>
      </c>
      <c r="J4" s="6">
        <f>IF(NOT(ISNUMBER(G4)),"",IF(E4="Positive",IF(G4&lt;'04_THRESHOLDS_WEIGHTS'!G4,0,IF(G4&lt;'04_THRESHOLDS_WEIGHTS'!H4,0.25+0.25*(G4-'04_THRESHOLDS_WEIGHTS'!G4)/('04_THRESHOLDS_WEIGHTS'!H4-'04_THRESHOLDS_WEIGHTS'!G4),IF(G4&lt;'04_THRESHOLDS_WEIGHTS'!I4,0.5+0.25*(G4-'04_THRESHOLDS_WEIGHTS'!H4)/('04_THRESHOLDS_WEIGHTS'!I4-'04_THRESHOLDS_WEIGHTS'!H4),IF(G4&lt;'04_THRESHOLDS_WEIGHTS'!J4,0.75+0.25*(G4-'04_THRESHOLDS_WEIGHTS'!I4)/('04_THRESHOLDS_WEIGHTS'!J4-'04_THRESHOLDS_WEIGHTS'!I4),1)))),IF(G4&gt;'04_THRESHOLDS_WEIGHTS'!G4,0,IF(G4&gt;'04_THRESHOLDS_WEIGHTS'!H4,0.25+0.25*('04_THRESHOLDS_WEIGHTS'!G4-G4)/('04_THRESHOLDS_WEIGHTS'!G4-'04_THRESHOLDS_WEIGHTS'!H4),IF(G4&gt;'04_THRESHOLDS_WEIGHTS'!I4,0.5+0.25*('04_THRESHOLDS_WEIGHTS'!H4-G4)/('04_THRESHOLDS_WEIGHTS'!H4-'04_THRESHOLDS_WEIGHTS'!I4),IF(G4&gt;'04_THRESHOLDS_WEIGHTS'!J4,0.75+0.25*('04_THRESHOLDS_WEIGHTS'!I4-G4)/('04_THRESHOLDS_WEIGHTS'!I4-'04_THRESHOLDS_WEIGHTS'!J4),1))))))</f>
        <v>0.89583333333333326</v>
      </c>
      <c r="K4" s="6">
        <f>IF(NOT(ISNUMBER(H4)),"",IF(E4="Positive",IF(H4&lt;'04_THRESHOLDS_WEIGHTS'!G4,0,IF(H4&lt;'04_THRESHOLDS_WEIGHTS'!H4,0.25+0.25*(H4-'04_THRESHOLDS_WEIGHTS'!G4)/('04_THRESHOLDS_WEIGHTS'!H4-'04_THRESHOLDS_WEIGHTS'!G4),IF(H4&lt;'04_THRESHOLDS_WEIGHTS'!I4,0.5+0.25*(H4-'04_THRESHOLDS_WEIGHTS'!H4)/('04_THRESHOLDS_WEIGHTS'!I4-'04_THRESHOLDS_WEIGHTS'!H4),IF(H4&lt;'04_THRESHOLDS_WEIGHTS'!J4,0.75+0.25*(H4-'04_THRESHOLDS_WEIGHTS'!I4)/('04_THRESHOLDS_WEIGHTS'!J4-'04_THRESHOLDS_WEIGHTS'!I4),1)))),IF(H4&gt;'04_THRESHOLDS_WEIGHTS'!G4,0,IF(H4&gt;'04_THRESHOLDS_WEIGHTS'!H4,0.25+0.25*('04_THRESHOLDS_WEIGHTS'!G4-H4)/('04_THRESHOLDS_WEIGHTS'!G4-'04_THRESHOLDS_WEIGHTS'!H4),IF(H4&gt;'04_THRESHOLDS_WEIGHTS'!I4,0.5+0.25*('04_THRESHOLDS_WEIGHTS'!H4-H4)/('04_THRESHOLDS_WEIGHTS'!H4-'04_THRESHOLDS_WEIGHTS'!I4),IF(H4&gt;'04_THRESHOLDS_WEIGHTS'!J4,0.75+0.25*('04_THRESHOLDS_WEIGHTS'!I4-H4)/('04_THRESHOLDS_WEIGHTS'!I4-'04_THRESHOLDS_WEIGHTS'!J4),1))))))</f>
        <v>0.55729166666666674</v>
      </c>
      <c r="L4" s="6">
        <f t="shared" ref="L4:L37" si="0">IF(OR(I4="",K4=""),"",K4-I4)</f>
        <v>-0.13020833333333326</v>
      </c>
      <c r="M4" s="2" t="s">
        <v>131</v>
      </c>
    </row>
    <row r="5" spans="1:13" ht="15" customHeight="1" x14ac:dyDescent="0.25">
      <c r="A5" s="3" t="s">
        <v>67</v>
      </c>
      <c r="B5" s="3" t="s">
        <v>133</v>
      </c>
      <c r="C5" s="3" t="s">
        <v>134</v>
      </c>
      <c r="D5" s="3" t="s">
        <v>126</v>
      </c>
      <c r="E5" s="3" t="s">
        <v>124</v>
      </c>
      <c r="F5" s="7">
        <f>IFERROR(SUMIFS('06_IMPORT_ANNUAL'!$D$4:$D$328,'06_IMPORT_ANNUAL'!$B$4:$B$328,$B5,'06_IMPORT_ANNUAL'!$C$4:$C$328,"&gt;="&amp;'01_CONTROL'!$B$5,'06_IMPORT_ANNUAL'!$C$4:$C$328,"&lt;="&amp;'01_CONTROL'!$B$6)/COUNTIFS('06_IMPORT_ANNUAL'!$B$4:$B$328,$B5,'06_IMPORT_ANNUAL'!$C$4:$C$328,"&gt;="&amp;'01_CONTROL'!$B$5,'06_IMPORT_ANNUAL'!$C$4:$C$328,"&lt;="&amp;'01_CONTROL'!$B$6),"")</f>
        <v>0.78925737783998962</v>
      </c>
      <c r="G5" s="7">
        <f>IFERROR(SUMIFS('06_IMPORT_ANNUAL'!$D$4:$D$328,'06_IMPORT_ANNUAL'!$B$4:$B$328,$B5,'06_IMPORT_ANNUAL'!$C$4:$C$328,'01_CONTROL'!$B$7)/COUNTIFS('06_IMPORT_ANNUAL'!$B$4:$B$328,$B5,'06_IMPORT_ANNUAL'!$C$4:$C$328,'01_CONTROL'!$B$7),"")</f>
        <v>0.99999758993955734</v>
      </c>
      <c r="H5" s="7">
        <f>IFERROR(SUMIFS('06_IMPORT_ANNUAL'!$D$4:$D$328,'06_IMPORT_ANNUAL'!$B$4:$B$328,$B5,'06_IMPORT_ANNUAL'!$C$4:$C$328,"&gt;="&amp;'01_CONTROL'!$B$8,'06_IMPORT_ANNUAL'!$C$4:$C$328,"&lt;="&amp;'01_CONTROL'!$B$9)/COUNTIFS('06_IMPORT_ANNUAL'!$B$4:$B$328,$B5,'06_IMPORT_ANNUAL'!$C$4:$C$328,"&gt;="&amp;'01_CONTROL'!$B$8,'06_IMPORT_ANNUAL'!$C$4:$C$328,"&lt;="&amp;'01_CONTROL'!$B$9),"")</f>
        <v>0.80638618863342715</v>
      </c>
      <c r="I5" s="6">
        <f>IF(NOT(ISNUMBER(F5)),"",IF(E5="Positive",IF(F5&lt;'04_THRESHOLDS_WEIGHTS'!G5,0,IF(F5&lt;'04_THRESHOLDS_WEIGHTS'!H5,0.25+0.25*(F5-'04_THRESHOLDS_WEIGHTS'!G5)/('04_THRESHOLDS_WEIGHTS'!H5-'04_THRESHOLDS_WEIGHTS'!G5),IF(F5&lt;'04_THRESHOLDS_WEIGHTS'!I5,0.5+0.25*(F5-'04_THRESHOLDS_WEIGHTS'!H5)/('04_THRESHOLDS_WEIGHTS'!I5-'04_THRESHOLDS_WEIGHTS'!H5),IF(F5&lt;'04_THRESHOLDS_WEIGHTS'!J5,0.75+0.25*(F5-'04_THRESHOLDS_WEIGHTS'!I5)/('04_THRESHOLDS_WEIGHTS'!J5-'04_THRESHOLDS_WEIGHTS'!I5),1)))),IF(F5&gt;'04_THRESHOLDS_WEIGHTS'!G5,0,IF(F5&gt;'04_THRESHOLDS_WEIGHTS'!H5,0.25+0.25*('04_THRESHOLDS_WEIGHTS'!G5-F5)/('04_THRESHOLDS_WEIGHTS'!G5-'04_THRESHOLDS_WEIGHTS'!H5),IF(F5&gt;'04_THRESHOLDS_WEIGHTS'!I5,0.5+0.25*('04_THRESHOLDS_WEIGHTS'!H5-F5)/('04_THRESHOLDS_WEIGHTS'!H5-'04_THRESHOLDS_WEIGHTS'!I5),IF(F5&gt;'04_THRESHOLDS_WEIGHTS'!J5,0.75+0.25*('04_THRESHOLDS_WEIGHTS'!I5-F5)/('04_THRESHOLDS_WEIGHTS'!I5-'04_THRESHOLDS_WEIGHTS'!J5),1))))))</f>
        <v>0.73657172229998702</v>
      </c>
      <c r="J5" s="6">
        <f>IF(NOT(ISNUMBER(G5)),"",IF(E5="Positive",IF(G5&lt;'04_THRESHOLDS_WEIGHTS'!G5,0,IF(G5&lt;'04_THRESHOLDS_WEIGHTS'!H5,0.25+0.25*(G5-'04_THRESHOLDS_WEIGHTS'!G5)/('04_THRESHOLDS_WEIGHTS'!H5-'04_THRESHOLDS_WEIGHTS'!G5),IF(G5&lt;'04_THRESHOLDS_WEIGHTS'!I5,0.5+0.25*(G5-'04_THRESHOLDS_WEIGHTS'!H5)/('04_THRESHOLDS_WEIGHTS'!I5-'04_THRESHOLDS_WEIGHTS'!H5),IF(G5&lt;'04_THRESHOLDS_WEIGHTS'!J5,0.75+0.25*(G5-'04_THRESHOLDS_WEIGHTS'!I5)/('04_THRESHOLDS_WEIGHTS'!J5-'04_THRESHOLDS_WEIGHTS'!I5),1)))),IF(G5&gt;'04_THRESHOLDS_WEIGHTS'!G5,0,IF(G5&gt;'04_THRESHOLDS_WEIGHTS'!H5,0.25+0.25*('04_THRESHOLDS_WEIGHTS'!G5-G5)/('04_THRESHOLDS_WEIGHTS'!G5-'04_THRESHOLDS_WEIGHTS'!H5),IF(G5&gt;'04_THRESHOLDS_WEIGHTS'!I5,0.5+0.25*('04_THRESHOLDS_WEIGHTS'!H5-G5)/('04_THRESHOLDS_WEIGHTS'!H5-'04_THRESHOLDS_WEIGHTS'!I5),IF(G5&gt;'04_THRESHOLDS_WEIGHTS'!J5,0.75+0.25*('04_THRESHOLDS_WEIGHTS'!I5-G5)/('04_THRESHOLDS_WEIGHTS'!I5-'04_THRESHOLDS_WEIGHTS'!J5),1))))))</f>
        <v>0.99999698742444665</v>
      </c>
      <c r="K5" s="6">
        <f>IF(NOT(ISNUMBER(H5)),"",IF(E5="Positive",IF(H5&lt;'04_THRESHOLDS_WEIGHTS'!G5,0,IF(H5&lt;'04_THRESHOLDS_WEIGHTS'!H5,0.25+0.25*(H5-'04_THRESHOLDS_WEIGHTS'!G5)/('04_THRESHOLDS_WEIGHTS'!H5-'04_THRESHOLDS_WEIGHTS'!G5),IF(H5&lt;'04_THRESHOLDS_WEIGHTS'!I5,0.5+0.25*(H5-'04_THRESHOLDS_WEIGHTS'!H5)/('04_THRESHOLDS_WEIGHTS'!I5-'04_THRESHOLDS_WEIGHTS'!H5),IF(H5&lt;'04_THRESHOLDS_WEIGHTS'!J5,0.75+0.25*(H5-'04_THRESHOLDS_WEIGHTS'!I5)/('04_THRESHOLDS_WEIGHTS'!J5-'04_THRESHOLDS_WEIGHTS'!I5),1)))),IF(H5&gt;'04_THRESHOLDS_WEIGHTS'!G5,0,IF(H5&gt;'04_THRESHOLDS_WEIGHTS'!H5,0.25+0.25*('04_THRESHOLDS_WEIGHTS'!G5-H5)/('04_THRESHOLDS_WEIGHTS'!G5-'04_THRESHOLDS_WEIGHTS'!H5),IF(H5&gt;'04_THRESHOLDS_WEIGHTS'!I5,0.5+0.25*('04_THRESHOLDS_WEIGHTS'!H5-H5)/('04_THRESHOLDS_WEIGHTS'!H5-'04_THRESHOLDS_WEIGHTS'!I5),IF(H5&gt;'04_THRESHOLDS_WEIGHTS'!J5,0.75+0.25*('04_THRESHOLDS_WEIGHTS'!I5-H5)/('04_THRESHOLDS_WEIGHTS'!I5-'04_THRESHOLDS_WEIGHTS'!J5),1))))))</f>
        <v>0.75798273579178388</v>
      </c>
      <c r="L5" s="6">
        <f t="shared" si="0"/>
        <v>2.141101349179686E-2</v>
      </c>
      <c r="M5" s="2" t="s">
        <v>131</v>
      </c>
    </row>
    <row r="6" spans="1:13" ht="15" customHeight="1" x14ac:dyDescent="0.25">
      <c r="A6" s="3" t="s">
        <v>67</v>
      </c>
      <c r="B6" s="3" t="s">
        <v>138</v>
      </c>
      <c r="C6" s="3" t="s">
        <v>139</v>
      </c>
      <c r="D6" s="3" t="s">
        <v>143</v>
      </c>
      <c r="E6" s="3" t="s">
        <v>141</v>
      </c>
      <c r="F6" s="7">
        <f>IFERROR(SUMIFS('06_IMPORT_ANNUAL'!$D$4:$D$328,'06_IMPORT_ANNUAL'!$B$4:$B$328,$B6,'06_IMPORT_ANNUAL'!$C$4:$C$328,"&gt;="&amp;'01_CONTROL'!$B$5,'06_IMPORT_ANNUAL'!$C$4:$C$328,"&lt;="&amp;'01_CONTROL'!$B$6)/COUNTIFS('06_IMPORT_ANNUAL'!$B$4:$B$328,$B6,'06_IMPORT_ANNUAL'!$C$4:$C$328,"&gt;="&amp;'01_CONTROL'!$B$5,'06_IMPORT_ANNUAL'!$C$4:$C$328,"&lt;="&amp;'01_CONTROL'!$B$6),"")</f>
        <v>3</v>
      </c>
      <c r="G6" s="7">
        <f>IFERROR(SUMIFS('06_IMPORT_ANNUAL'!$D$4:$D$328,'06_IMPORT_ANNUAL'!$B$4:$B$328,$B6,'06_IMPORT_ANNUAL'!$C$4:$C$328,'01_CONTROL'!$B$7)/COUNTIFS('06_IMPORT_ANNUAL'!$B$4:$B$328,$B6,'06_IMPORT_ANNUAL'!$C$4:$C$328,'01_CONTROL'!$B$7),"")</f>
        <v>0</v>
      </c>
      <c r="H6" s="7">
        <f>IFERROR(SUMIFS('06_IMPORT_ANNUAL'!$D$4:$D$328,'06_IMPORT_ANNUAL'!$B$4:$B$328,$B6,'06_IMPORT_ANNUAL'!$C$4:$C$328,"&gt;="&amp;'01_CONTROL'!$B$8,'06_IMPORT_ANNUAL'!$C$4:$C$328,"&lt;="&amp;'01_CONTROL'!$B$9)/COUNTIFS('06_IMPORT_ANNUAL'!$B$4:$B$328,$B6,'06_IMPORT_ANNUAL'!$C$4:$C$328,"&gt;="&amp;'01_CONTROL'!$B$8,'06_IMPORT_ANNUAL'!$C$4:$C$328,"&lt;="&amp;'01_CONTROL'!$B$9),"")</f>
        <v>3.125</v>
      </c>
      <c r="I6" s="6">
        <f>IF(NOT(ISNUMBER(F6)),"",IF(E6="Positive",IF(F6&lt;'04_THRESHOLDS_WEIGHTS'!G6,0,IF(F6&lt;'04_THRESHOLDS_WEIGHTS'!H6,0.25+0.25*(F6-'04_THRESHOLDS_WEIGHTS'!G6)/('04_THRESHOLDS_WEIGHTS'!H6-'04_THRESHOLDS_WEIGHTS'!G6),IF(F6&lt;'04_THRESHOLDS_WEIGHTS'!I6,0.5+0.25*(F6-'04_THRESHOLDS_WEIGHTS'!H6)/('04_THRESHOLDS_WEIGHTS'!I6-'04_THRESHOLDS_WEIGHTS'!H6),IF(F6&lt;'04_THRESHOLDS_WEIGHTS'!J6,0.75+0.25*(F6-'04_THRESHOLDS_WEIGHTS'!I6)/('04_THRESHOLDS_WEIGHTS'!J6-'04_THRESHOLDS_WEIGHTS'!I6),1)))),IF(F6&gt;'04_THRESHOLDS_WEIGHTS'!G6,0,IF(F6&gt;'04_THRESHOLDS_WEIGHTS'!H6,0.25+0.25*('04_THRESHOLDS_WEIGHTS'!G6-F6)/('04_THRESHOLDS_WEIGHTS'!G6-'04_THRESHOLDS_WEIGHTS'!H6),IF(F6&gt;'04_THRESHOLDS_WEIGHTS'!I6,0.5+0.25*('04_THRESHOLDS_WEIGHTS'!H6-F6)/('04_THRESHOLDS_WEIGHTS'!H6-'04_THRESHOLDS_WEIGHTS'!I6),IF(F6&gt;'04_THRESHOLDS_WEIGHTS'!J6,0.75+0.25*('04_THRESHOLDS_WEIGHTS'!I6-F6)/('04_THRESHOLDS_WEIGHTS'!I6-'04_THRESHOLDS_WEIGHTS'!J6),1))))))</f>
        <v>0.75</v>
      </c>
      <c r="J6" s="6">
        <f>IF(NOT(ISNUMBER(G6)),"",IF(E6="Positive",IF(G6&lt;'04_THRESHOLDS_WEIGHTS'!G6,0,IF(G6&lt;'04_THRESHOLDS_WEIGHTS'!H6,0.25+0.25*(G6-'04_THRESHOLDS_WEIGHTS'!G6)/('04_THRESHOLDS_WEIGHTS'!H6-'04_THRESHOLDS_WEIGHTS'!G6),IF(G6&lt;'04_THRESHOLDS_WEIGHTS'!I6,0.5+0.25*(G6-'04_THRESHOLDS_WEIGHTS'!H6)/('04_THRESHOLDS_WEIGHTS'!I6-'04_THRESHOLDS_WEIGHTS'!H6),IF(G6&lt;'04_THRESHOLDS_WEIGHTS'!J6,0.75+0.25*(G6-'04_THRESHOLDS_WEIGHTS'!I6)/('04_THRESHOLDS_WEIGHTS'!J6-'04_THRESHOLDS_WEIGHTS'!I6),1)))),IF(G6&gt;'04_THRESHOLDS_WEIGHTS'!G6,0,IF(G6&gt;'04_THRESHOLDS_WEIGHTS'!H6,0.25+0.25*('04_THRESHOLDS_WEIGHTS'!G6-G6)/('04_THRESHOLDS_WEIGHTS'!G6-'04_THRESHOLDS_WEIGHTS'!H6),IF(G6&gt;'04_THRESHOLDS_WEIGHTS'!I6,0.5+0.25*('04_THRESHOLDS_WEIGHTS'!H6-G6)/('04_THRESHOLDS_WEIGHTS'!H6-'04_THRESHOLDS_WEIGHTS'!I6),IF(G6&gt;'04_THRESHOLDS_WEIGHTS'!J6,0.75+0.25*('04_THRESHOLDS_WEIGHTS'!I6-G6)/('04_THRESHOLDS_WEIGHTS'!I6-'04_THRESHOLDS_WEIGHTS'!J6),1))))))</f>
        <v>1</v>
      </c>
      <c r="K6" s="6">
        <f>IF(NOT(ISNUMBER(H6)),"",IF(E6="Positive",IF(H6&lt;'04_THRESHOLDS_WEIGHTS'!G6,0,IF(H6&lt;'04_THRESHOLDS_WEIGHTS'!H6,0.25+0.25*(H6-'04_THRESHOLDS_WEIGHTS'!G6)/('04_THRESHOLDS_WEIGHTS'!H6-'04_THRESHOLDS_WEIGHTS'!G6),IF(H6&lt;'04_THRESHOLDS_WEIGHTS'!I6,0.5+0.25*(H6-'04_THRESHOLDS_WEIGHTS'!H6)/('04_THRESHOLDS_WEIGHTS'!I6-'04_THRESHOLDS_WEIGHTS'!H6),IF(H6&lt;'04_THRESHOLDS_WEIGHTS'!J6,0.75+0.25*(H6-'04_THRESHOLDS_WEIGHTS'!I6)/('04_THRESHOLDS_WEIGHTS'!J6-'04_THRESHOLDS_WEIGHTS'!I6),1)))),IF(H6&gt;'04_THRESHOLDS_WEIGHTS'!G6,0,IF(H6&gt;'04_THRESHOLDS_WEIGHTS'!H6,0.25+0.25*('04_THRESHOLDS_WEIGHTS'!G6-H6)/('04_THRESHOLDS_WEIGHTS'!G6-'04_THRESHOLDS_WEIGHTS'!H6),IF(H6&gt;'04_THRESHOLDS_WEIGHTS'!I6,0.5+0.25*('04_THRESHOLDS_WEIGHTS'!H6-H6)/('04_THRESHOLDS_WEIGHTS'!H6-'04_THRESHOLDS_WEIGHTS'!I6),IF(H6&gt;'04_THRESHOLDS_WEIGHTS'!J6,0.75+0.25*('04_THRESHOLDS_WEIGHTS'!I6-H6)/('04_THRESHOLDS_WEIGHTS'!I6-'04_THRESHOLDS_WEIGHTS'!J6),1))))))</f>
        <v>0.73958333333333337</v>
      </c>
      <c r="L6" s="6">
        <f t="shared" si="0"/>
        <v>-1.041666666666663E-2</v>
      </c>
      <c r="M6" s="2" t="s">
        <v>131</v>
      </c>
    </row>
    <row r="7" spans="1:13" ht="15" customHeight="1" x14ac:dyDescent="0.25">
      <c r="A7" s="3" t="s">
        <v>67</v>
      </c>
      <c r="B7" s="3" t="s">
        <v>147</v>
      </c>
      <c r="C7" s="3" t="s">
        <v>148</v>
      </c>
      <c r="D7" s="3" t="s">
        <v>150</v>
      </c>
      <c r="E7" s="3" t="s">
        <v>141</v>
      </c>
      <c r="F7" s="7">
        <f>IFERROR(SUMIFS('06_IMPORT_ANNUAL'!$D$4:$D$328,'06_IMPORT_ANNUAL'!$B$4:$B$328,$B7,'06_IMPORT_ANNUAL'!$C$4:$C$328,"&gt;="&amp;'01_CONTROL'!$B$5,'06_IMPORT_ANNUAL'!$C$4:$C$328,"&lt;="&amp;'01_CONTROL'!$B$6)/COUNTIFS('06_IMPORT_ANNUAL'!$B$4:$B$328,$B7,'06_IMPORT_ANNUAL'!$C$4:$C$328,"&gt;="&amp;'01_CONTROL'!$B$5,'06_IMPORT_ANNUAL'!$C$4:$C$328,"&lt;="&amp;'01_CONTROL'!$B$6),"")</f>
        <v>2.0154847085893741</v>
      </c>
      <c r="G7" s="7">
        <f>IFERROR(SUMIFS('06_IMPORT_ANNUAL'!$D$4:$D$328,'06_IMPORT_ANNUAL'!$B$4:$B$328,$B7,'06_IMPORT_ANNUAL'!$C$4:$C$328,'01_CONTROL'!$B$7)/COUNTIFS('06_IMPORT_ANNUAL'!$B$4:$B$328,$B7,'06_IMPORT_ANNUAL'!$C$4:$C$328,'01_CONTROL'!$B$7),"")</f>
        <v>1.8549709911156431</v>
      </c>
      <c r="H7" s="7">
        <f>IFERROR(SUMIFS('06_IMPORT_ANNUAL'!$D$4:$D$328,'06_IMPORT_ANNUAL'!$B$4:$B$328,$B7,'06_IMPORT_ANNUAL'!$C$4:$C$328,"&gt;="&amp;'01_CONTROL'!$B$8,'06_IMPORT_ANNUAL'!$C$4:$C$328,"&lt;="&amp;'01_CONTROL'!$B$9)/COUNTIFS('06_IMPORT_ANNUAL'!$B$4:$B$328,$B7,'06_IMPORT_ANNUAL'!$C$4:$C$328,"&gt;="&amp;'01_CONTROL'!$B$8,'06_IMPORT_ANNUAL'!$C$4:$C$328,"&lt;="&amp;'01_CONTROL'!$B$9),"")</f>
        <v>1.9224202174456702</v>
      </c>
      <c r="I7" s="6">
        <f>IF(NOT(ISNUMBER(F7)),"",IF(E7="Positive",IF(F7&lt;'04_THRESHOLDS_WEIGHTS'!G7,0,IF(F7&lt;'04_THRESHOLDS_WEIGHTS'!H7,0.25+0.25*(F7-'04_THRESHOLDS_WEIGHTS'!G7)/('04_THRESHOLDS_WEIGHTS'!H7-'04_THRESHOLDS_WEIGHTS'!G7),IF(F7&lt;'04_THRESHOLDS_WEIGHTS'!I7,0.5+0.25*(F7-'04_THRESHOLDS_WEIGHTS'!H7)/('04_THRESHOLDS_WEIGHTS'!I7-'04_THRESHOLDS_WEIGHTS'!H7),IF(F7&lt;'04_THRESHOLDS_WEIGHTS'!J7,0.75+0.25*(F7-'04_THRESHOLDS_WEIGHTS'!I7)/('04_THRESHOLDS_WEIGHTS'!J7-'04_THRESHOLDS_WEIGHTS'!I7),1)))),IF(F7&gt;'04_THRESHOLDS_WEIGHTS'!G7,0,IF(F7&gt;'04_THRESHOLDS_WEIGHTS'!H7,0.25+0.25*('04_THRESHOLDS_WEIGHTS'!G7-F7)/('04_THRESHOLDS_WEIGHTS'!G7-'04_THRESHOLDS_WEIGHTS'!H7),IF(F7&gt;'04_THRESHOLDS_WEIGHTS'!I7,0.5+0.25*('04_THRESHOLDS_WEIGHTS'!H7-F7)/('04_THRESHOLDS_WEIGHTS'!H7-'04_THRESHOLDS_WEIGHTS'!I7),IF(F7&gt;'04_THRESHOLDS_WEIGHTS'!J7,0.75+0.25*('04_THRESHOLDS_WEIGHTS'!I7-F7)/('04_THRESHOLDS_WEIGHTS'!I7-'04_THRESHOLDS_WEIGHTS'!J7),1))))))</f>
        <v>0</v>
      </c>
      <c r="J7" s="6">
        <f>IF(NOT(ISNUMBER(G7)),"",IF(E7="Positive",IF(G7&lt;'04_THRESHOLDS_WEIGHTS'!G7,0,IF(G7&lt;'04_THRESHOLDS_WEIGHTS'!H7,0.25+0.25*(G7-'04_THRESHOLDS_WEIGHTS'!G7)/('04_THRESHOLDS_WEIGHTS'!H7-'04_THRESHOLDS_WEIGHTS'!G7),IF(G7&lt;'04_THRESHOLDS_WEIGHTS'!I7,0.5+0.25*(G7-'04_THRESHOLDS_WEIGHTS'!H7)/('04_THRESHOLDS_WEIGHTS'!I7-'04_THRESHOLDS_WEIGHTS'!H7),IF(G7&lt;'04_THRESHOLDS_WEIGHTS'!J7,0.75+0.25*(G7-'04_THRESHOLDS_WEIGHTS'!I7)/('04_THRESHOLDS_WEIGHTS'!J7-'04_THRESHOLDS_WEIGHTS'!I7),1)))),IF(G7&gt;'04_THRESHOLDS_WEIGHTS'!G7,0,IF(G7&gt;'04_THRESHOLDS_WEIGHTS'!H7,0.25+0.25*('04_THRESHOLDS_WEIGHTS'!G7-G7)/('04_THRESHOLDS_WEIGHTS'!G7-'04_THRESHOLDS_WEIGHTS'!H7),IF(G7&gt;'04_THRESHOLDS_WEIGHTS'!I7,0.5+0.25*('04_THRESHOLDS_WEIGHTS'!H7-G7)/('04_THRESHOLDS_WEIGHTS'!H7-'04_THRESHOLDS_WEIGHTS'!I7),IF(G7&gt;'04_THRESHOLDS_WEIGHTS'!J7,0.75+0.25*('04_THRESHOLDS_WEIGHTS'!I7-G7)/('04_THRESHOLDS_WEIGHTS'!I7-'04_THRESHOLDS_WEIGHTS'!J7),1))))))</f>
        <v>0</v>
      </c>
      <c r="K7" s="6">
        <f>IF(NOT(ISNUMBER(H7)),"",IF(E7="Positive",IF(H7&lt;'04_THRESHOLDS_WEIGHTS'!G7,0,IF(H7&lt;'04_THRESHOLDS_WEIGHTS'!H7,0.25+0.25*(H7-'04_THRESHOLDS_WEIGHTS'!G7)/('04_THRESHOLDS_WEIGHTS'!H7-'04_THRESHOLDS_WEIGHTS'!G7),IF(H7&lt;'04_THRESHOLDS_WEIGHTS'!I7,0.5+0.25*(H7-'04_THRESHOLDS_WEIGHTS'!H7)/('04_THRESHOLDS_WEIGHTS'!I7-'04_THRESHOLDS_WEIGHTS'!H7),IF(H7&lt;'04_THRESHOLDS_WEIGHTS'!J7,0.75+0.25*(H7-'04_THRESHOLDS_WEIGHTS'!I7)/('04_THRESHOLDS_WEIGHTS'!J7-'04_THRESHOLDS_WEIGHTS'!I7),1)))),IF(H7&gt;'04_THRESHOLDS_WEIGHTS'!G7,0,IF(H7&gt;'04_THRESHOLDS_WEIGHTS'!H7,0.25+0.25*('04_THRESHOLDS_WEIGHTS'!G7-H7)/('04_THRESHOLDS_WEIGHTS'!G7-'04_THRESHOLDS_WEIGHTS'!H7),IF(H7&gt;'04_THRESHOLDS_WEIGHTS'!I7,0.5+0.25*('04_THRESHOLDS_WEIGHTS'!H7-H7)/('04_THRESHOLDS_WEIGHTS'!H7-'04_THRESHOLDS_WEIGHTS'!I7),IF(H7&gt;'04_THRESHOLDS_WEIGHTS'!J7,0.75+0.25*('04_THRESHOLDS_WEIGHTS'!I7-H7)/('04_THRESHOLDS_WEIGHTS'!I7-'04_THRESHOLDS_WEIGHTS'!J7),1))))))</f>
        <v>0</v>
      </c>
      <c r="L7" s="6">
        <f t="shared" si="0"/>
        <v>0</v>
      </c>
      <c r="M7" s="2" t="s">
        <v>155</v>
      </c>
    </row>
    <row r="8" spans="1:13" ht="15" customHeight="1" x14ac:dyDescent="0.25">
      <c r="A8" s="3" t="s">
        <v>67</v>
      </c>
      <c r="B8" s="3" t="s">
        <v>156</v>
      </c>
      <c r="C8" s="3" t="s">
        <v>157</v>
      </c>
      <c r="D8" s="3" t="s">
        <v>159</v>
      </c>
      <c r="E8" s="3" t="s">
        <v>124</v>
      </c>
      <c r="F8" s="7">
        <f>IFERROR(SUMIFS('06_IMPORT_ANNUAL'!$D$4:$D$328,'06_IMPORT_ANNUAL'!$B$4:$B$328,$B8,'06_IMPORT_ANNUAL'!$C$4:$C$328,"&gt;="&amp;'01_CONTROL'!$B$5,'06_IMPORT_ANNUAL'!$C$4:$C$328,"&lt;="&amp;'01_CONTROL'!$B$6)/COUNTIFS('06_IMPORT_ANNUAL'!$B$4:$B$328,$B8,'06_IMPORT_ANNUAL'!$C$4:$C$328,"&gt;="&amp;'01_CONTROL'!$B$5,'06_IMPORT_ANNUAL'!$C$4:$C$328,"&lt;="&amp;'01_CONTROL'!$B$6),"")</f>
        <v>32.317842844722371</v>
      </c>
      <c r="G8" s="7">
        <f>IFERROR(SUMIFS('06_IMPORT_ANNUAL'!$D$4:$D$328,'06_IMPORT_ANNUAL'!$B$4:$B$328,$B8,'06_IMPORT_ANNUAL'!$C$4:$C$328,'01_CONTROL'!$B$7)/COUNTIFS('06_IMPORT_ANNUAL'!$B$4:$B$328,$B8,'06_IMPORT_ANNUAL'!$C$4:$C$328,'01_CONTROL'!$B$7),"")</f>
        <v>5.2828921077305413</v>
      </c>
      <c r="H8" s="7">
        <f>IFERROR(SUMIFS('06_IMPORT_ANNUAL'!$D$4:$D$328,'06_IMPORT_ANNUAL'!$B$4:$B$328,$B8,'06_IMPORT_ANNUAL'!$C$4:$C$328,"&gt;="&amp;'01_CONTROL'!$B$8,'06_IMPORT_ANNUAL'!$C$4:$C$328,"&lt;="&amp;'01_CONTROL'!$B$9)/COUNTIFS('06_IMPORT_ANNUAL'!$B$4:$B$328,$B8,'06_IMPORT_ANNUAL'!$C$4:$C$328,"&gt;="&amp;'01_CONTROL'!$B$8,'06_IMPORT_ANNUAL'!$C$4:$C$328,"&lt;="&amp;'01_CONTROL'!$B$9),"")</f>
        <v>6.7484013149546263</v>
      </c>
      <c r="I8" s="6">
        <f>IF(NOT(ISNUMBER(F8)),"",IF(E8="Positive",IF(F8&lt;'04_THRESHOLDS_WEIGHTS'!G8,0,IF(F8&lt;'04_THRESHOLDS_WEIGHTS'!H8,0.25+0.25*(F8-'04_THRESHOLDS_WEIGHTS'!G8)/('04_THRESHOLDS_WEIGHTS'!H8-'04_THRESHOLDS_WEIGHTS'!G8),IF(F8&lt;'04_THRESHOLDS_WEIGHTS'!I8,0.5+0.25*(F8-'04_THRESHOLDS_WEIGHTS'!H8)/('04_THRESHOLDS_WEIGHTS'!I8-'04_THRESHOLDS_WEIGHTS'!H8),IF(F8&lt;'04_THRESHOLDS_WEIGHTS'!J8,0.75+0.25*(F8-'04_THRESHOLDS_WEIGHTS'!I8)/('04_THRESHOLDS_WEIGHTS'!J8-'04_THRESHOLDS_WEIGHTS'!I8),1)))),IF(F8&gt;'04_THRESHOLDS_WEIGHTS'!G8,0,IF(F8&gt;'04_THRESHOLDS_WEIGHTS'!H8,0.25+0.25*('04_THRESHOLDS_WEIGHTS'!G8-F8)/('04_THRESHOLDS_WEIGHTS'!G8-'04_THRESHOLDS_WEIGHTS'!H8),IF(F8&gt;'04_THRESHOLDS_WEIGHTS'!I8,0.5+0.25*('04_THRESHOLDS_WEIGHTS'!H8-F8)/('04_THRESHOLDS_WEIGHTS'!H8-'04_THRESHOLDS_WEIGHTS'!I8),IF(F8&gt;'04_THRESHOLDS_WEIGHTS'!J8,0.75+0.25*('04_THRESHOLDS_WEIGHTS'!I8-F8)/('04_THRESHOLDS_WEIGHTS'!I8-'04_THRESHOLDS_WEIGHTS'!J8),1))))))</f>
        <v>0.83344964872591887</v>
      </c>
      <c r="J8" s="6">
        <f>IF(NOT(ISNUMBER(G8)),"",IF(E8="Positive",IF(G8&lt;'04_THRESHOLDS_WEIGHTS'!G8,0,IF(G8&lt;'04_THRESHOLDS_WEIGHTS'!H8,0.25+0.25*(G8-'04_THRESHOLDS_WEIGHTS'!G8)/('04_THRESHOLDS_WEIGHTS'!H8-'04_THRESHOLDS_WEIGHTS'!G8),IF(G8&lt;'04_THRESHOLDS_WEIGHTS'!I8,0.5+0.25*(G8-'04_THRESHOLDS_WEIGHTS'!H8)/('04_THRESHOLDS_WEIGHTS'!I8-'04_THRESHOLDS_WEIGHTS'!H8),IF(G8&lt;'04_THRESHOLDS_WEIGHTS'!J8,0.75+0.25*(G8-'04_THRESHOLDS_WEIGHTS'!I8)/('04_THRESHOLDS_WEIGHTS'!J8-'04_THRESHOLDS_WEIGHTS'!I8),1)))),IF(G8&gt;'04_THRESHOLDS_WEIGHTS'!G8,0,IF(G8&gt;'04_THRESHOLDS_WEIGHTS'!H8,0.25+0.25*('04_THRESHOLDS_WEIGHTS'!G8-G8)/('04_THRESHOLDS_WEIGHTS'!G8-'04_THRESHOLDS_WEIGHTS'!H8),IF(G8&gt;'04_THRESHOLDS_WEIGHTS'!I8,0.5+0.25*('04_THRESHOLDS_WEIGHTS'!H8-G8)/('04_THRESHOLDS_WEIGHTS'!H8-'04_THRESHOLDS_WEIGHTS'!I8),IF(G8&gt;'04_THRESHOLDS_WEIGHTS'!J8,0.75+0.25*('04_THRESHOLDS_WEIGHTS'!I8-G8)/('04_THRESHOLDS_WEIGHTS'!I8-'04_THRESHOLDS_WEIGHTS'!J8),1))))))</f>
        <v>0.7564979727696296</v>
      </c>
      <c r="K8" s="6">
        <f>IF(NOT(ISNUMBER(H8)),"",IF(E8="Positive",IF(H8&lt;'04_THRESHOLDS_WEIGHTS'!G8,0,IF(H8&lt;'04_THRESHOLDS_WEIGHTS'!H8,0.25+0.25*(H8-'04_THRESHOLDS_WEIGHTS'!G8)/('04_THRESHOLDS_WEIGHTS'!H8-'04_THRESHOLDS_WEIGHTS'!G8),IF(H8&lt;'04_THRESHOLDS_WEIGHTS'!I8,0.5+0.25*(H8-'04_THRESHOLDS_WEIGHTS'!H8)/('04_THRESHOLDS_WEIGHTS'!I8-'04_THRESHOLDS_WEIGHTS'!H8),IF(H8&lt;'04_THRESHOLDS_WEIGHTS'!J8,0.75+0.25*(H8-'04_THRESHOLDS_WEIGHTS'!I8)/('04_THRESHOLDS_WEIGHTS'!J8-'04_THRESHOLDS_WEIGHTS'!I8),1)))),IF(H8&gt;'04_THRESHOLDS_WEIGHTS'!G8,0,IF(H8&gt;'04_THRESHOLDS_WEIGHTS'!H8,0.25+0.25*('04_THRESHOLDS_WEIGHTS'!G8-H8)/('04_THRESHOLDS_WEIGHTS'!G8-'04_THRESHOLDS_WEIGHTS'!H8),IF(H8&gt;'04_THRESHOLDS_WEIGHTS'!I8,0.5+0.25*('04_THRESHOLDS_WEIGHTS'!H8-H8)/('04_THRESHOLDS_WEIGHTS'!H8-'04_THRESHOLDS_WEIGHTS'!I8),IF(H8&gt;'04_THRESHOLDS_WEIGHTS'!J8,0.75+0.25*('04_THRESHOLDS_WEIGHTS'!I8-H8)/('04_THRESHOLDS_WEIGHTS'!I8-'04_THRESHOLDS_WEIGHTS'!J8),1))))))</f>
        <v>0.76066936522831674</v>
      </c>
      <c r="L8" s="6">
        <f t="shared" si="0"/>
        <v>-7.2780283497602127E-2</v>
      </c>
      <c r="M8" s="2" t="s">
        <v>163</v>
      </c>
    </row>
    <row r="9" spans="1:13" ht="15" customHeight="1" x14ac:dyDescent="0.25">
      <c r="A9" s="3" t="s">
        <v>67</v>
      </c>
      <c r="B9" s="3" t="s">
        <v>165</v>
      </c>
      <c r="C9" s="3" t="s">
        <v>166</v>
      </c>
      <c r="D9" s="3" t="s">
        <v>159</v>
      </c>
      <c r="E9" s="3" t="s">
        <v>141</v>
      </c>
      <c r="F9" s="7">
        <f>IFERROR(SUMIFS('06_IMPORT_ANNUAL'!$D$4:$D$328,'06_IMPORT_ANNUAL'!$B$4:$B$328,$B9,'06_IMPORT_ANNUAL'!$C$4:$C$328,"&gt;="&amp;'01_CONTROL'!$B$5,'06_IMPORT_ANNUAL'!$C$4:$C$328,"&lt;="&amp;'01_CONTROL'!$B$6)/COUNTIFS('06_IMPORT_ANNUAL'!$B$4:$B$328,$B9,'06_IMPORT_ANNUAL'!$C$4:$C$328,"&gt;="&amp;'01_CONTROL'!$B$5,'06_IMPORT_ANNUAL'!$C$4:$C$328,"&lt;="&amp;'01_CONTROL'!$B$6),"")</f>
        <v>8.4400444136343999</v>
      </c>
      <c r="G9" s="7">
        <f>IFERROR(SUMIFS('06_IMPORT_ANNUAL'!$D$4:$D$328,'06_IMPORT_ANNUAL'!$B$4:$B$328,$B9,'06_IMPORT_ANNUAL'!$C$4:$C$328,'01_CONTROL'!$B$7)/COUNTIFS('06_IMPORT_ANNUAL'!$B$4:$B$328,$B9,'06_IMPORT_ANNUAL'!$C$4:$C$328,'01_CONTROL'!$B$7),"")</f>
        <v>1.3796664658565163</v>
      </c>
      <c r="H9" s="7">
        <f>IFERROR(SUMIFS('06_IMPORT_ANNUAL'!$D$4:$D$328,'06_IMPORT_ANNUAL'!$B$4:$B$328,$B9,'06_IMPORT_ANNUAL'!$C$4:$C$328,"&gt;="&amp;'01_CONTROL'!$B$8,'06_IMPORT_ANNUAL'!$C$4:$C$328,"&lt;="&amp;'01_CONTROL'!$B$9)/COUNTIFS('06_IMPORT_ANNUAL'!$B$4:$B$328,$B9,'06_IMPORT_ANNUAL'!$C$4:$C$328,"&gt;="&amp;'01_CONTROL'!$B$8,'06_IMPORT_ANNUAL'!$C$4:$C$328,"&lt;="&amp;'01_CONTROL'!$B$9),"")</f>
        <v>1.7623950674216207</v>
      </c>
      <c r="I9" s="6">
        <f>IF(NOT(ISNUMBER(F9)),"",IF(E9="Positive",IF(F9&lt;'04_THRESHOLDS_WEIGHTS'!G9,0,IF(F9&lt;'04_THRESHOLDS_WEIGHTS'!H9,0.25+0.25*(F9-'04_THRESHOLDS_WEIGHTS'!G9)/('04_THRESHOLDS_WEIGHTS'!H9-'04_THRESHOLDS_WEIGHTS'!G9),IF(F9&lt;'04_THRESHOLDS_WEIGHTS'!I9,0.5+0.25*(F9-'04_THRESHOLDS_WEIGHTS'!H9)/('04_THRESHOLDS_WEIGHTS'!I9-'04_THRESHOLDS_WEIGHTS'!H9),IF(F9&lt;'04_THRESHOLDS_WEIGHTS'!J9,0.75+0.25*(F9-'04_THRESHOLDS_WEIGHTS'!I9)/('04_THRESHOLDS_WEIGHTS'!J9-'04_THRESHOLDS_WEIGHTS'!I9),1)))),IF(F9&gt;'04_THRESHOLDS_WEIGHTS'!G9,0,IF(F9&gt;'04_THRESHOLDS_WEIGHTS'!H9,0.25+0.25*('04_THRESHOLDS_WEIGHTS'!G9-F9)/('04_THRESHOLDS_WEIGHTS'!G9-'04_THRESHOLDS_WEIGHTS'!H9),IF(F9&gt;'04_THRESHOLDS_WEIGHTS'!I9,0.5+0.25*('04_THRESHOLDS_WEIGHTS'!H9-F9)/('04_THRESHOLDS_WEIGHTS'!H9-'04_THRESHOLDS_WEIGHTS'!I9),IF(F9&gt;'04_THRESHOLDS_WEIGHTS'!J9,0.75+0.25*('04_THRESHOLDS_WEIGHTS'!I9-F9)/('04_THRESHOLDS_WEIGHTS'!I9-'04_THRESHOLDS_WEIGHTS'!J9),1))))))</f>
        <v>0</v>
      </c>
      <c r="J9" s="6">
        <f>IF(NOT(ISNUMBER(G9)),"",IF(E9="Positive",IF(G9&lt;'04_THRESHOLDS_WEIGHTS'!G9,0,IF(G9&lt;'04_THRESHOLDS_WEIGHTS'!H9,0.25+0.25*(G9-'04_THRESHOLDS_WEIGHTS'!G9)/('04_THRESHOLDS_WEIGHTS'!H9-'04_THRESHOLDS_WEIGHTS'!G9),IF(G9&lt;'04_THRESHOLDS_WEIGHTS'!I9,0.5+0.25*(G9-'04_THRESHOLDS_WEIGHTS'!H9)/('04_THRESHOLDS_WEIGHTS'!I9-'04_THRESHOLDS_WEIGHTS'!H9),IF(G9&lt;'04_THRESHOLDS_WEIGHTS'!J9,0.75+0.25*(G9-'04_THRESHOLDS_WEIGHTS'!I9)/('04_THRESHOLDS_WEIGHTS'!J9-'04_THRESHOLDS_WEIGHTS'!I9),1)))),IF(G9&gt;'04_THRESHOLDS_WEIGHTS'!G9,0,IF(G9&gt;'04_THRESHOLDS_WEIGHTS'!H9,0.25+0.25*('04_THRESHOLDS_WEIGHTS'!G9-G9)/('04_THRESHOLDS_WEIGHTS'!G9-'04_THRESHOLDS_WEIGHTS'!H9),IF(G9&gt;'04_THRESHOLDS_WEIGHTS'!I9,0.5+0.25*('04_THRESHOLDS_WEIGHTS'!H9-G9)/('04_THRESHOLDS_WEIGHTS'!H9-'04_THRESHOLDS_WEIGHTS'!I9),IF(G9&gt;'04_THRESHOLDS_WEIGHTS'!J9,0.75+0.25*('04_THRESHOLDS_WEIGHTS'!I9-G9)/('04_THRESHOLDS_WEIGHTS'!I9-'04_THRESHOLDS_WEIGHTS'!J9),1))))))</f>
        <v>0.56685196341304644</v>
      </c>
      <c r="K9" s="6">
        <f>IF(NOT(ISNUMBER(H9)),"",IF(E9="Positive",IF(H9&lt;'04_THRESHOLDS_WEIGHTS'!G9,0,IF(H9&lt;'04_THRESHOLDS_WEIGHTS'!H9,0.25+0.25*(H9-'04_THRESHOLDS_WEIGHTS'!G9)/('04_THRESHOLDS_WEIGHTS'!H9-'04_THRESHOLDS_WEIGHTS'!G9),IF(H9&lt;'04_THRESHOLDS_WEIGHTS'!I9,0.5+0.25*(H9-'04_THRESHOLDS_WEIGHTS'!H9)/('04_THRESHOLDS_WEIGHTS'!I9-'04_THRESHOLDS_WEIGHTS'!H9),IF(H9&lt;'04_THRESHOLDS_WEIGHTS'!J9,0.75+0.25*(H9-'04_THRESHOLDS_WEIGHTS'!I9)/('04_THRESHOLDS_WEIGHTS'!J9-'04_THRESHOLDS_WEIGHTS'!I9),1)))),IF(H9&gt;'04_THRESHOLDS_WEIGHTS'!G9,0,IF(H9&gt;'04_THRESHOLDS_WEIGHTS'!H9,0.25+0.25*('04_THRESHOLDS_WEIGHTS'!G9-H9)/('04_THRESHOLDS_WEIGHTS'!G9-'04_THRESHOLDS_WEIGHTS'!H9),IF(H9&gt;'04_THRESHOLDS_WEIGHTS'!I9,0.5+0.25*('04_THRESHOLDS_WEIGHTS'!H9-H9)/('04_THRESHOLDS_WEIGHTS'!H9-'04_THRESHOLDS_WEIGHTS'!I9),IF(H9&gt;'04_THRESHOLDS_WEIGHTS'!J9,0.75+0.25*('04_THRESHOLDS_WEIGHTS'!I9-H9)/('04_THRESHOLDS_WEIGHTS'!I9-'04_THRESHOLDS_WEIGHTS'!J9),1))))))</f>
        <v>0.36880246628918967</v>
      </c>
      <c r="L9" s="6">
        <f t="shared" si="0"/>
        <v>0.36880246628918967</v>
      </c>
      <c r="M9" s="2" t="s">
        <v>170</v>
      </c>
    </row>
    <row r="10" spans="1:13" ht="15" customHeight="1" x14ac:dyDescent="0.25">
      <c r="A10" s="3" t="s">
        <v>76</v>
      </c>
      <c r="B10" s="3" t="s">
        <v>171</v>
      </c>
      <c r="C10" s="3" t="s">
        <v>172</v>
      </c>
      <c r="D10" s="3" t="s">
        <v>173</v>
      </c>
      <c r="E10" s="3" t="s">
        <v>124</v>
      </c>
      <c r="F10" s="7">
        <f>IFERROR(SUMIFS('06_IMPORT_ANNUAL'!$D$4:$D$328,'06_IMPORT_ANNUAL'!$B$4:$B$328,$B10,'06_IMPORT_ANNUAL'!$C$4:$C$328,"&gt;="&amp;'01_CONTROL'!$B$5,'06_IMPORT_ANNUAL'!$C$4:$C$328,"&lt;="&amp;'01_CONTROL'!$B$6)/COUNTIFS('06_IMPORT_ANNUAL'!$B$4:$B$328,$B10,'06_IMPORT_ANNUAL'!$C$4:$C$328,"&gt;="&amp;'01_CONTROL'!$B$5,'06_IMPORT_ANNUAL'!$C$4:$C$328,"&lt;="&amp;'01_CONTROL'!$B$6),"")</f>
        <v>1</v>
      </c>
      <c r="G10" s="7">
        <f>IFERROR(SUMIFS('06_IMPORT_ANNUAL'!$D$4:$D$328,'06_IMPORT_ANNUAL'!$B$4:$B$328,$B10,'06_IMPORT_ANNUAL'!$C$4:$C$328,'01_CONTROL'!$B$7)/COUNTIFS('06_IMPORT_ANNUAL'!$B$4:$B$328,$B10,'06_IMPORT_ANNUAL'!$C$4:$C$328,'01_CONTROL'!$B$7),"")</f>
        <v>1</v>
      </c>
      <c r="H10" s="7">
        <f>IFERROR(SUMIFS('06_IMPORT_ANNUAL'!$D$4:$D$328,'06_IMPORT_ANNUAL'!$B$4:$B$328,$B10,'06_IMPORT_ANNUAL'!$C$4:$C$328,"&gt;="&amp;'01_CONTROL'!$B$8,'06_IMPORT_ANNUAL'!$C$4:$C$328,"&lt;="&amp;'01_CONTROL'!$B$9)/COUNTIFS('06_IMPORT_ANNUAL'!$B$4:$B$328,$B10,'06_IMPORT_ANNUAL'!$C$4:$C$328,"&gt;="&amp;'01_CONTROL'!$B$8,'06_IMPORT_ANNUAL'!$C$4:$C$328,"&lt;="&amp;'01_CONTROL'!$B$9),"")</f>
        <v>0.984375</v>
      </c>
      <c r="I10" s="6">
        <f>IF(NOT(ISNUMBER(F10)),"",IF(E10="Positive",IF(F10&lt;'04_THRESHOLDS_WEIGHTS'!G10,0,IF(F10&lt;'04_THRESHOLDS_WEIGHTS'!H10,0.25+0.25*(F10-'04_THRESHOLDS_WEIGHTS'!G10)/('04_THRESHOLDS_WEIGHTS'!H10-'04_THRESHOLDS_WEIGHTS'!G10),IF(F10&lt;'04_THRESHOLDS_WEIGHTS'!I10,0.5+0.25*(F10-'04_THRESHOLDS_WEIGHTS'!H10)/('04_THRESHOLDS_WEIGHTS'!I10-'04_THRESHOLDS_WEIGHTS'!H10),IF(F10&lt;'04_THRESHOLDS_WEIGHTS'!J10,0.75+0.25*(F10-'04_THRESHOLDS_WEIGHTS'!I10)/('04_THRESHOLDS_WEIGHTS'!J10-'04_THRESHOLDS_WEIGHTS'!I10),1)))),IF(F10&gt;'04_THRESHOLDS_WEIGHTS'!G10,0,IF(F10&gt;'04_THRESHOLDS_WEIGHTS'!H10,0.25+0.25*('04_THRESHOLDS_WEIGHTS'!G10-F10)/('04_THRESHOLDS_WEIGHTS'!G10-'04_THRESHOLDS_WEIGHTS'!H10),IF(F10&gt;'04_THRESHOLDS_WEIGHTS'!I10,0.5+0.25*('04_THRESHOLDS_WEIGHTS'!H10-F10)/('04_THRESHOLDS_WEIGHTS'!H10-'04_THRESHOLDS_WEIGHTS'!I10),IF(F10&gt;'04_THRESHOLDS_WEIGHTS'!J10,0.75+0.25*('04_THRESHOLDS_WEIGHTS'!I10-F10)/('04_THRESHOLDS_WEIGHTS'!I10-'04_THRESHOLDS_WEIGHTS'!J10),1))))))</f>
        <v>1</v>
      </c>
      <c r="J10" s="6">
        <f>IF(NOT(ISNUMBER(G10)),"",IF(E10="Positive",IF(G10&lt;'04_THRESHOLDS_WEIGHTS'!G10,0,IF(G10&lt;'04_THRESHOLDS_WEIGHTS'!H10,0.25+0.25*(G10-'04_THRESHOLDS_WEIGHTS'!G10)/('04_THRESHOLDS_WEIGHTS'!H10-'04_THRESHOLDS_WEIGHTS'!G10),IF(G10&lt;'04_THRESHOLDS_WEIGHTS'!I10,0.5+0.25*(G10-'04_THRESHOLDS_WEIGHTS'!H10)/('04_THRESHOLDS_WEIGHTS'!I10-'04_THRESHOLDS_WEIGHTS'!H10),IF(G10&lt;'04_THRESHOLDS_WEIGHTS'!J10,0.75+0.25*(G10-'04_THRESHOLDS_WEIGHTS'!I10)/('04_THRESHOLDS_WEIGHTS'!J10-'04_THRESHOLDS_WEIGHTS'!I10),1)))),IF(G10&gt;'04_THRESHOLDS_WEIGHTS'!G10,0,IF(G10&gt;'04_THRESHOLDS_WEIGHTS'!H10,0.25+0.25*('04_THRESHOLDS_WEIGHTS'!G10-G10)/('04_THRESHOLDS_WEIGHTS'!G10-'04_THRESHOLDS_WEIGHTS'!H10),IF(G10&gt;'04_THRESHOLDS_WEIGHTS'!I10,0.5+0.25*('04_THRESHOLDS_WEIGHTS'!H10-G10)/('04_THRESHOLDS_WEIGHTS'!H10-'04_THRESHOLDS_WEIGHTS'!I10),IF(G10&gt;'04_THRESHOLDS_WEIGHTS'!J10,0.75+0.25*('04_THRESHOLDS_WEIGHTS'!I10-G10)/('04_THRESHOLDS_WEIGHTS'!I10-'04_THRESHOLDS_WEIGHTS'!J10),1))))))</f>
        <v>1</v>
      </c>
      <c r="K10" s="6">
        <f>IF(NOT(ISNUMBER(H10)),"",IF(E10="Positive",IF(H10&lt;'04_THRESHOLDS_WEIGHTS'!G10,0,IF(H10&lt;'04_THRESHOLDS_WEIGHTS'!H10,0.25+0.25*(H10-'04_THRESHOLDS_WEIGHTS'!G10)/('04_THRESHOLDS_WEIGHTS'!H10-'04_THRESHOLDS_WEIGHTS'!G10),IF(H10&lt;'04_THRESHOLDS_WEIGHTS'!I10,0.5+0.25*(H10-'04_THRESHOLDS_WEIGHTS'!H10)/('04_THRESHOLDS_WEIGHTS'!I10-'04_THRESHOLDS_WEIGHTS'!H10),IF(H10&lt;'04_THRESHOLDS_WEIGHTS'!J10,0.75+0.25*(H10-'04_THRESHOLDS_WEIGHTS'!I10)/('04_THRESHOLDS_WEIGHTS'!J10-'04_THRESHOLDS_WEIGHTS'!I10),1)))),IF(H10&gt;'04_THRESHOLDS_WEIGHTS'!G10,0,IF(H10&gt;'04_THRESHOLDS_WEIGHTS'!H10,0.25+0.25*('04_THRESHOLDS_WEIGHTS'!G10-H10)/('04_THRESHOLDS_WEIGHTS'!G10-'04_THRESHOLDS_WEIGHTS'!H10),IF(H10&gt;'04_THRESHOLDS_WEIGHTS'!I10,0.5+0.25*('04_THRESHOLDS_WEIGHTS'!H10-H10)/('04_THRESHOLDS_WEIGHTS'!H10-'04_THRESHOLDS_WEIGHTS'!I10),IF(H10&gt;'04_THRESHOLDS_WEIGHTS'!J10,0.75+0.25*('04_THRESHOLDS_WEIGHTS'!I10-H10)/('04_THRESHOLDS_WEIGHTS'!I10-'04_THRESHOLDS_WEIGHTS'!J10),1))))))</f>
        <v>0.98046875</v>
      </c>
      <c r="L10" s="6">
        <f t="shared" si="0"/>
        <v>-1.953125E-2</v>
      </c>
      <c r="M10" s="2" t="s">
        <v>178</v>
      </c>
    </row>
    <row r="11" spans="1:13" ht="15" customHeight="1" x14ac:dyDescent="0.25">
      <c r="A11" s="3" t="s">
        <v>76</v>
      </c>
      <c r="B11" s="3" t="s">
        <v>179</v>
      </c>
      <c r="C11" s="3" t="s">
        <v>180</v>
      </c>
      <c r="D11" s="3" t="s">
        <v>173</v>
      </c>
      <c r="E11" s="3" t="s">
        <v>124</v>
      </c>
      <c r="F11" s="7">
        <f>IFERROR(SUMIFS('06_IMPORT_ANNUAL'!$D$4:$D$328,'06_IMPORT_ANNUAL'!$B$4:$B$328,$B11,'06_IMPORT_ANNUAL'!$C$4:$C$328,"&gt;="&amp;'01_CONTROL'!$B$5,'06_IMPORT_ANNUAL'!$C$4:$C$328,"&lt;="&amp;'01_CONTROL'!$B$6)/COUNTIFS('06_IMPORT_ANNUAL'!$B$4:$B$328,$B11,'06_IMPORT_ANNUAL'!$C$4:$C$328,"&gt;="&amp;'01_CONTROL'!$B$5,'06_IMPORT_ANNUAL'!$C$4:$C$328,"&lt;="&amp;'01_CONTROL'!$B$6),"")</f>
        <v>1</v>
      </c>
      <c r="G11" s="7">
        <f>IFERROR(SUMIFS('06_IMPORT_ANNUAL'!$D$4:$D$328,'06_IMPORT_ANNUAL'!$B$4:$B$328,$B11,'06_IMPORT_ANNUAL'!$C$4:$C$328,'01_CONTROL'!$B$7)/COUNTIFS('06_IMPORT_ANNUAL'!$B$4:$B$328,$B11,'06_IMPORT_ANNUAL'!$C$4:$C$328,'01_CONTROL'!$B$7),"")</f>
        <v>1</v>
      </c>
      <c r="H11" s="7">
        <f>IFERROR(SUMIFS('06_IMPORT_ANNUAL'!$D$4:$D$328,'06_IMPORT_ANNUAL'!$B$4:$B$328,$B11,'06_IMPORT_ANNUAL'!$C$4:$C$328,"&gt;="&amp;'01_CONTROL'!$B$8,'06_IMPORT_ANNUAL'!$C$4:$C$328,"&lt;="&amp;'01_CONTROL'!$B$9)/COUNTIFS('06_IMPORT_ANNUAL'!$B$4:$B$328,$B11,'06_IMPORT_ANNUAL'!$C$4:$C$328,"&gt;="&amp;'01_CONTROL'!$B$8,'06_IMPORT_ANNUAL'!$C$4:$C$328,"&lt;="&amp;'01_CONTROL'!$B$9),"")</f>
        <v>0.98120677523502209</v>
      </c>
      <c r="I11" s="6">
        <f>IF(NOT(ISNUMBER(F11)),"",IF(E11="Positive",IF(F11&lt;'04_THRESHOLDS_WEIGHTS'!G11,0,IF(F11&lt;'04_THRESHOLDS_WEIGHTS'!H11,0.25+0.25*(F11-'04_THRESHOLDS_WEIGHTS'!G11)/('04_THRESHOLDS_WEIGHTS'!H11-'04_THRESHOLDS_WEIGHTS'!G11),IF(F11&lt;'04_THRESHOLDS_WEIGHTS'!I11,0.5+0.25*(F11-'04_THRESHOLDS_WEIGHTS'!H11)/('04_THRESHOLDS_WEIGHTS'!I11-'04_THRESHOLDS_WEIGHTS'!H11),IF(F11&lt;'04_THRESHOLDS_WEIGHTS'!J11,0.75+0.25*(F11-'04_THRESHOLDS_WEIGHTS'!I11)/('04_THRESHOLDS_WEIGHTS'!J11-'04_THRESHOLDS_WEIGHTS'!I11),1)))),IF(F11&gt;'04_THRESHOLDS_WEIGHTS'!G11,0,IF(F11&gt;'04_THRESHOLDS_WEIGHTS'!H11,0.25+0.25*('04_THRESHOLDS_WEIGHTS'!G11-F11)/('04_THRESHOLDS_WEIGHTS'!G11-'04_THRESHOLDS_WEIGHTS'!H11),IF(F11&gt;'04_THRESHOLDS_WEIGHTS'!I11,0.5+0.25*('04_THRESHOLDS_WEIGHTS'!H11-F11)/('04_THRESHOLDS_WEIGHTS'!H11-'04_THRESHOLDS_WEIGHTS'!I11),IF(F11&gt;'04_THRESHOLDS_WEIGHTS'!J11,0.75+0.25*('04_THRESHOLDS_WEIGHTS'!I11-F11)/('04_THRESHOLDS_WEIGHTS'!I11-'04_THRESHOLDS_WEIGHTS'!J11),1))))))</f>
        <v>1</v>
      </c>
      <c r="J11" s="6">
        <f>IF(NOT(ISNUMBER(G11)),"",IF(E11="Positive",IF(G11&lt;'04_THRESHOLDS_WEIGHTS'!G11,0,IF(G11&lt;'04_THRESHOLDS_WEIGHTS'!H11,0.25+0.25*(G11-'04_THRESHOLDS_WEIGHTS'!G11)/('04_THRESHOLDS_WEIGHTS'!H11-'04_THRESHOLDS_WEIGHTS'!G11),IF(G11&lt;'04_THRESHOLDS_WEIGHTS'!I11,0.5+0.25*(G11-'04_THRESHOLDS_WEIGHTS'!H11)/('04_THRESHOLDS_WEIGHTS'!I11-'04_THRESHOLDS_WEIGHTS'!H11),IF(G11&lt;'04_THRESHOLDS_WEIGHTS'!J11,0.75+0.25*(G11-'04_THRESHOLDS_WEIGHTS'!I11)/('04_THRESHOLDS_WEIGHTS'!J11-'04_THRESHOLDS_WEIGHTS'!I11),1)))),IF(G11&gt;'04_THRESHOLDS_WEIGHTS'!G11,0,IF(G11&gt;'04_THRESHOLDS_WEIGHTS'!H11,0.25+0.25*('04_THRESHOLDS_WEIGHTS'!G11-G11)/('04_THRESHOLDS_WEIGHTS'!G11-'04_THRESHOLDS_WEIGHTS'!H11),IF(G11&gt;'04_THRESHOLDS_WEIGHTS'!I11,0.5+0.25*('04_THRESHOLDS_WEIGHTS'!H11-G11)/('04_THRESHOLDS_WEIGHTS'!H11-'04_THRESHOLDS_WEIGHTS'!I11),IF(G11&gt;'04_THRESHOLDS_WEIGHTS'!J11,0.75+0.25*('04_THRESHOLDS_WEIGHTS'!I11-G11)/('04_THRESHOLDS_WEIGHTS'!I11-'04_THRESHOLDS_WEIGHTS'!J11),1))))))</f>
        <v>1</v>
      </c>
      <c r="K11" s="6">
        <f>IF(NOT(ISNUMBER(H11)),"",IF(E11="Positive",IF(H11&lt;'04_THRESHOLDS_WEIGHTS'!G11,0,IF(H11&lt;'04_THRESHOLDS_WEIGHTS'!H11,0.25+0.25*(H11-'04_THRESHOLDS_WEIGHTS'!G11)/('04_THRESHOLDS_WEIGHTS'!H11-'04_THRESHOLDS_WEIGHTS'!G11),IF(H11&lt;'04_THRESHOLDS_WEIGHTS'!I11,0.5+0.25*(H11-'04_THRESHOLDS_WEIGHTS'!H11)/('04_THRESHOLDS_WEIGHTS'!I11-'04_THRESHOLDS_WEIGHTS'!H11),IF(H11&lt;'04_THRESHOLDS_WEIGHTS'!J11,0.75+0.25*(H11-'04_THRESHOLDS_WEIGHTS'!I11)/('04_THRESHOLDS_WEIGHTS'!J11-'04_THRESHOLDS_WEIGHTS'!I11),1)))),IF(H11&gt;'04_THRESHOLDS_WEIGHTS'!G11,0,IF(H11&gt;'04_THRESHOLDS_WEIGHTS'!H11,0.25+0.25*('04_THRESHOLDS_WEIGHTS'!G11-H11)/('04_THRESHOLDS_WEIGHTS'!G11-'04_THRESHOLDS_WEIGHTS'!H11),IF(H11&gt;'04_THRESHOLDS_WEIGHTS'!I11,0.5+0.25*('04_THRESHOLDS_WEIGHTS'!H11-H11)/('04_THRESHOLDS_WEIGHTS'!H11-'04_THRESHOLDS_WEIGHTS'!I11),IF(H11&gt;'04_THRESHOLDS_WEIGHTS'!J11,0.75+0.25*('04_THRESHOLDS_WEIGHTS'!I11-H11)/('04_THRESHOLDS_WEIGHTS'!I11-'04_THRESHOLDS_WEIGHTS'!J11),1))))))</f>
        <v>0.97650846904377764</v>
      </c>
      <c r="L11" s="6">
        <f t="shared" si="0"/>
        <v>-2.3491530956222362E-2</v>
      </c>
      <c r="M11" s="2" t="s">
        <v>178</v>
      </c>
    </row>
    <row r="12" spans="1:13" ht="15" customHeight="1" x14ac:dyDescent="0.25">
      <c r="A12" s="3" t="s">
        <v>76</v>
      </c>
      <c r="B12" s="3" t="s">
        <v>184</v>
      </c>
      <c r="C12" s="3" t="s">
        <v>185</v>
      </c>
      <c r="D12" s="3" t="s">
        <v>186</v>
      </c>
      <c r="E12" s="3" t="s">
        <v>124</v>
      </c>
      <c r="F12" s="7">
        <f>IFERROR(SUMIFS('06_IMPORT_ANNUAL'!$D$4:$D$328,'06_IMPORT_ANNUAL'!$B$4:$B$328,$B12,'06_IMPORT_ANNUAL'!$C$4:$C$328,"&gt;="&amp;'01_CONTROL'!$B$5,'06_IMPORT_ANNUAL'!$C$4:$C$328,"&lt;="&amp;'01_CONTROL'!$B$6)/COUNTIFS('06_IMPORT_ANNUAL'!$B$4:$B$328,$B12,'06_IMPORT_ANNUAL'!$C$4:$C$328,"&gt;="&amp;'01_CONTROL'!$B$5,'06_IMPORT_ANNUAL'!$C$4:$C$328,"&lt;="&amp;'01_CONTROL'!$B$6),"")</f>
        <v>1</v>
      </c>
      <c r="G12" s="7">
        <f>IFERROR(SUMIFS('06_IMPORT_ANNUAL'!$D$4:$D$328,'06_IMPORT_ANNUAL'!$B$4:$B$328,$B12,'06_IMPORT_ANNUAL'!$C$4:$C$328,'01_CONTROL'!$B$7)/COUNTIFS('06_IMPORT_ANNUAL'!$B$4:$B$328,$B12,'06_IMPORT_ANNUAL'!$C$4:$C$328,'01_CONTROL'!$B$7),"")</f>
        <v>1</v>
      </c>
      <c r="H12" s="7">
        <f>IFERROR(SUMIFS('06_IMPORT_ANNUAL'!$D$4:$D$328,'06_IMPORT_ANNUAL'!$B$4:$B$328,$B12,'06_IMPORT_ANNUAL'!$C$4:$C$328,"&gt;="&amp;'01_CONTROL'!$B$8,'06_IMPORT_ANNUAL'!$C$4:$C$328,"&lt;="&amp;'01_CONTROL'!$B$9)/COUNTIFS('06_IMPORT_ANNUAL'!$B$4:$B$328,$B12,'06_IMPORT_ANNUAL'!$C$4:$C$328,"&gt;="&amp;'01_CONTROL'!$B$8,'06_IMPORT_ANNUAL'!$C$4:$C$328,"&lt;="&amp;'01_CONTROL'!$B$9),"")</f>
        <v>0.94288839773075939</v>
      </c>
      <c r="I12" s="6">
        <f>IF(NOT(ISNUMBER(F12)),"",IF(E12="Positive",IF(F12&lt;'04_THRESHOLDS_WEIGHTS'!G12,0,IF(F12&lt;'04_THRESHOLDS_WEIGHTS'!H12,0.25+0.25*(F12-'04_THRESHOLDS_WEIGHTS'!G12)/('04_THRESHOLDS_WEIGHTS'!H12-'04_THRESHOLDS_WEIGHTS'!G12),IF(F12&lt;'04_THRESHOLDS_WEIGHTS'!I12,0.5+0.25*(F12-'04_THRESHOLDS_WEIGHTS'!H12)/('04_THRESHOLDS_WEIGHTS'!I12-'04_THRESHOLDS_WEIGHTS'!H12),IF(F12&lt;'04_THRESHOLDS_WEIGHTS'!J12,0.75+0.25*(F12-'04_THRESHOLDS_WEIGHTS'!I12)/('04_THRESHOLDS_WEIGHTS'!J12-'04_THRESHOLDS_WEIGHTS'!I12),1)))),IF(F12&gt;'04_THRESHOLDS_WEIGHTS'!G12,0,IF(F12&gt;'04_THRESHOLDS_WEIGHTS'!H12,0.25+0.25*('04_THRESHOLDS_WEIGHTS'!G12-F12)/('04_THRESHOLDS_WEIGHTS'!G12-'04_THRESHOLDS_WEIGHTS'!H12),IF(F12&gt;'04_THRESHOLDS_WEIGHTS'!I12,0.5+0.25*('04_THRESHOLDS_WEIGHTS'!H12-F12)/('04_THRESHOLDS_WEIGHTS'!H12-'04_THRESHOLDS_WEIGHTS'!I12),IF(F12&gt;'04_THRESHOLDS_WEIGHTS'!J12,0.75+0.25*('04_THRESHOLDS_WEIGHTS'!I12-F12)/('04_THRESHOLDS_WEIGHTS'!I12-'04_THRESHOLDS_WEIGHTS'!J12),1))))))</f>
        <v>1</v>
      </c>
      <c r="J12" s="6">
        <f>IF(NOT(ISNUMBER(G12)),"",IF(E12="Positive",IF(G12&lt;'04_THRESHOLDS_WEIGHTS'!G12,0,IF(G12&lt;'04_THRESHOLDS_WEIGHTS'!H12,0.25+0.25*(G12-'04_THRESHOLDS_WEIGHTS'!G12)/('04_THRESHOLDS_WEIGHTS'!H12-'04_THRESHOLDS_WEIGHTS'!G12),IF(G12&lt;'04_THRESHOLDS_WEIGHTS'!I12,0.5+0.25*(G12-'04_THRESHOLDS_WEIGHTS'!H12)/('04_THRESHOLDS_WEIGHTS'!I12-'04_THRESHOLDS_WEIGHTS'!H12),IF(G12&lt;'04_THRESHOLDS_WEIGHTS'!J12,0.75+0.25*(G12-'04_THRESHOLDS_WEIGHTS'!I12)/('04_THRESHOLDS_WEIGHTS'!J12-'04_THRESHOLDS_WEIGHTS'!I12),1)))),IF(G12&gt;'04_THRESHOLDS_WEIGHTS'!G12,0,IF(G12&gt;'04_THRESHOLDS_WEIGHTS'!H12,0.25+0.25*('04_THRESHOLDS_WEIGHTS'!G12-G12)/('04_THRESHOLDS_WEIGHTS'!G12-'04_THRESHOLDS_WEIGHTS'!H12),IF(G12&gt;'04_THRESHOLDS_WEIGHTS'!I12,0.5+0.25*('04_THRESHOLDS_WEIGHTS'!H12-G12)/('04_THRESHOLDS_WEIGHTS'!H12-'04_THRESHOLDS_WEIGHTS'!I12),IF(G12&gt;'04_THRESHOLDS_WEIGHTS'!J12,0.75+0.25*('04_THRESHOLDS_WEIGHTS'!I12-G12)/('04_THRESHOLDS_WEIGHTS'!I12-'04_THRESHOLDS_WEIGHTS'!J12),1))))))</f>
        <v>1</v>
      </c>
      <c r="K12" s="6">
        <f>IF(NOT(ISNUMBER(H12)),"",IF(E12="Positive",IF(H12&lt;'04_THRESHOLDS_WEIGHTS'!G12,0,IF(H12&lt;'04_THRESHOLDS_WEIGHTS'!H12,0.25+0.25*(H12-'04_THRESHOLDS_WEIGHTS'!G12)/('04_THRESHOLDS_WEIGHTS'!H12-'04_THRESHOLDS_WEIGHTS'!G12),IF(H12&lt;'04_THRESHOLDS_WEIGHTS'!I12,0.5+0.25*(H12-'04_THRESHOLDS_WEIGHTS'!H12)/('04_THRESHOLDS_WEIGHTS'!I12-'04_THRESHOLDS_WEIGHTS'!H12),IF(H12&lt;'04_THRESHOLDS_WEIGHTS'!J12,0.75+0.25*(H12-'04_THRESHOLDS_WEIGHTS'!I12)/('04_THRESHOLDS_WEIGHTS'!J12-'04_THRESHOLDS_WEIGHTS'!I12),1)))),IF(H12&gt;'04_THRESHOLDS_WEIGHTS'!G12,0,IF(H12&gt;'04_THRESHOLDS_WEIGHTS'!H12,0.25+0.25*('04_THRESHOLDS_WEIGHTS'!G12-H12)/('04_THRESHOLDS_WEIGHTS'!G12-'04_THRESHOLDS_WEIGHTS'!H12),IF(H12&gt;'04_THRESHOLDS_WEIGHTS'!I12,0.5+0.25*('04_THRESHOLDS_WEIGHTS'!H12-H12)/('04_THRESHOLDS_WEIGHTS'!H12-'04_THRESHOLDS_WEIGHTS'!I12),IF(H12&gt;'04_THRESHOLDS_WEIGHTS'!J12,0.75+0.25*('04_THRESHOLDS_WEIGHTS'!I12-H12)/('04_THRESHOLDS_WEIGHTS'!I12-'04_THRESHOLDS_WEIGHTS'!J12),1))))))</f>
        <v>0.92861049716344923</v>
      </c>
      <c r="L12" s="6">
        <f t="shared" si="0"/>
        <v>-7.1389502836550767E-2</v>
      </c>
      <c r="M12" s="2" t="s">
        <v>178</v>
      </c>
    </row>
    <row r="13" spans="1:13" ht="15" customHeight="1" x14ac:dyDescent="0.25">
      <c r="A13" s="3" t="s">
        <v>76</v>
      </c>
      <c r="B13" s="3" t="s">
        <v>190</v>
      </c>
      <c r="C13" s="3" t="s">
        <v>191</v>
      </c>
      <c r="D13" s="3" t="s">
        <v>192</v>
      </c>
      <c r="E13" s="3" t="s">
        <v>124</v>
      </c>
      <c r="F13" s="7">
        <f>IFERROR(SUMIFS('06_IMPORT_ANNUAL'!$D$4:$D$328,'06_IMPORT_ANNUAL'!$B$4:$B$328,$B13,'06_IMPORT_ANNUAL'!$C$4:$C$328,"&gt;="&amp;'01_CONTROL'!$B$5,'06_IMPORT_ANNUAL'!$C$4:$C$328,"&lt;="&amp;'01_CONTROL'!$B$6)/COUNTIFS('06_IMPORT_ANNUAL'!$B$4:$B$328,$B13,'06_IMPORT_ANNUAL'!$C$4:$C$328,"&gt;="&amp;'01_CONTROL'!$B$5,'06_IMPORT_ANNUAL'!$C$4:$C$328,"&lt;="&amp;'01_CONTROL'!$B$6),"")</f>
        <v>1</v>
      </c>
      <c r="G13" s="7">
        <f>IFERROR(SUMIFS('06_IMPORT_ANNUAL'!$D$4:$D$328,'06_IMPORT_ANNUAL'!$B$4:$B$328,$B13,'06_IMPORT_ANNUAL'!$C$4:$C$328,'01_CONTROL'!$B$7)/COUNTIFS('06_IMPORT_ANNUAL'!$B$4:$B$328,$B13,'06_IMPORT_ANNUAL'!$C$4:$C$328,'01_CONTROL'!$B$7),"")</f>
        <v>1</v>
      </c>
      <c r="H13" s="7">
        <f>IFERROR(SUMIFS('06_IMPORT_ANNUAL'!$D$4:$D$328,'06_IMPORT_ANNUAL'!$B$4:$B$328,$B13,'06_IMPORT_ANNUAL'!$C$4:$C$328,"&gt;="&amp;'01_CONTROL'!$B$8,'06_IMPORT_ANNUAL'!$C$4:$C$328,"&lt;="&amp;'01_CONTROL'!$B$9)/COUNTIFS('06_IMPORT_ANNUAL'!$B$4:$B$328,$B13,'06_IMPORT_ANNUAL'!$C$4:$C$328,"&gt;="&amp;'01_CONTROL'!$B$8,'06_IMPORT_ANNUAL'!$C$4:$C$328,"&lt;="&amp;'01_CONTROL'!$B$9),"")</f>
        <v>0.95833333333333326</v>
      </c>
      <c r="I13" s="6">
        <f>IF(NOT(ISNUMBER(F13)),"",IF(E13="Positive",IF(F13&lt;'04_THRESHOLDS_WEIGHTS'!G13,0,IF(F13&lt;'04_THRESHOLDS_WEIGHTS'!H13,0.25+0.25*(F13-'04_THRESHOLDS_WEIGHTS'!G13)/('04_THRESHOLDS_WEIGHTS'!H13-'04_THRESHOLDS_WEIGHTS'!G13),IF(F13&lt;'04_THRESHOLDS_WEIGHTS'!I13,0.5+0.25*(F13-'04_THRESHOLDS_WEIGHTS'!H13)/('04_THRESHOLDS_WEIGHTS'!I13-'04_THRESHOLDS_WEIGHTS'!H13),IF(F13&lt;'04_THRESHOLDS_WEIGHTS'!J13,0.75+0.25*(F13-'04_THRESHOLDS_WEIGHTS'!I13)/('04_THRESHOLDS_WEIGHTS'!J13-'04_THRESHOLDS_WEIGHTS'!I13),1)))),IF(F13&gt;'04_THRESHOLDS_WEIGHTS'!G13,0,IF(F13&gt;'04_THRESHOLDS_WEIGHTS'!H13,0.25+0.25*('04_THRESHOLDS_WEIGHTS'!G13-F13)/('04_THRESHOLDS_WEIGHTS'!G13-'04_THRESHOLDS_WEIGHTS'!H13),IF(F13&gt;'04_THRESHOLDS_WEIGHTS'!I13,0.5+0.25*('04_THRESHOLDS_WEIGHTS'!H13-F13)/('04_THRESHOLDS_WEIGHTS'!H13-'04_THRESHOLDS_WEIGHTS'!I13),IF(F13&gt;'04_THRESHOLDS_WEIGHTS'!J13,0.75+0.25*('04_THRESHOLDS_WEIGHTS'!I13-F13)/('04_THRESHOLDS_WEIGHTS'!I13-'04_THRESHOLDS_WEIGHTS'!J13),1))))))</f>
        <v>1</v>
      </c>
      <c r="J13" s="6">
        <f>IF(NOT(ISNUMBER(G13)),"",IF(E13="Positive",IF(G13&lt;'04_THRESHOLDS_WEIGHTS'!G13,0,IF(G13&lt;'04_THRESHOLDS_WEIGHTS'!H13,0.25+0.25*(G13-'04_THRESHOLDS_WEIGHTS'!G13)/('04_THRESHOLDS_WEIGHTS'!H13-'04_THRESHOLDS_WEIGHTS'!G13),IF(G13&lt;'04_THRESHOLDS_WEIGHTS'!I13,0.5+0.25*(G13-'04_THRESHOLDS_WEIGHTS'!H13)/('04_THRESHOLDS_WEIGHTS'!I13-'04_THRESHOLDS_WEIGHTS'!H13),IF(G13&lt;'04_THRESHOLDS_WEIGHTS'!J13,0.75+0.25*(G13-'04_THRESHOLDS_WEIGHTS'!I13)/('04_THRESHOLDS_WEIGHTS'!J13-'04_THRESHOLDS_WEIGHTS'!I13),1)))),IF(G13&gt;'04_THRESHOLDS_WEIGHTS'!G13,0,IF(G13&gt;'04_THRESHOLDS_WEIGHTS'!H13,0.25+0.25*('04_THRESHOLDS_WEIGHTS'!G13-G13)/('04_THRESHOLDS_WEIGHTS'!G13-'04_THRESHOLDS_WEIGHTS'!H13),IF(G13&gt;'04_THRESHOLDS_WEIGHTS'!I13,0.5+0.25*('04_THRESHOLDS_WEIGHTS'!H13-G13)/('04_THRESHOLDS_WEIGHTS'!H13-'04_THRESHOLDS_WEIGHTS'!I13),IF(G13&gt;'04_THRESHOLDS_WEIGHTS'!J13,0.75+0.25*('04_THRESHOLDS_WEIGHTS'!I13-G13)/('04_THRESHOLDS_WEIGHTS'!I13-'04_THRESHOLDS_WEIGHTS'!J13),1))))))</f>
        <v>1</v>
      </c>
      <c r="K13" s="6">
        <f>IF(NOT(ISNUMBER(H13)),"",IF(E13="Positive",IF(H13&lt;'04_THRESHOLDS_WEIGHTS'!G13,0,IF(H13&lt;'04_THRESHOLDS_WEIGHTS'!H13,0.25+0.25*(H13-'04_THRESHOLDS_WEIGHTS'!G13)/('04_THRESHOLDS_WEIGHTS'!H13-'04_THRESHOLDS_WEIGHTS'!G13),IF(H13&lt;'04_THRESHOLDS_WEIGHTS'!I13,0.5+0.25*(H13-'04_THRESHOLDS_WEIGHTS'!H13)/('04_THRESHOLDS_WEIGHTS'!I13-'04_THRESHOLDS_WEIGHTS'!H13),IF(H13&lt;'04_THRESHOLDS_WEIGHTS'!J13,0.75+0.25*(H13-'04_THRESHOLDS_WEIGHTS'!I13)/('04_THRESHOLDS_WEIGHTS'!J13-'04_THRESHOLDS_WEIGHTS'!I13),1)))),IF(H13&gt;'04_THRESHOLDS_WEIGHTS'!G13,0,IF(H13&gt;'04_THRESHOLDS_WEIGHTS'!H13,0.25+0.25*('04_THRESHOLDS_WEIGHTS'!G13-H13)/('04_THRESHOLDS_WEIGHTS'!G13-'04_THRESHOLDS_WEIGHTS'!H13),IF(H13&gt;'04_THRESHOLDS_WEIGHTS'!I13,0.5+0.25*('04_THRESHOLDS_WEIGHTS'!H13-H13)/('04_THRESHOLDS_WEIGHTS'!H13-'04_THRESHOLDS_WEIGHTS'!I13),IF(H13&gt;'04_THRESHOLDS_WEIGHTS'!J13,0.75+0.25*('04_THRESHOLDS_WEIGHTS'!I13-H13)/('04_THRESHOLDS_WEIGHTS'!I13-'04_THRESHOLDS_WEIGHTS'!J13),1))))))</f>
        <v>0.95833333333333326</v>
      </c>
      <c r="L13" s="6">
        <f t="shared" si="0"/>
        <v>-4.1666666666666741E-2</v>
      </c>
      <c r="M13" s="2" t="s">
        <v>178</v>
      </c>
    </row>
    <row r="14" spans="1:13" ht="15" customHeight="1" x14ac:dyDescent="0.25">
      <c r="A14" s="3" t="s">
        <v>76</v>
      </c>
      <c r="B14" s="3" t="s">
        <v>196</v>
      </c>
      <c r="C14" s="3" t="s">
        <v>197</v>
      </c>
      <c r="D14" s="3" t="s">
        <v>198</v>
      </c>
      <c r="E14" s="3" t="s">
        <v>141</v>
      </c>
      <c r="F14" s="7">
        <f>IFERROR(SUMIFS('06_IMPORT_ANNUAL'!$D$4:$D$328,'06_IMPORT_ANNUAL'!$B$4:$B$328,$B14,'06_IMPORT_ANNUAL'!$C$4:$C$328,"&gt;="&amp;'01_CONTROL'!$B$5,'06_IMPORT_ANNUAL'!$C$4:$C$328,"&lt;="&amp;'01_CONTROL'!$B$6)/COUNTIFS('06_IMPORT_ANNUAL'!$B$4:$B$328,$B14,'06_IMPORT_ANNUAL'!$C$4:$C$328,"&gt;="&amp;'01_CONTROL'!$B$5,'06_IMPORT_ANNUAL'!$C$4:$C$328,"&lt;="&amp;'01_CONTROL'!$B$6),"")</f>
        <v>0</v>
      </c>
      <c r="G14" s="7">
        <f>IFERROR(SUMIFS('06_IMPORT_ANNUAL'!$D$4:$D$328,'06_IMPORT_ANNUAL'!$B$4:$B$328,$B14,'06_IMPORT_ANNUAL'!$C$4:$C$328,'01_CONTROL'!$B$7)/COUNTIFS('06_IMPORT_ANNUAL'!$B$4:$B$328,$B14,'06_IMPORT_ANNUAL'!$C$4:$C$328,'01_CONTROL'!$B$7),"")</f>
        <v>0</v>
      </c>
      <c r="H14" s="7">
        <f>IFERROR(SUMIFS('06_IMPORT_ANNUAL'!$D$4:$D$328,'06_IMPORT_ANNUAL'!$B$4:$B$328,$B14,'06_IMPORT_ANNUAL'!$C$4:$C$328,"&gt;="&amp;'01_CONTROL'!$B$8,'06_IMPORT_ANNUAL'!$C$4:$C$328,"&lt;="&amp;'01_CONTROL'!$B$9)/COUNTIFS('06_IMPORT_ANNUAL'!$B$4:$B$328,$B14,'06_IMPORT_ANNUAL'!$C$4:$C$328,"&gt;="&amp;'01_CONTROL'!$B$8,'06_IMPORT_ANNUAL'!$C$4:$C$328,"&lt;="&amp;'01_CONTROL'!$B$9),"")</f>
        <v>0</v>
      </c>
      <c r="I14" s="6">
        <f>IF(NOT(ISNUMBER(F14)),"",IF(E14="Positive",IF(F14&lt;'04_THRESHOLDS_WEIGHTS'!G14,0,IF(F14&lt;'04_THRESHOLDS_WEIGHTS'!H14,0.25+0.25*(F14-'04_THRESHOLDS_WEIGHTS'!G14)/('04_THRESHOLDS_WEIGHTS'!H14-'04_THRESHOLDS_WEIGHTS'!G14),IF(F14&lt;'04_THRESHOLDS_WEIGHTS'!I14,0.5+0.25*(F14-'04_THRESHOLDS_WEIGHTS'!H14)/('04_THRESHOLDS_WEIGHTS'!I14-'04_THRESHOLDS_WEIGHTS'!H14),IF(F14&lt;'04_THRESHOLDS_WEIGHTS'!J14,0.75+0.25*(F14-'04_THRESHOLDS_WEIGHTS'!I14)/('04_THRESHOLDS_WEIGHTS'!J14-'04_THRESHOLDS_WEIGHTS'!I14),1)))),IF(F14&gt;'04_THRESHOLDS_WEIGHTS'!G14,0,IF(F14&gt;'04_THRESHOLDS_WEIGHTS'!H14,0.25+0.25*('04_THRESHOLDS_WEIGHTS'!G14-F14)/('04_THRESHOLDS_WEIGHTS'!G14-'04_THRESHOLDS_WEIGHTS'!H14),IF(F14&gt;'04_THRESHOLDS_WEIGHTS'!I14,0.5+0.25*('04_THRESHOLDS_WEIGHTS'!H14-F14)/('04_THRESHOLDS_WEIGHTS'!H14-'04_THRESHOLDS_WEIGHTS'!I14),IF(F14&gt;'04_THRESHOLDS_WEIGHTS'!J14,0.75+0.25*('04_THRESHOLDS_WEIGHTS'!I14-F14)/('04_THRESHOLDS_WEIGHTS'!I14-'04_THRESHOLDS_WEIGHTS'!J14),1))))))</f>
        <v>1</v>
      </c>
      <c r="J14" s="6">
        <f>IF(NOT(ISNUMBER(G14)),"",IF(E14="Positive",IF(G14&lt;'04_THRESHOLDS_WEIGHTS'!G14,0,IF(G14&lt;'04_THRESHOLDS_WEIGHTS'!H14,0.25+0.25*(G14-'04_THRESHOLDS_WEIGHTS'!G14)/('04_THRESHOLDS_WEIGHTS'!H14-'04_THRESHOLDS_WEIGHTS'!G14),IF(G14&lt;'04_THRESHOLDS_WEIGHTS'!I14,0.5+0.25*(G14-'04_THRESHOLDS_WEIGHTS'!H14)/('04_THRESHOLDS_WEIGHTS'!I14-'04_THRESHOLDS_WEIGHTS'!H14),IF(G14&lt;'04_THRESHOLDS_WEIGHTS'!J14,0.75+0.25*(G14-'04_THRESHOLDS_WEIGHTS'!I14)/('04_THRESHOLDS_WEIGHTS'!J14-'04_THRESHOLDS_WEIGHTS'!I14),1)))),IF(G14&gt;'04_THRESHOLDS_WEIGHTS'!G14,0,IF(G14&gt;'04_THRESHOLDS_WEIGHTS'!H14,0.25+0.25*('04_THRESHOLDS_WEIGHTS'!G14-G14)/('04_THRESHOLDS_WEIGHTS'!G14-'04_THRESHOLDS_WEIGHTS'!H14),IF(G14&gt;'04_THRESHOLDS_WEIGHTS'!I14,0.5+0.25*('04_THRESHOLDS_WEIGHTS'!H14-G14)/('04_THRESHOLDS_WEIGHTS'!H14-'04_THRESHOLDS_WEIGHTS'!I14),IF(G14&gt;'04_THRESHOLDS_WEIGHTS'!J14,0.75+0.25*('04_THRESHOLDS_WEIGHTS'!I14-G14)/('04_THRESHOLDS_WEIGHTS'!I14-'04_THRESHOLDS_WEIGHTS'!J14),1))))))</f>
        <v>1</v>
      </c>
      <c r="K14" s="6">
        <f>IF(NOT(ISNUMBER(H14)),"",IF(E14="Positive",IF(H14&lt;'04_THRESHOLDS_WEIGHTS'!G14,0,IF(H14&lt;'04_THRESHOLDS_WEIGHTS'!H14,0.25+0.25*(H14-'04_THRESHOLDS_WEIGHTS'!G14)/('04_THRESHOLDS_WEIGHTS'!H14-'04_THRESHOLDS_WEIGHTS'!G14),IF(H14&lt;'04_THRESHOLDS_WEIGHTS'!I14,0.5+0.25*(H14-'04_THRESHOLDS_WEIGHTS'!H14)/('04_THRESHOLDS_WEIGHTS'!I14-'04_THRESHOLDS_WEIGHTS'!H14),IF(H14&lt;'04_THRESHOLDS_WEIGHTS'!J14,0.75+0.25*(H14-'04_THRESHOLDS_WEIGHTS'!I14)/('04_THRESHOLDS_WEIGHTS'!J14-'04_THRESHOLDS_WEIGHTS'!I14),1)))),IF(H14&gt;'04_THRESHOLDS_WEIGHTS'!G14,0,IF(H14&gt;'04_THRESHOLDS_WEIGHTS'!H14,0.25+0.25*('04_THRESHOLDS_WEIGHTS'!G14-H14)/('04_THRESHOLDS_WEIGHTS'!G14-'04_THRESHOLDS_WEIGHTS'!H14),IF(H14&gt;'04_THRESHOLDS_WEIGHTS'!I14,0.5+0.25*('04_THRESHOLDS_WEIGHTS'!H14-H14)/('04_THRESHOLDS_WEIGHTS'!H14-'04_THRESHOLDS_WEIGHTS'!I14),IF(H14&gt;'04_THRESHOLDS_WEIGHTS'!J14,0.75+0.25*('04_THRESHOLDS_WEIGHTS'!I14-H14)/('04_THRESHOLDS_WEIGHTS'!I14-'04_THRESHOLDS_WEIGHTS'!J14),1))))))</f>
        <v>1</v>
      </c>
      <c r="L14" s="6">
        <f t="shared" si="0"/>
        <v>0</v>
      </c>
      <c r="M14" s="2" t="s">
        <v>178</v>
      </c>
    </row>
    <row r="15" spans="1:13" ht="15" customHeight="1" x14ac:dyDescent="0.25">
      <c r="A15" s="3" t="s">
        <v>82</v>
      </c>
      <c r="B15" s="3" t="s">
        <v>202</v>
      </c>
      <c r="C15" s="3" t="s">
        <v>203</v>
      </c>
      <c r="D15" s="3" t="s">
        <v>204</v>
      </c>
      <c r="E15" s="3" t="s">
        <v>124</v>
      </c>
      <c r="F15" s="7">
        <f>IFERROR(SUMIFS('06_IMPORT_ANNUAL'!$D$4:$D$328,'06_IMPORT_ANNUAL'!$B$4:$B$328,$B15,'06_IMPORT_ANNUAL'!$C$4:$C$328,"&gt;="&amp;'01_CONTROL'!$B$5,'06_IMPORT_ANNUAL'!$C$4:$C$328,"&lt;="&amp;'01_CONTROL'!$B$6)/COUNTIFS('06_IMPORT_ANNUAL'!$B$4:$B$328,$B15,'06_IMPORT_ANNUAL'!$C$4:$C$328,"&gt;="&amp;'01_CONTROL'!$B$5,'06_IMPORT_ANNUAL'!$C$4:$C$328,"&lt;="&amp;'01_CONTROL'!$B$6),"")</f>
        <v>0.97558958837772403</v>
      </c>
      <c r="G15" s="7">
        <f>IFERROR(SUMIFS('06_IMPORT_ANNUAL'!$D$4:$D$328,'06_IMPORT_ANNUAL'!$B$4:$B$328,$B15,'06_IMPORT_ANNUAL'!$C$4:$C$328,'01_CONTROL'!$B$7)/COUNTIFS('06_IMPORT_ANNUAL'!$B$4:$B$328,$B15,'06_IMPORT_ANNUAL'!$C$4:$C$328,'01_CONTROL'!$B$7),"")</f>
        <v>0.97512106537530263</v>
      </c>
      <c r="H15" s="7">
        <f>IFERROR(SUMIFS('06_IMPORT_ANNUAL'!$D$4:$D$328,'06_IMPORT_ANNUAL'!$B$4:$B$328,$B15,'06_IMPORT_ANNUAL'!$C$4:$C$328,"&gt;="&amp;'01_CONTROL'!$B$8,'06_IMPORT_ANNUAL'!$C$4:$C$328,"&lt;="&amp;'01_CONTROL'!$B$9)/COUNTIFS('06_IMPORT_ANNUAL'!$B$4:$B$328,$B15,'06_IMPORT_ANNUAL'!$C$4:$C$328,"&gt;="&amp;'01_CONTROL'!$B$8,'06_IMPORT_ANNUAL'!$C$4:$C$328,"&lt;="&amp;'01_CONTROL'!$B$9),"")</f>
        <v>0.99166722972972976</v>
      </c>
      <c r="I15" s="6">
        <f>IF(NOT(ISNUMBER(F15)),"",IF(E15="Positive",IF(F15&lt;'04_THRESHOLDS_WEIGHTS'!G15,0,IF(F15&lt;'04_THRESHOLDS_WEIGHTS'!H15,0.25+0.25*(F15-'04_THRESHOLDS_WEIGHTS'!G15)/('04_THRESHOLDS_WEIGHTS'!H15-'04_THRESHOLDS_WEIGHTS'!G15),IF(F15&lt;'04_THRESHOLDS_WEIGHTS'!I15,0.5+0.25*(F15-'04_THRESHOLDS_WEIGHTS'!H15)/('04_THRESHOLDS_WEIGHTS'!I15-'04_THRESHOLDS_WEIGHTS'!H15),IF(F15&lt;'04_THRESHOLDS_WEIGHTS'!J15,0.75+0.25*(F15-'04_THRESHOLDS_WEIGHTS'!I15)/('04_THRESHOLDS_WEIGHTS'!J15-'04_THRESHOLDS_WEIGHTS'!I15),1)))),IF(F15&gt;'04_THRESHOLDS_WEIGHTS'!G15,0,IF(F15&gt;'04_THRESHOLDS_WEIGHTS'!H15,0.25+0.25*('04_THRESHOLDS_WEIGHTS'!G15-F15)/('04_THRESHOLDS_WEIGHTS'!G15-'04_THRESHOLDS_WEIGHTS'!H15),IF(F15&gt;'04_THRESHOLDS_WEIGHTS'!I15,0.5+0.25*('04_THRESHOLDS_WEIGHTS'!H15-F15)/('04_THRESHOLDS_WEIGHTS'!H15-'04_THRESHOLDS_WEIGHTS'!I15),IF(F15&gt;'04_THRESHOLDS_WEIGHTS'!J15,0.75+0.25*('04_THRESHOLDS_WEIGHTS'!I15-F15)/('04_THRESHOLDS_WEIGHTS'!I15-'04_THRESHOLDS_WEIGHTS'!J15),1))))))</f>
        <v>0.95931598062954004</v>
      </c>
      <c r="J15" s="6">
        <f>IF(NOT(ISNUMBER(G15)),"",IF(E15="Positive",IF(G15&lt;'04_THRESHOLDS_WEIGHTS'!G15,0,IF(G15&lt;'04_THRESHOLDS_WEIGHTS'!H15,0.25+0.25*(G15-'04_THRESHOLDS_WEIGHTS'!G15)/('04_THRESHOLDS_WEIGHTS'!H15-'04_THRESHOLDS_WEIGHTS'!G15),IF(G15&lt;'04_THRESHOLDS_WEIGHTS'!I15,0.5+0.25*(G15-'04_THRESHOLDS_WEIGHTS'!H15)/('04_THRESHOLDS_WEIGHTS'!I15-'04_THRESHOLDS_WEIGHTS'!H15),IF(G15&lt;'04_THRESHOLDS_WEIGHTS'!J15,0.75+0.25*(G15-'04_THRESHOLDS_WEIGHTS'!I15)/('04_THRESHOLDS_WEIGHTS'!J15-'04_THRESHOLDS_WEIGHTS'!I15),1)))),IF(G15&gt;'04_THRESHOLDS_WEIGHTS'!G15,0,IF(G15&gt;'04_THRESHOLDS_WEIGHTS'!H15,0.25+0.25*('04_THRESHOLDS_WEIGHTS'!G15-G15)/('04_THRESHOLDS_WEIGHTS'!G15-'04_THRESHOLDS_WEIGHTS'!H15),IF(G15&gt;'04_THRESHOLDS_WEIGHTS'!I15,0.5+0.25*('04_THRESHOLDS_WEIGHTS'!H15-G15)/('04_THRESHOLDS_WEIGHTS'!H15-'04_THRESHOLDS_WEIGHTS'!I15),IF(G15&gt;'04_THRESHOLDS_WEIGHTS'!J15,0.75+0.25*('04_THRESHOLDS_WEIGHTS'!I15-G15)/('04_THRESHOLDS_WEIGHTS'!I15-'04_THRESHOLDS_WEIGHTS'!J15),1))))))</f>
        <v>0.95853510895883776</v>
      </c>
      <c r="K15" s="6">
        <f>IF(NOT(ISNUMBER(H15)),"",IF(E15="Positive",IF(H15&lt;'04_THRESHOLDS_WEIGHTS'!G15,0,IF(H15&lt;'04_THRESHOLDS_WEIGHTS'!H15,0.25+0.25*(H15-'04_THRESHOLDS_WEIGHTS'!G15)/('04_THRESHOLDS_WEIGHTS'!H15-'04_THRESHOLDS_WEIGHTS'!G15),IF(H15&lt;'04_THRESHOLDS_WEIGHTS'!I15,0.5+0.25*(H15-'04_THRESHOLDS_WEIGHTS'!H15)/('04_THRESHOLDS_WEIGHTS'!I15-'04_THRESHOLDS_WEIGHTS'!H15),IF(H15&lt;'04_THRESHOLDS_WEIGHTS'!J15,0.75+0.25*(H15-'04_THRESHOLDS_WEIGHTS'!I15)/('04_THRESHOLDS_WEIGHTS'!J15-'04_THRESHOLDS_WEIGHTS'!I15),1)))),IF(H15&gt;'04_THRESHOLDS_WEIGHTS'!G15,0,IF(H15&gt;'04_THRESHOLDS_WEIGHTS'!H15,0.25+0.25*('04_THRESHOLDS_WEIGHTS'!G15-H15)/('04_THRESHOLDS_WEIGHTS'!G15-'04_THRESHOLDS_WEIGHTS'!H15),IF(H15&gt;'04_THRESHOLDS_WEIGHTS'!I15,0.5+0.25*('04_THRESHOLDS_WEIGHTS'!H15-H15)/('04_THRESHOLDS_WEIGHTS'!H15-'04_THRESHOLDS_WEIGHTS'!I15),IF(H15&gt;'04_THRESHOLDS_WEIGHTS'!J15,0.75+0.25*('04_THRESHOLDS_WEIGHTS'!I15-H15)/('04_THRESHOLDS_WEIGHTS'!I15-'04_THRESHOLDS_WEIGHTS'!J15),1))))))</f>
        <v>0.98611204954954956</v>
      </c>
      <c r="L15" s="6">
        <f t="shared" si="0"/>
        <v>2.6796068920009519E-2</v>
      </c>
      <c r="M15" s="2" t="s">
        <v>178</v>
      </c>
    </row>
    <row r="16" spans="1:13" ht="15" customHeight="1" x14ac:dyDescent="0.25">
      <c r="A16" s="3" t="s">
        <v>82</v>
      </c>
      <c r="B16" s="3" t="s">
        <v>210</v>
      </c>
      <c r="C16" s="3" t="s">
        <v>211</v>
      </c>
      <c r="D16" s="3" t="s">
        <v>204</v>
      </c>
      <c r="E16" s="3" t="s">
        <v>124</v>
      </c>
      <c r="F16" s="7">
        <f>IFERROR(SUMIFS('06_IMPORT_ANNUAL'!$D$4:$D$328,'06_IMPORT_ANNUAL'!$B$4:$B$328,$B16,'06_IMPORT_ANNUAL'!$C$4:$C$328,"&gt;="&amp;'01_CONTROL'!$B$5,'06_IMPORT_ANNUAL'!$C$4:$C$328,"&lt;="&amp;'01_CONTROL'!$B$6)/COUNTIFS('06_IMPORT_ANNUAL'!$B$4:$B$328,$B16,'06_IMPORT_ANNUAL'!$C$4:$C$328,"&gt;="&amp;'01_CONTROL'!$B$5,'06_IMPORT_ANNUAL'!$C$4:$C$328,"&lt;="&amp;'01_CONTROL'!$B$6),"")</f>
        <v>0.96075949367088609</v>
      </c>
      <c r="G16" s="7">
        <f>IFERROR(SUMIFS('06_IMPORT_ANNUAL'!$D$4:$D$328,'06_IMPORT_ANNUAL'!$B$4:$B$328,$B16,'06_IMPORT_ANNUAL'!$C$4:$C$328,'01_CONTROL'!$B$7)/COUNTIFS('06_IMPORT_ANNUAL'!$B$4:$B$328,$B16,'06_IMPORT_ANNUAL'!$C$4:$C$328,'01_CONTROL'!$B$7),"")</f>
        <v>0.96202531645569622</v>
      </c>
      <c r="H16" s="7">
        <f>IFERROR(SUMIFS('06_IMPORT_ANNUAL'!$D$4:$D$328,'06_IMPORT_ANNUAL'!$B$4:$B$328,$B16,'06_IMPORT_ANNUAL'!$C$4:$C$328,"&gt;="&amp;'01_CONTROL'!$B$8,'06_IMPORT_ANNUAL'!$C$4:$C$328,"&lt;="&amp;'01_CONTROL'!$B$9)/COUNTIFS('06_IMPORT_ANNUAL'!$B$4:$B$328,$B16,'06_IMPORT_ANNUAL'!$C$4:$C$328,"&gt;="&amp;'01_CONTROL'!$B$8,'06_IMPORT_ANNUAL'!$C$4:$C$328,"&lt;="&amp;'01_CONTROL'!$B$9),"")</f>
        <v>0.955078125</v>
      </c>
      <c r="I16" s="6">
        <f>IF(NOT(ISNUMBER(F16)),"",IF(E16="Positive",IF(F16&lt;'04_THRESHOLDS_WEIGHTS'!G16,0,IF(F16&lt;'04_THRESHOLDS_WEIGHTS'!H16,0.25+0.25*(F16-'04_THRESHOLDS_WEIGHTS'!G16)/('04_THRESHOLDS_WEIGHTS'!H16-'04_THRESHOLDS_WEIGHTS'!G16),IF(F16&lt;'04_THRESHOLDS_WEIGHTS'!I16,0.5+0.25*(F16-'04_THRESHOLDS_WEIGHTS'!H16)/('04_THRESHOLDS_WEIGHTS'!I16-'04_THRESHOLDS_WEIGHTS'!H16),IF(F16&lt;'04_THRESHOLDS_WEIGHTS'!J16,0.75+0.25*(F16-'04_THRESHOLDS_WEIGHTS'!I16)/('04_THRESHOLDS_WEIGHTS'!J16-'04_THRESHOLDS_WEIGHTS'!I16),1)))),IF(F16&gt;'04_THRESHOLDS_WEIGHTS'!G16,0,IF(F16&gt;'04_THRESHOLDS_WEIGHTS'!H16,0.25+0.25*('04_THRESHOLDS_WEIGHTS'!G16-F16)/('04_THRESHOLDS_WEIGHTS'!G16-'04_THRESHOLDS_WEIGHTS'!H16),IF(F16&gt;'04_THRESHOLDS_WEIGHTS'!I16,0.5+0.25*('04_THRESHOLDS_WEIGHTS'!H16-F16)/('04_THRESHOLDS_WEIGHTS'!H16-'04_THRESHOLDS_WEIGHTS'!I16),IF(F16&gt;'04_THRESHOLDS_WEIGHTS'!J16,0.75+0.25*('04_THRESHOLDS_WEIGHTS'!I16-F16)/('04_THRESHOLDS_WEIGHTS'!I16-'04_THRESHOLDS_WEIGHTS'!J16),1))))))</f>
        <v>0.93459915611814348</v>
      </c>
      <c r="J16" s="6">
        <f>IF(NOT(ISNUMBER(G16)),"",IF(E16="Positive",IF(G16&lt;'04_THRESHOLDS_WEIGHTS'!G16,0,IF(G16&lt;'04_THRESHOLDS_WEIGHTS'!H16,0.25+0.25*(G16-'04_THRESHOLDS_WEIGHTS'!G16)/('04_THRESHOLDS_WEIGHTS'!H16-'04_THRESHOLDS_WEIGHTS'!G16),IF(G16&lt;'04_THRESHOLDS_WEIGHTS'!I16,0.5+0.25*(G16-'04_THRESHOLDS_WEIGHTS'!H16)/('04_THRESHOLDS_WEIGHTS'!I16-'04_THRESHOLDS_WEIGHTS'!H16),IF(G16&lt;'04_THRESHOLDS_WEIGHTS'!J16,0.75+0.25*(G16-'04_THRESHOLDS_WEIGHTS'!I16)/('04_THRESHOLDS_WEIGHTS'!J16-'04_THRESHOLDS_WEIGHTS'!I16),1)))),IF(G16&gt;'04_THRESHOLDS_WEIGHTS'!G16,0,IF(G16&gt;'04_THRESHOLDS_WEIGHTS'!H16,0.25+0.25*('04_THRESHOLDS_WEIGHTS'!G16-G16)/('04_THRESHOLDS_WEIGHTS'!G16-'04_THRESHOLDS_WEIGHTS'!H16),IF(G16&gt;'04_THRESHOLDS_WEIGHTS'!I16,0.5+0.25*('04_THRESHOLDS_WEIGHTS'!H16-G16)/('04_THRESHOLDS_WEIGHTS'!H16-'04_THRESHOLDS_WEIGHTS'!I16),IF(G16&gt;'04_THRESHOLDS_WEIGHTS'!J16,0.75+0.25*('04_THRESHOLDS_WEIGHTS'!I16-G16)/('04_THRESHOLDS_WEIGHTS'!I16-'04_THRESHOLDS_WEIGHTS'!J16),1))))))</f>
        <v>0.93670886075949378</v>
      </c>
      <c r="K16" s="6">
        <f>IF(NOT(ISNUMBER(H16)),"",IF(E16="Positive",IF(H16&lt;'04_THRESHOLDS_WEIGHTS'!G16,0,IF(H16&lt;'04_THRESHOLDS_WEIGHTS'!H16,0.25+0.25*(H16-'04_THRESHOLDS_WEIGHTS'!G16)/('04_THRESHOLDS_WEIGHTS'!H16-'04_THRESHOLDS_WEIGHTS'!G16),IF(H16&lt;'04_THRESHOLDS_WEIGHTS'!I16,0.5+0.25*(H16-'04_THRESHOLDS_WEIGHTS'!H16)/('04_THRESHOLDS_WEIGHTS'!I16-'04_THRESHOLDS_WEIGHTS'!H16),IF(H16&lt;'04_THRESHOLDS_WEIGHTS'!J16,0.75+0.25*(H16-'04_THRESHOLDS_WEIGHTS'!I16)/('04_THRESHOLDS_WEIGHTS'!J16-'04_THRESHOLDS_WEIGHTS'!I16),1)))),IF(H16&gt;'04_THRESHOLDS_WEIGHTS'!G16,0,IF(H16&gt;'04_THRESHOLDS_WEIGHTS'!H16,0.25+0.25*('04_THRESHOLDS_WEIGHTS'!G16-H16)/('04_THRESHOLDS_WEIGHTS'!G16-'04_THRESHOLDS_WEIGHTS'!H16),IF(H16&gt;'04_THRESHOLDS_WEIGHTS'!I16,0.5+0.25*('04_THRESHOLDS_WEIGHTS'!H16-H16)/('04_THRESHOLDS_WEIGHTS'!H16-'04_THRESHOLDS_WEIGHTS'!I16),IF(H16&gt;'04_THRESHOLDS_WEIGHTS'!J16,0.75+0.25*('04_THRESHOLDS_WEIGHTS'!I16-H16)/('04_THRESHOLDS_WEIGHTS'!I16-'04_THRESHOLDS_WEIGHTS'!J16),1))))))</f>
        <v>0.92513020833333337</v>
      </c>
      <c r="L16" s="6">
        <f t="shared" si="0"/>
        <v>-9.4689477848101111E-3</v>
      </c>
      <c r="M16" s="2" t="s">
        <v>178</v>
      </c>
    </row>
    <row r="17" spans="1:13" ht="15" customHeight="1" x14ac:dyDescent="0.25">
      <c r="A17" s="3" t="s">
        <v>82</v>
      </c>
      <c r="B17" s="3" t="s">
        <v>215</v>
      </c>
      <c r="C17" s="3" t="s">
        <v>216</v>
      </c>
      <c r="D17" s="3" t="s">
        <v>218</v>
      </c>
      <c r="E17" s="3" t="s">
        <v>141</v>
      </c>
      <c r="F17" s="7">
        <f>IFERROR(SUMIFS('06_IMPORT_ANNUAL'!$D$4:$D$328,'06_IMPORT_ANNUAL'!$B$4:$B$328,$B17,'06_IMPORT_ANNUAL'!$C$4:$C$328,"&gt;="&amp;'01_CONTROL'!$B$5,'06_IMPORT_ANNUAL'!$C$4:$C$328,"&lt;="&amp;'01_CONTROL'!$B$6)/COUNTIFS('06_IMPORT_ANNUAL'!$B$4:$B$328,$B17,'06_IMPORT_ANNUAL'!$C$4:$C$328,"&gt;="&amp;'01_CONTROL'!$B$5,'06_IMPORT_ANNUAL'!$C$4:$C$328,"&lt;="&amp;'01_CONTROL'!$B$6),"")</f>
        <v>0.62196721539189848</v>
      </c>
      <c r="G17" s="7">
        <f>IFERROR(SUMIFS('06_IMPORT_ANNUAL'!$D$4:$D$328,'06_IMPORT_ANNUAL'!$B$4:$B$328,$B17,'06_IMPORT_ANNUAL'!$C$4:$C$328,'01_CONTROL'!$B$7)/COUNTIFS('06_IMPORT_ANNUAL'!$B$4:$B$328,$B17,'06_IMPORT_ANNUAL'!$C$4:$C$328,'01_CONTROL'!$B$7),"")</f>
        <v>0.63629196442602565</v>
      </c>
      <c r="H17" s="7">
        <f>IFERROR(SUMIFS('06_IMPORT_ANNUAL'!$D$4:$D$328,'06_IMPORT_ANNUAL'!$B$4:$B$328,$B17,'06_IMPORT_ANNUAL'!$C$4:$C$328,"&gt;="&amp;'01_CONTROL'!$B$8,'06_IMPORT_ANNUAL'!$C$4:$C$328,"&lt;="&amp;'01_CONTROL'!$B$9)/COUNTIFS('06_IMPORT_ANNUAL'!$B$4:$B$328,$B17,'06_IMPORT_ANNUAL'!$C$4:$C$328,"&gt;="&amp;'01_CONTROL'!$B$8,'06_IMPORT_ANNUAL'!$C$4:$C$328,"&lt;="&amp;'01_CONTROL'!$B$9),"")</f>
        <v>5.8221698984819291E-2</v>
      </c>
      <c r="I17" s="6">
        <f>IF(NOT(ISNUMBER(F17)),"",IF(E17="Positive",IF(F17&lt;'04_THRESHOLDS_WEIGHTS'!G17,0,IF(F17&lt;'04_THRESHOLDS_WEIGHTS'!H17,0.25+0.25*(F17-'04_THRESHOLDS_WEIGHTS'!G17)/('04_THRESHOLDS_WEIGHTS'!H17-'04_THRESHOLDS_WEIGHTS'!G17),IF(F17&lt;'04_THRESHOLDS_WEIGHTS'!I17,0.5+0.25*(F17-'04_THRESHOLDS_WEIGHTS'!H17)/('04_THRESHOLDS_WEIGHTS'!I17-'04_THRESHOLDS_WEIGHTS'!H17),IF(F17&lt;'04_THRESHOLDS_WEIGHTS'!J17,0.75+0.25*(F17-'04_THRESHOLDS_WEIGHTS'!I17)/('04_THRESHOLDS_WEIGHTS'!J17-'04_THRESHOLDS_WEIGHTS'!I17),1)))),IF(F17&gt;'04_THRESHOLDS_WEIGHTS'!G17,0,IF(F17&gt;'04_THRESHOLDS_WEIGHTS'!H17,0.25+0.25*('04_THRESHOLDS_WEIGHTS'!G17-F17)/('04_THRESHOLDS_WEIGHTS'!G17-'04_THRESHOLDS_WEIGHTS'!H17),IF(F17&gt;'04_THRESHOLDS_WEIGHTS'!I17,0.5+0.25*('04_THRESHOLDS_WEIGHTS'!H17-F17)/('04_THRESHOLDS_WEIGHTS'!H17-'04_THRESHOLDS_WEIGHTS'!I17),IF(F17&gt;'04_THRESHOLDS_WEIGHTS'!J17,0.75+0.25*('04_THRESHOLDS_WEIGHTS'!I17-F17)/('04_THRESHOLDS_WEIGHTS'!I17-'04_THRESHOLDS_WEIGHTS'!J17),1))))))</f>
        <v>0.43901639230405076</v>
      </c>
      <c r="J17" s="6">
        <f>IF(NOT(ISNUMBER(G17)),"",IF(E17="Positive",IF(G17&lt;'04_THRESHOLDS_WEIGHTS'!G17,0,IF(G17&lt;'04_THRESHOLDS_WEIGHTS'!H17,0.25+0.25*(G17-'04_THRESHOLDS_WEIGHTS'!G17)/('04_THRESHOLDS_WEIGHTS'!H17-'04_THRESHOLDS_WEIGHTS'!G17),IF(G17&lt;'04_THRESHOLDS_WEIGHTS'!I17,0.5+0.25*(G17-'04_THRESHOLDS_WEIGHTS'!H17)/('04_THRESHOLDS_WEIGHTS'!I17-'04_THRESHOLDS_WEIGHTS'!H17),IF(G17&lt;'04_THRESHOLDS_WEIGHTS'!J17,0.75+0.25*(G17-'04_THRESHOLDS_WEIGHTS'!I17)/('04_THRESHOLDS_WEIGHTS'!J17-'04_THRESHOLDS_WEIGHTS'!I17),1)))),IF(G17&gt;'04_THRESHOLDS_WEIGHTS'!G17,0,IF(G17&gt;'04_THRESHOLDS_WEIGHTS'!H17,0.25+0.25*('04_THRESHOLDS_WEIGHTS'!G17-G17)/('04_THRESHOLDS_WEIGHTS'!G17-'04_THRESHOLDS_WEIGHTS'!H17),IF(G17&gt;'04_THRESHOLDS_WEIGHTS'!I17,0.5+0.25*('04_THRESHOLDS_WEIGHTS'!H17-G17)/('04_THRESHOLDS_WEIGHTS'!H17-'04_THRESHOLDS_WEIGHTS'!I17),IF(G17&gt;'04_THRESHOLDS_WEIGHTS'!J17,0.75+0.25*('04_THRESHOLDS_WEIGHTS'!I17-G17)/('04_THRESHOLDS_WEIGHTS'!I17-'04_THRESHOLDS_WEIGHTS'!J17),1))))))</f>
        <v>0.43185401778698718</v>
      </c>
      <c r="K17" s="6">
        <f>IF(NOT(ISNUMBER(H17)),"",IF(E17="Positive",IF(H17&lt;'04_THRESHOLDS_WEIGHTS'!G17,0,IF(H17&lt;'04_THRESHOLDS_WEIGHTS'!H17,0.25+0.25*(H17-'04_THRESHOLDS_WEIGHTS'!G17)/('04_THRESHOLDS_WEIGHTS'!H17-'04_THRESHOLDS_WEIGHTS'!G17),IF(H17&lt;'04_THRESHOLDS_WEIGHTS'!I17,0.5+0.25*(H17-'04_THRESHOLDS_WEIGHTS'!H17)/('04_THRESHOLDS_WEIGHTS'!I17-'04_THRESHOLDS_WEIGHTS'!H17),IF(H17&lt;'04_THRESHOLDS_WEIGHTS'!J17,0.75+0.25*(H17-'04_THRESHOLDS_WEIGHTS'!I17)/('04_THRESHOLDS_WEIGHTS'!J17-'04_THRESHOLDS_WEIGHTS'!I17),1)))),IF(H17&gt;'04_THRESHOLDS_WEIGHTS'!G17,0,IF(H17&gt;'04_THRESHOLDS_WEIGHTS'!H17,0.25+0.25*('04_THRESHOLDS_WEIGHTS'!G17-H17)/('04_THRESHOLDS_WEIGHTS'!G17-'04_THRESHOLDS_WEIGHTS'!H17),IF(H17&gt;'04_THRESHOLDS_WEIGHTS'!I17,0.5+0.25*('04_THRESHOLDS_WEIGHTS'!H17-H17)/('04_THRESHOLDS_WEIGHTS'!H17-'04_THRESHOLDS_WEIGHTS'!I17),IF(H17&gt;'04_THRESHOLDS_WEIGHTS'!J17,0.75+0.25*('04_THRESHOLDS_WEIGHTS'!I17-H17)/('04_THRESHOLDS_WEIGHTS'!I17-'04_THRESHOLDS_WEIGHTS'!J17),1))))))</f>
        <v>0.99177830101518072</v>
      </c>
      <c r="L17" s="6">
        <f t="shared" si="0"/>
        <v>0.55276190871112996</v>
      </c>
      <c r="M17" s="2" t="s">
        <v>178</v>
      </c>
    </row>
    <row r="18" spans="1:13" ht="15" customHeight="1" x14ac:dyDescent="0.25">
      <c r="A18" s="3" t="s">
        <v>82</v>
      </c>
      <c r="B18" s="3" t="s">
        <v>222</v>
      </c>
      <c r="C18" s="3" t="s">
        <v>223</v>
      </c>
      <c r="D18" s="3" t="s">
        <v>218</v>
      </c>
      <c r="E18" s="3" t="s">
        <v>141</v>
      </c>
      <c r="F18" s="7">
        <f>IFERROR(SUMIFS('06_IMPORT_ANNUAL'!$D$4:$D$328,'06_IMPORT_ANNUAL'!$B$4:$B$328,$B18,'06_IMPORT_ANNUAL'!$C$4:$C$328,"&gt;="&amp;'01_CONTROL'!$B$5,'06_IMPORT_ANNUAL'!$C$4:$C$328,"&lt;="&amp;'01_CONTROL'!$B$6)/COUNTIFS('06_IMPORT_ANNUAL'!$B$4:$B$328,$B18,'06_IMPORT_ANNUAL'!$C$4:$C$328,"&gt;="&amp;'01_CONTROL'!$B$5,'06_IMPORT_ANNUAL'!$C$4:$C$328,"&lt;="&amp;'01_CONTROL'!$B$6),"")</f>
        <v>0.50010237298642823</v>
      </c>
      <c r="G18" s="7">
        <f>IFERROR(SUMIFS('06_IMPORT_ANNUAL'!$D$4:$D$328,'06_IMPORT_ANNUAL'!$B$4:$B$328,$B18,'06_IMPORT_ANNUAL'!$C$4:$C$328,'01_CONTROL'!$B$7)/COUNTIFS('06_IMPORT_ANNUAL'!$B$4:$B$328,$B18,'06_IMPORT_ANNUAL'!$C$4:$C$328,'01_CONTROL'!$B$7),"")</f>
        <v>0.50087192680142223</v>
      </c>
      <c r="H18" s="7">
        <f>IFERROR(SUMIFS('06_IMPORT_ANNUAL'!$D$4:$D$328,'06_IMPORT_ANNUAL'!$B$4:$B$328,$B18,'06_IMPORT_ANNUAL'!$C$4:$C$328,"&gt;="&amp;'01_CONTROL'!$B$8,'06_IMPORT_ANNUAL'!$C$4:$C$328,"&lt;="&amp;'01_CONTROL'!$B$9)/COUNTIFS('06_IMPORT_ANNUAL'!$B$4:$B$328,$B18,'06_IMPORT_ANNUAL'!$C$4:$C$328,"&gt;="&amp;'01_CONTROL'!$B$8,'06_IMPORT_ANNUAL'!$C$4:$C$328,"&lt;="&amp;'01_CONTROL'!$B$9),"")</f>
        <v>0.11028767469760481</v>
      </c>
      <c r="I18" s="6">
        <f>IF(NOT(ISNUMBER(F18)),"",IF(E18="Positive",IF(F18&lt;'04_THRESHOLDS_WEIGHTS'!G18,0,IF(F18&lt;'04_THRESHOLDS_WEIGHTS'!H18,0.25+0.25*(F18-'04_THRESHOLDS_WEIGHTS'!G18)/('04_THRESHOLDS_WEIGHTS'!H18-'04_THRESHOLDS_WEIGHTS'!G18),IF(F18&lt;'04_THRESHOLDS_WEIGHTS'!I18,0.5+0.25*(F18-'04_THRESHOLDS_WEIGHTS'!H18)/('04_THRESHOLDS_WEIGHTS'!I18-'04_THRESHOLDS_WEIGHTS'!H18),IF(F18&lt;'04_THRESHOLDS_WEIGHTS'!J18,0.75+0.25*(F18-'04_THRESHOLDS_WEIGHTS'!I18)/('04_THRESHOLDS_WEIGHTS'!J18-'04_THRESHOLDS_WEIGHTS'!I18),1)))),IF(F18&gt;'04_THRESHOLDS_WEIGHTS'!G18,0,IF(F18&gt;'04_THRESHOLDS_WEIGHTS'!H18,0.25+0.25*('04_THRESHOLDS_WEIGHTS'!G18-F18)/('04_THRESHOLDS_WEIGHTS'!G18-'04_THRESHOLDS_WEIGHTS'!H18),IF(F18&gt;'04_THRESHOLDS_WEIGHTS'!I18,0.5+0.25*('04_THRESHOLDS_WEIGHTS'!H18-F18)/('04_THRESHOLDS_WEIGHTS'!H18-'04_THRESHOLDS_WEIGHTS'!I18),IF(F18&gt;'04_THRESHOLDS_WEIGHTS'!J18,0.75+0.25*('04_THRESHOLDS_WEIGHTS'!I18-F18)/('04_THRESHOLDS_WEIGHTS'!I18-'04_THRESHOLDS_WEIGHTS'!J18),1))))))</f>
        <v>0.49994881350678588</v>
      </c>
      <c r="J18" s="6">
        <f>IF(NOT(ISNUMBER(G18)),"",IF(E18="Positive",IF(G18&lt;'04_THRESHOLDS_WEIGHTS'!G18,0,IF(G18&lt;'04_THRESHOLDS_WEIGHTS'!H18,0.25+0.25*(G18-'04_THRESHOLDS_WEIGHTS'!G18)/('04_THRESHOLDS_WEIGHTS'!H18-'04_THRESHOLDS_WEIGHTS'!G18),IF(G18&lt;'04_THRESHOLDS_WEIGHTS'!I18,0.5+0.25*(G18-'04_THRESHOLDS_WEIGHTS'!H18)/('04_THRESHOLDS_WEIGHTS'!I18-'04_THRESHOLDS_WEIGHTS'!H18),IF(G18&lt;'04_THRESHOLDS_WEIGHTS'!J18,0.75+0.25*(G18-'04_THRESHOLDS_WEIGHTS'!I18)/('04_THRESHOLDS_WEIGHTS'!J18-'04_THRESHOLDS_WEIGHTS'!I18),1)))),IF(G18&gt;'04_THRESHOLDS_WEIGHTS'!G18,0,IF(G18&gt;'04_THRESHOLDS_WEIGHTS'!H18,0.25+0.25*('04_THRESHOLDS_WEIGHTS'!G18-G18)/('04_THRESHOLDS_WEIGHTS'!G18-'04_THRESHOLDS_WEIGHTS'!H18),IF(G18&gt;'04_THRESHOLDS_WEIGHTS'!I18,0.5+0.25*('04_THRESHOLDS_WEIGHTS'!H18-G18)/('04_THRESHOLDS_WEIGHTS'!H18-'04_THRESHOLDS_WEIGHTS'!I18),IF(G18&gt;'04_THRESHOLDS_WEIGHTS'!J18,0.75+0.25*('04_THRESHOLDS_WEIGHTS'!I18-G18)/('04_THRESHOLDS_WEIGHTS'!I18-'04_THRESHOLDS_WEIGHTS'!J18),1))))))</f>
        <v>0.49956403659928889</v>
      </c>
      <c r="K18" s="6">
        <f>IF(NOT(ISNUMBER(H18)),"",IF(E18="Positive",IF(H18&lt;'04_THRESHOLDS_WEIGHTS'!G18,0,IF(H18&lt;'04_THRESHOLDS_WEIGHTS'!H18,0.25+0.25*(H18-'04_THRESHOLDS_WEIGHTS'!G18)/('04_THRESHOLDS_WEIGHTS'!H18-'04_THRESHOLDS_WEIGHTS'!G18),IF(H18&lt;'04_THRESHOLDS_WEIGHTS'!I18,0.5+0.25*(H18-'04_THRESHOLDS_WEIGHTS'!H18)/('04_THRESHOLDS_WEIGHTS'!I18-'04_THRESHOLDS_WEIGHTS'!H18),IF(H18&lt;'04_THRESHOLDS_WEIGHTS'!J18,0.75+0.25*(H18-'04_THRESHOLDS_WEIGHTS'!I18)/('04_THRESHOLDS_WEIGHTS'!J18-'04_THRESHOLDS_WEIGHTS'!I18),1)))),IF(H18&gt;'04_THRESHOLDS_WEIGHTS'!G18,0,IF(H18&gt;'04_THRESHOLDS_WEIGHTS'!H18,0.25+0.25*('04_THRESHOLDS_WEIGHTS'!G18-H18)/('04_THRESHOLDS_WEIGHTS'!G18-'04_THRESHOLDS_WEIGHTS'!H18),IF(H18&gt;'04_THRESHOLDS_WEIGHTS'!I18,0.5+0.25*('04_THRESHOLDS_WEIGHTS'!H18-H18)/('04_THRESHOLDS_WEIGHTS'!H18-'04_THRESHOLDS_WEIGHTS'!I18),IF(H18&gt;'04_THRESHOLDS_WEIGHTS'!J18,0.75+0.25*('04_THRESHOLDS_WEIGHTS'!I18-H18)/('04_THRESHOLDS_WEIGHTS'!I18-'04_THRESHOLDS_WEIGHTS'!J18),1))))))</f>
        <v>0.93971232530239512</v>
      </c>
      <c r="L18" s="6">
        <f t="shared" si="0"/>
        <v>0.43976351179560924</v>
      </c>
      <c r="M18" s="2" t="s">
        <v>178</v>
      </c>
    </row>
    <row r="19" spans="1:13" ht="15" customHeight="1" x14ac:dyDescent="0.25">
      <c r="A19" s="3" t="s">
        <v>82</v>
      </c>
      <c r="B19" s="3" t="s">
        <v>227</v>
      </c>
      <c r="C19" s="3" t="s">
        <v>228</v>
      </c>
      <c r="D19" s="3" t="s">
        <v>218</v>
      </c>
      <c r="E19" s="3" t="s">
        <v>141</v>
      </c>
      <c r="F19" s="7">
        <f>IFERROR(SUMIFS('06_IMPORT_ANNUAL'!$D$4:$D$328,'06_IMPORT_ANNUAL'!$B$4:$B$328,$B19,'06_IMPORT_ANNUAL'!$C$4:$C$328,"&gt;="&amp;'01_CONTROL'!$B$5,'06_IMPORT_ANNUAL'!$C$4:$C$328,"&lt;="&amp;'01_CONTROL'!$B$6)/COUNTIFS('06_IMPORT_ANNUAL'!$B$4:$B$328,$B19,'06_IMPORT_ANNUAL'!$C$4:$C$328,"&gt;="&amp;'01_CONTROL'!$B$5,'06_IMPORT_ANNUAL'!$C$4:$C$328,"&lt;="&amp;'01_CONTROL'!$B$6),"")</f>
        <v>0.55402152844668762</v>
      </c>
      <c r="G19" s="7">
        <f>IFERROR(SUMIFS('06_IMPORT_ANNUAL'!$D$4:$D$328,'06_IMPORT_ANNUAL'!$B$4:$B$328,$B19,'06_IMPORT_ANNUAL'!$C$4:$C$328,'01_CONTROL'!$B$7)/COUNTIFS('06_IMPORT_ANNUAL'!$B$4:$B$328,$B19,'06_IMPORT_ANNUAL'!$C$4:$C$328,'01_CONTROL'!$B$7),"")</f>
        <v>0.55567438180648487</v>
      </c>
      <c r="H19" s="7">
        <f>IFERROR(SUMIFS('06_IMPORT_ANNUAL'!$D$4:$D$328,'06_IMPORT_ANNUAL'!$B$4:$B$328,$B19,'06_IMPORT_ANNUAL'!$C$4:$C$328,"&gt;="&amp;'01_CONTROL'!$B$8,'06_IMPORT_ANNUAL'!$C$4:$C$328,"&lt;="&amp;'01_CONTROL'!$B$9)/COUNTIFS('06_IMPORT_ANNUAL'!$B$4:$B$328,$B19,'06_IMPORT_ANNUAL'!$C$4:$C$328,"&gt;="&amp;'01_CONTROL'!$B$8,'06_IMPORT_ANNUAL'!$C$4:$C$328,"&lt;="&amp;'01_CONTROL'!$B$9),"")</f>
        <v>0.25007346373260464</v>
      </c>
      <c r="I19" s="6">
        <f>IF(NOT(ISNUMBER(F19)),"",IF(E19="Positive",IF(F19&lt;'04_THRESHOLDS_WEIGHTS'!G19,0,IF(F19&lt;'04_THRESHOLDS_WEIGHTS'!H19,0.25+0.25*(F19-'04_THRESHOLDS_WEIGHTS'!G19)/('04_THRESHOLDS_WEIGHTS'!H19-'04_THRESHOLDS_WEIGHTS'!G19),IF(F19&lt;'04_THRESHOLDS_WEIGHTS'!I19,0.5+0.25*(F19-'04_THRESHOLDS_WEIGHTS'!H19)/('04_THRESHOLDS_WEIGHTS'!I19-'04_THRESHOLDS_WEIGHTS'!H19),IF(F19&lt;'04_THRESHOLDS_WEIGHTS'!J19,0.75+0.25*(F19-'04_THRESHOLDS_WEIGHTS'!I19)/('04_THRESHOLDS_WEIGHTS'!J19-'04_THRESHOLDS_WEIGHTS'!I19),1)))),IF(F19&gt;'04_THRESHOLDS_WEIGHTS'!G19,0,IF(F19&gt;'04_THRESHOLDS_WEIGHTS'!H19,0.25+0.25*('04_THRESHOLDS_WEIGHTS'!G19-F19)/('04_THRESHOLDS_WEIGHTS'!G19-'04_THRESHOLDS_WEIGHTS'!H19),IF(F19&gt;'04_THRESHOLDS_WEIGHTS'!I19,0.5+0.25*('04_THRESHOLDS_WEIGHTS'!H19-F19)/('04_THRESHOLDS_WEIGHTS'!H19-'04_THRESHOLDS_WEIGHTS'!I19),IF(F19&gt;'04_THRESHOLDS_WEIGHTS'!J19,0.75+0.25*('04_THRESHOLDS_WEIGHTS'!I19-F19)/('04_THRESHOLDS_WEIGHTS'!I19-'04_THRESHOLDS_WEIGHTS'!J19),1))))))</f>
        <v>0.47298923577665619</v>
      </c>
      <c r="J19" s="6">
        <f>IF(NOT(ISNUMBER(G19)),"",IF(E19="Positive",IF(G19&lt;'04_THRESHOLDS_WEIGHTS'!G19,0,IF(G19&lt;'04_THRESHOLDS_WEIGHTS'!H19,0.25+0.25*(G19-'04_THRESHOLDS_WEIGHTS'!G19)/('04_THRESHOLDS_WEIGHTS'!H19-'04_THRESHOLDS_WEIGHTS'!G19),IF(G19&lt;'04_THRESHOLDS_WEIGHTS'!I19,0.5+0.25*(G19-'04_THRESHOLDS_WEIGHTS'!H19)/('04_THRESHOLDS_WEIGHTS'!I19-'04_THRESHOLDS_WEIGHTS'!H19),IF(G19&lt;'04_THRESHOLDS_WEIGHTS'!J19,0.75+0.25*(G19-'04_THRESHOLDS_WEIGHTS'!I19)/('04_THRESHOLDS_WEIGHTS'!J19-'04_THRESHOLDS_WEIGHTS'!I19),1)))),IF(G19&gt;'04_THRESHOLDS_WEIGHTS'!G19,0,IF(G19&gt;'04_THRESHOLDS_WEIGHTS'!H19,0.25+0.25*('04_THRESHOLDS_WEIGHTS'!G19-G19)/('04_THRESHOLDS_WEIGHTS'!G19-'04_THRESHOLDS_WEIGHTS'!H19),IF(G19&gt;'04_THRESHOLDS_WEIGHTS'!I19,0.5+0.25*('04_THRESHOLDS_WEIGHTS'!H19-G19)/('04_THRESHOLDS_WEIGHTS'!H19-'04_THRESHOLDS_WEIGHTS'!I19),IF(G19&gt;'04_THRESHOLDS_WEIGHTS'!J19,0.75+0.25*('04_THRESHOLDS_WEIGHTS'!I19-G19)/('04_THRESHOLDS_WEIGHTS'!I19-'04_THRESHOLDS_WEIGHTS'!J19),1))))))</f>
        <v>0.47216280909675756</v>
      </c>
      <c r="K19" s="6">
        <f>IF(NOT(ISNUMBER(H19)),"",IF(E19="Positive",IF(H19&lt;'04_THRESHOLDS_WEIGHTS'!G19,0,IF(H19&lt;'04_THRESHOLDS_WEIGHTS'!H19,0.25+0.25*(H19-'04_THRESHOLDS_WEIGHTS'!G19)/('04_THRESHOLDS_WEIGHTS'!H19-'04_THRESHOLDS_WEIGHTS'!G19),IF(H19&lt;'04_THRESHOLDS_WEIGHTS'!I19,0.5+0.25*(H19-'04_THRESHOLDS_WEIGHTS'!H19)/('04_THRESHOLDS_WEIGHTS'!I19-'04_THRESHOLDS_WEIGHTS'!H19),IF(H19&lt;'04_THRESHOLDS_WEIGHTS'!J19,0.75+0.25*(H19-'04_THRESHOLDS_WEIGHTS'!I19)/('04_THRESHOLDS_WEIGHTS'!J19-'04_THRESHOLDS_WEIGHTS'!I19),1)))),IF(H19&gt;'04_THRESHOLDS_WEIGHTS'!G19,0,IF(H19&gt;'04_THRESHOLDS_WEIGHTS'!H19,0.25+0.25*('04_THRESHOLDS_WEIGHTS'!G19-H19)/('04_THRESHOLDS_WEIGHTS'!G19-'04_THRESHOLDS_WEIGHTS'!H19),IF(H19&gt;'04_THRESHOLDS_WEIGHTS'!I19,0.5+0.25*('04_THRESHOLDS_WEIGHTS'!H19-H19)/('04_THRESHOLDS_WEIGHTS'!H19-'04_THRESHOLDS_WEIGHTS'!I19),IF(H19&gt;'04_THRESHOLDS_WEIGHTS'!J19,0.75+0.25*('04_THRESHOLDS_WEIGHTS'!I19-H19)/('04_THRESHOLDS_WEIGHTS'!I19-'04_THRESHOLDS_WEIGHTS'!J19),1))))))</f>
        <v>0.79992653626739529</v>
      </c>
      <c r="L19" s="6">
        <f t="shared" si="0"/>
        <v>0.3269373004907391</v>
      </c>
      <c r="M19" s="2" t="s">
        <v>178</v>
      </c>
    </row>
    <row r="20" spans="1:13" ht="15" customHeight="1" x14ac:dyDescent="0.25">
      <c r="A20" s="3" t="s">
        <v>87</v>
      </c>
      <c r="B20" s="3" t="s">
        <v>232</v>
      </c>
      <c r="C20" s="3" t="s">
        <v>233</v>
      </c>
      <c r="D20" s="3" t="s">
        <v>235</v>
      </c>
      <c r="E20" s="3" t="s">
        <v>141</v>
      </c>
      <c r="F20" s="7">
        <f>IFERROR(SUMIFS('06_IMPORT_ANNUAL'!$D$4:$D$328,'06_IMPORT_ANNUAL'!$B$4:$B$328,$B20,'06_IMPORT_ANNUAL'!$C$4:$C$328,"&gt;="&amp;'01_CONTROL'!$B$5,'06_IMPORT_ANNUAL'!$C$4:$C$328,"&lt;="&amp;'01_CONTROL'!$B$6)/COUNTIFS('06_IMPORT_ANNUAL'!$B$4:$B$328,$B20,'06_IMPORT_ANNUAL'!$C$4:$C$328,"&gt;="&amp;'01_CONTROL'!$B$5,'06_IMPORT_ANNUAL'!$C$4:$C$328,"&lt;="&amp;'01_CONTROL'!$B$6),"")</f>
        <v>1098.8671026002776</v>
      </c>
      <c r="G20" s="7">
        <f>IFERROR(SUMIFS('06_IMPORT_ANNUAL'!$D$4:$D$328,'06_IMPORT_ANNUAL'!$B$4:$B$328,$B20,'06_IMPORT_ANNUAL'!$C$4:$C$328,'01_CONTROL'!$B$7)/COUNTIFS('06_IMPORT_ANNUAL'!$B$4:$B$328,$B20,'06_IMPORT_ANNUAL'!$C$4:$C$328,'01_CONTROL'!$B$7),"")</f>
        <v>1080.7629333221587</v>
      </c>
      <c r="H20" s="7">
        <f>IFERROR(SUMIFS('06_IMPORT_ANNUAL'!$D$4:$D$328,'06_IMPORT_ANNUAL'!$B$4:$B$328,$B20,'06_IMPORT_ANNUAL'!$C$4:$C$328,"&gt;="&amp;'01_CONTROL'!$B$8,'06_IMPORT_ANNUAL'!$C$4:$C$328,"&lt;="&amp;'01_CONTROL'!$B$9)/COUNTIFS('06_IMPORT_ANNUAL'!$B$4:$B$328,$B20,'06_IMPORT_ANNUAL'!$C$4:$C$328,"&gt;="&amp;'01_CONTROL'!$B$8,'06_IMPORT_ANNUAL'!$C$4:$C$328,"&lt;="&amp;'01_CONTROL'!$B$9),"")</f>
        <v>989.20025667124685</v>
      </c>
      <c r="I20" s="6">
        <f>IF(NOT(ISNUMBER(F20)),"",IF(E20="Positive",IF(F20&lt;'04_THRESHOLDS_WEIGHTS'!G20,0,IF(F20&lt;'04_THRESHOLDS_WEIGHTS'!H20,0.25+0.25*(F20-'04_THRESHOLDS_WEIGHTS'!G20)/('04_THRESHOLDS_WEIGHTS'!H20-'04_THRESHOLDS_WEIGHTS'!G20),IF(F20&lt;'04_THRESHOLDS_WEIGHTS'!I20,0.5+0.25*(F20-'04_THRESHOLDS_WEIGHTS'!H20)/('04_THRESHOLDS_WEIGHTS'!I20-'04_THRESHOLDS_WEIGHTS'!H20),IF(F20&lt;'04_THRESHOLDS_WEIGHTS'!J20,0.75+0.25*(F20-'04_THRESHOLDS_WEIGHTS'!I20)/('04_THRESHOLDS_WEIGHTS'!J20-'04_THRESHOLDS_WEIGHTS'!I20),1)))),IF(F20&gt;'04_THRESHOLDS_WEIGHTS'!G20,0,IF(F20&gt;'04_THRESHOLDS_WEIGHTS'!H20,0.25+0.25*('04_THRESHOLDS_WEIGHTS'!G20-F20)/('04_THRESHOLDS_WEIGHTS'!G20-'04_THRESHOLDS_WEIGHTS'!H20),IF(F20&gt;'04_THRESHOLDS_WEIGHTS'!I20,0.5+0.25*('04_THRESHOLDS_WEIGHTS'!H20-F20)/('04_THRESHOLDS_WEIGHTS'!H20-'04_THRESHOLDS_WEIGHTS'!I20),IF(F20&gt;'04_THRESHOLDS_WEIGHTS'!J20,0.75+0.25*('04_THRESHOLDS_WEIGHTS'!I20-F20)/('04_THRESHOLDS_WEIGHTS'!I20-'04_THRESHOLDS_WEIGHTS'!J20),1))))))</f>
        <v>0.70056644869986118</v>
      </c>
      <c r="J20" s="6">
        <f>IF(NOT(ISNUMBER(G20)),"",IF(E20="Positive",IF(G20&lt;'04_THRESHOLDS_WEIGHTS'!G20,0,IF(G20&lt;'04_THRESHOLDS_WEIGHTS'!H20,0.25+0.25*(G20-'04_THRESHOLDS_WEIGHTS'!G20)/('04_THRESHOLDS_WEIGHTS'!H20-'04_THRESHOLDS_WEIGHTS'!G20),IF(G20&lt;'04_THRESHOLDS_WEIGHTS'!I20,0.5+0.25*(G20-'04_THRESHOLDS_WEIGHTS'!H20)/('04_THRESHOLDS_WEIGHTS'!I20-'04_THRESHOLDS_WEIGHTS'!H20),IF(G20&lt;'04_THRESHOLDS_WEIGHTS'!J20,0.75+0.25*(G20-'04_THRESHOLDS_WEIGHTS'!I20)/('04_THRESHOLDS_WEIGHTS'!J20-'04_THRESHOLDS_WEIGHTS'!I20),1)))),IF(G20&gt;'04_THRESHOLDS_WEIGHTS'!G20,0,IF(G20&gt;'04_THRESHOLDS_WEIGHTS'!H20,0.25+0.25*('04_THRESHOLDS_WEIGHTS'!G20-G20)/('04_THRESHOLDS_WEIGHTS'!G20-'04_THRESHOLDS_WEIGHTS'!H20),IF(G20&gt;'04_THRESHOLDS_WEIGHTS'!I20,0.5+0.25*('04_THRESHOLDS_WEIGHTS'!H20-G20)/('04_THRESHOLDS_WEIGHTS'!H20-'04_THRESHOLDS_WEIGHTS'!I20),IF(G20&gt;'04_THRESHOLDS_WEIGHTS'!J20,0.75+0.25*('04_THRESHOLDS_WEIGHTS'!I20-G20)/('04_THRESHOLDS_WEIGHTS'!I20-'04_THRESHOLDS_WEIGHTS'!J20),1))))))</f>
        <v>0.70961853333892067</v>
      </c>
      <c r="K20" s="6">
        <f>IF(NOT(ISNUMBER(H20)),"",IF(E20="Positive",IF(H20&lt;'04_THRESHOLDS_WEIGHTS'!G20,0,IF(H20&lt;'04_THRESHOLDS_WEIGHTS'!H20,0.25+0.25*(H20-'04_THRESHOLDS_WEIGHTS'!G20)/('04_THRESHOLDS_WEIGHTS'!H20-'04_THRESHOLDS_WEIGHTS'!G20),IF(H20&lt;'04_THRESHOLDS_WEIGHTS'!I20,0.5+0.25*(H20-'04_THRESHOLDS_WEIGHTS'!H20)/('04_THRESHOLDS_WEIGHTS'!I20-'04_THRESHOLDS_WEIGHTS'!H20),IF(H20&lt;'04_THRESHOLDS_WEIGHTS'!J20,0.75+0.25*(H20-'04_THRESHOLDS_WEIGHTS'!I20)/('04_THRESHOLDS_WEIGHTS'!J20-'04_THRESHOLDS_WEIGHTS'!I20),1)))),IF(H20&gt;'04_THRESHOLDS_WEIGHTS'!G20,0,IF(H20&gt;'04_THRESHOLDS_WEIGHTS'!H20,0.25+0.25*('04_THRESHOLDS_WEIGHTS'!G20-H20)/('04_THRESHOLDS_WEIGHTS'!G20-'04_THRESHOLDS_WEIGHTS'!H20),IF(H20&gt;'04_THRESHOLDS_WEIGHTS'!I20,0.5+0.25*('04_THRESHOLDS_WEIGHTS'!H20-H20)/('04_THRESHOLDS_WEIGHTS'!H20-'04_THRESHOLDS_WEIGHTS'!I20),IF(H20&gt;'04_THRESHOLDS_WEIGHTS'!J20,0.75+0.25*('04_THRESHOLDS_WEIGHTS'!I20-H20)/('04_THRESHOLDS_WEIGHTS'!I20-'04_THRESHOLDS_WEIGHTS'!J20),1))))))</f>
        <v>0.75539987166437661</v>
      </c>
      <c r="L20" s="6">
        <f t="shared" si="0"/>
        <v>5.4833422964515433E-2</v>
      </c>
      <c r="M20" s="2" t="s">
        <v>240</v>
      </c>
    </row>
    <row r="21" spans="1:13" ht="15" customHeight="1" x14ac:dyDescent="0.25">
      <c r="A21" s="3" t="s">
        <v>87</v>
      </c>
      <c r="B21" s="3" t="s">
        <v>241</v>
      </c>
      <c r="C21" s="3" t="s">
        <v>242</v>
      </c>
      <c r="D21" s="3" t="s">
        <v>235</v>
      </c>
      <c r="E21" s="3" t="s">
        <v>141</v>
      </c>
      <c r="F21" s="7">
        <f>IFERROR(SUMIFS('06_IMPORT_ANNUAL'!$D$4:$D$328,'06_IMPORT_ANNUAL'!$B$4:$B$328,$B21,'06_IMPORT_ANNUAL'!$C$4:$C$328,"&gt;="&amp;'01_CONTROL'!$B$5,'06_IMPORT_ANNUAL'!$C$4:$C$328,"&lt;="&amp;'01_CONTROL'!$B$6)/COUNTIFS('06_IMPORT_ANNUAL'!$B$4:$B$328,$B21,'06_IMPORT_ANNUAL'!$C$4:$C$328,"&gt;="&amp;'01_CONTROL'!$B$5,'06_IMPORT_ANNUAL'!$C$4:$C$328,"&lt;="&amp;'01_CONTROL'!$B$6),"")</f>
        <v>0.24387706439576884</v>
      </c>
      <c r="G21" s="7">
        <f>IFERROR(SUMIFS('06_IMPORT_ANNUAL'!$D$4:$D$328,'06_IMPORT_ANNUAL'!$B$4:$B$328,$B21,'06_IMPORT_ANNUAL'!$C$4:$C$328,'01_CONTROL'!$B$7)/COUNTIFS('06_IMPORT_ANNUAL'!$B$4:$B$328,$B21,'06_IMPORT_ANNUAL'!$C$4:$C$328,'01_CONTROL'!$B$7),"")</f>
        <v>0.24008390755399256</v>
      </c>
      <c r="H21" s="7">
        <f>IFERROR(SUMIFS('06_IMPORT_ANNUAL'!$D$4:$D$328,'06_IMPORT_ANNUAL'!$B$4:$B$328,$B21,'06_IMPORT_ANNUAL'!$C$4:$C$328,"&gt;="&amp;'01_CONTROL'!$B$8,'06_IMPORT_ANNUAL'!$C$4:$C$328,"&lt;="&amp;'01_CONTROL'!$B$9)/COUNTIFS('06_IMPORT_ANNUAL'!$B$4:$B$328,$B21,'06_IMPORT_ANNUAL'!$C$4:$C$328,"&gt;="&amp;'01_CONTROL'!$B$8,'06_IMPORT_ANNUAL'!$C$4:$C$328,"&lt;="&amp;'01_CONTROL'!$B$9),"")</f>
        <v>0.2162827323220933</v>
      </c>
      <c r="I21" s="6">
        <f>IF(NOT(ISNUMBER(F21)),"",IF(E21="Positive",IF(F21&lt;'04_THRESHOLDS_WEIGHTS'!G21,0,IF(F21&lt;'04_THRESHOLDS_WEIGHTS'!H21,0.25+0.25*(F21-'04_THRESHOLDS_WEIGHTS'!G21)/('04_THRESHOLDS_WEIGHTS'!H21-'04_THRESHOLDS_WEIGHTS'!G21),IF(F21&lt;'04_THRESHOLDS_WEIGHTS'!I21,0.5+0.25*(F21-'04_THRESHOLDS_WEIGHTS'!H21)/('04_THRESHOLDS_WEIGHTS'!I21-'04_THRESHOLDS_WEIGHTS'!H21),IF(F21&lt;'04_THRESHOLDS_WEIGHTS'!J21,0.75+0.25*(F21-'04_THRESHOLDS_WEIGHTS'!I21)/('04_THRESHOLDS_WEIGHTS'!J21-'04_THRESHOLDS_WEIGHTS'!I21),1)))),IF(F21&gt;'04_THRESHOLDS_WEIGHTS'!G21,0,IF(F21&gt;'04_THRESHOLDS_WEIGHTS'!H21,0.25+0.25*('04_THRESHOLDS_WEIGHTS'!G21-F21)/('04_THRESHOLDS_WEIGHTS'!G21-'04_THRESHOLDS_WEIGHTS'!H21),IF(F21&gt;'04_THRESHOLDS_WEIGHTS'!I21,0.5+0.25*('04_THRESHOLDS_WEIGHTS'!H21-F21)/('04_THRESHOLDS_WEIGHTS'!H21-'04_THRESHOLDS_WEIGHTS'!I21),IF(F21&gt;'04_THRESHOLDS_WEIGHTS'!J21,0.75+0.25*('04_THRESHOLDS_WEIGHTS'!I21-F21)/('04_THRESHOLDS_WEIGHTS'!I21-'04_THRESHOLDS_WEIGHTS'!J21),1))))))</f>
        <v>0.6403073390105779</v>
      </c>
      <c r="J21" s="6">
        <f>IF(NOT(ISNUMBER(G21)),"",IF(E21="Positive",IF(G21&lt;'04_THRESHOLDS_WEIGHTS'!G21,0,IF(G21&lt;'04_THRESHOLDS_WEIGHTS'!H21,0.25+0.25*(G21-'04_THRESHOLDS_WEIGHTS'!G21)/('04_THRESHOLDS_WEIGHTS'!H21-'04_THRESHOLDS_WEIGHTS'!G21),IF(G21&lt;'04_THRESHOLDS_WEIGHTS'!I21,0.5+0.25*(G21-'04_THRESHOLDS_WEIGHTS'!H21)/('04_THRESHOLDS_WEIGHTS'!I21-'04_THRESHOLDS_WEIGHTS'!H21),IF(G21&lt;'04_THRESHOLDS_WEIGHTS'!J21,0.75+0.25*(G21-'04_THRESHOLDS_WEIGHTS'!I21)/('04_THRESHOLDS_WEIGHTS'!J21-'04_THRESHOLDS_WEIGHTS'!I21),1)))),IF(G21&gt;'04_THRESHOLDS_WEIGHTS'!G21,0,IF(G21&gt;'04_THRESHOLDS_WEIGHTS'!H21,0.25+0.25*('04_THRESHOLDS_WEIGHTS'!G21-G21)/('04_THRESHOLDS_WEIGHTS'!G21-'04_THRESHOLDS_WEIGHTS'!H21),IF(G21&gt;'04_THRESHOLDS_WEIGHTS'!I21,0.5+0.25*('04_THRESHOLDS_WEIGHTS'!H21-G21)/('04_THRESHOLDS_WEIGHTS'!H21-'04_THRESHOLDS_WEIGHTS'!I21),IF(G21&gt;'04_THRESHOLDS_WEIGHTS'!J21,0.75+0.25*('04_THRESHOLDS_WEIGHTS'!I21-G21)/('04_THRESHOLDS_WEIGHTS'!I21-'04_THRESHOLDS_WEIGHTS'!J21),1))))))</f>
        <v>0.64979023111501855</v>
      </c>
      <c r="K21" s="6">
        <f>IF(NOT(ISNUMBER(H21)),"",IF(E21="Positive",IF(H21&lt;'04_THRESHOLDS_WEIGHTS'!G21,0,IF(H21&lt;'04_THRESHOLDS_WEIGHTS'!H21,0.25+0.25*(H21-'04_THRESHOLDS_WEIGHTS'!G21)/('04_THRESHOLDS_WEIGHTS'!H21-'04_THRESHOLDS_WEIGHTS'!G21),IF(H21&lt;'04_THRESHOLDS_WEIGHTS'!I21,0.5+0.25*(H21-'04_THRESHOLDS_WEIGHTS'!H21)/('04_THRESHOLDS_WEIGHTS'!I21-'04_THRESHOLDS_WEIGHTS'!H21),IF(H21&lt;'04_THRESHOLDS_WEIGHTS'!J21,0.75+0.25*(H21-'04_THRESHOLDS_WEIGHTS'!I21)/('04_THRESHOLDS_WEIGHTS'!J21-'04_THRESHOLDS_WEIGHTS'!I21),1)))),IF(H21&gt;'04_THRESHOLDS_WEIGHTS'!G21,0,IF(H21&gt;'04_THRESHOLDS_WEIGHTS'!H21,0.25+0.25*('04_THRESHOLDS_WEIGHTS'!G21-H21)/('04_THRESHOLDS_WEIGHTS'!G21-'04_THRESHOLDS_WEIGHTS'!H21),IF(H21&gt;'04_THRESHOLDS_WEIGHTS'!I21,0.5+0.25*('04_THRESHOLDS_WEIGHTS'!H21-H21)/('04_THRESHOLDS_WEIGHTS'!H21-'04_THRESHOLDS_WEIGHTS'!I21),IF(H21&gt;'04_THRESHOLDS_WEIGHTS'!J21,0.75+0.25*('04_THRESHOLDS_WEIGHTS'!I21-H21)/('04_THRESHOLDS_WEIGHTS'!I21-'04_THRESHOLDS_WEIGHTS'!J21),1))))))</f>
        <v>0.70929316919476681</v>
      </c>
      <c r="L21" s="6">
        <f t="shared" si="0"/>
        <v>6.8985830184188912E-2</v>
      </c>
      <c r="M21" s="2" t="s">
        <v>240</v>
      </c>
    </row>
    <row r="22" spans="1:13" ht="15" customHeight="1" x14ac:dyDescent="0.25">
      <c r="A22" s="3" t="s">
        <v>87</v>
      </c>
      <c r="B22" s="3" t="s">
        <v>247</v>
      </c>
      <c r="C22" s="3" t="s">
        <v>248</v>
      </c>
      <c r="D22" s="3" t="s">
        <v>235</v>
      </c>
      <c r="E22" s="3" t="s">
        <v>141</v>
      </c>
      <c r="F22" s="7">
        <f>IFERROR(SUMIFS('06_IMPORT_ANNUAL'!$D$4:$D$328,'06_IMPORT_ANNUAL'!$B$4:$B$328,$B22,'06_IMPORT_ANNUAL'!$C$4:$C$328,"&gt;="&amp;'01_CONTROL'!$B$5,'06_IMPORT_ANNUAL'!$C$4:$C$328,"&lt;="&amp;'01_CONTROL'!$B$6)/COUNTIFS('06_IMPORT_ANNUAL'!$B$4:$B$328,$B22,'06_IMPORT_ANNUAL'!$C$4:$C$328,"&gt;="&amp;'01_CONTROL'!$B$5,'06_IMPORT_ANNUAL'!$C$4:$C$328,"&lt;="&amp;'01_CONTROL'!$B$6),"")</f>
        <v>0.22929321594490185</v>
      </c>
      <c r="G22" s="7">
        <f>IFERROR(SUMIFS('06_IMPORT_ANNUAL'!$D$4:$D$328,'06_IMPORT_ANNUAL'!$B$4:$B$328,$B22,'06_IMPORT_ANNUAL'!$C$4:$C$328,'01_CONTROL'!$B$7)/COUNTIFS('06_IMPORT_ANNUAL'!$B$4:$B$328,$B22,'06_IMPORT_ANNUAL'!$C$4:$C$328,'01_CONTROL'!$B$7),"")</f>
        <v>0.2257268898822638</v>
      </c>
      <c r="H22" s="7">
        <f>IFERROR(SUMIFS('06_IMPORT_ANNUAL'!$D$4:$D$328,'06_IMPORT_ANNUAL'!$B$4:$B$328,$B22,'06_IMPORT_ANNUAL'!$C$4:$C$328,"&gt;="&amp;'01_CONTROL'!$B$8,'06_IMPORT_ANNUAL'!$C$4:$C$328,"&lt;="&amp;'01_CONTROL'!$B$9)/COUNTIFS('06_IMPORT_ANNUAL'!$B$4:$B$328,$B22,'06_IMPORT_ANNUAL'!$C$4:$C$328,"&gt;="&amp;'01_CONTROL'!$B$8,'06_IMPORT_ANNUAL'!$C$4:$C$328,"&lt;="&amp;'01_CONTROL'!$B$9),"")</f>
        <v>0.2033490249292321</v>
      </c>
      <c r="I22" s="6">
        <f>IF(NOT(ISNUMBER(F22)),"",IF(E22="Positive",IF(F22&lt;'04_THRESHOLDS_WEIGHTS'!G22,0,IF(F22&lt;'04_THRESHOLDS_WEIGHTS'!H22,0.25+0.25*(F22-'04_THRESHOLDS_WEIGHTS'!G22)/('04_THRESHOLDS_WEIGHTS'!H22-'04_THRESHOLDS_WEIGHTS'!G22),IF(F22&lt;'04_THRESHOLDS_WEIGHTS'!I22,0.5+0.25*(F22-'04_THRESHOLDS_WEIGHTS'!H22)/('04_THRESHOLDS_WEIGHTS'!I22-'04_THRESHOLDS_WEIGHTS'!H22),IF(F22&lt;'04_THRESHOLDS_WEIGHTS'!J22,0.75+0.25*(F22-'04_THRESHOLDS_WEIGHTS'!I22)/('04_THRESHOLDS_WEIGHTS'!J22-'04_THRESHOLDS_WEIGHTS'!I22),1)))),IF(F22&gt;'04_THRESHOLDS_WEIGHTS'!G22,0,IF(F22&gt;'04_THRESHOLDS_WEIGHTS'!H22,0.25+0.25*('04_THRESHOLDS_WEIGHTS'!G22-F22)/('04_THRESHOLDS_WEIGHTS'!G22-'04_THRESHOLDS_WEIGHTS'!H22),IF(F22&gt;'04_THRESHOLDS_WEIGHTS'!I22,0.5+0.25*('04_THRESHOLDS_WEIGHTS'!H22-F22)/('04_THRESHOLDS_WEIGHTS'!H22-'04_THRESHOLDS_WEIGHTS'!I22),IF(F22&gt;'04_THRESHOLDS_WEIGHTS'!J22,0.75+0.25*('04_THRESHOLDS_WEIGHTS'!I22-F22)/('04_THRESHOLDS_WEIGHTS'!I22-'04_THRESHOLDS_WEIGHTS'!J22),1))))))</f>
        <v>0.5517669601377454</v>
      </c>
      <c r="J22" s="6">
        <f>IF(NOT(ISNUMBER(G22)),"",IF(E22="Positive",IF(G22&lt;'04_THRESHOLDS_WEIGHTS'!G22,0,IF(G22&lt;'04_THRESHOLDS_WEIGHTS'!H22,0.25+0.25*(G22-'04_THRESHOLDS_WEIGHTS'!G22)/('04_THRESHOLDS_WEIGHTS'!H22-'04_THRESHOLDS_WEIGHTS'!G22),IF(G22&lt;'04_THRESHOLDS_WEIGHTS'!I22,0.5+0.25*(G22-'04_THRESHOLDS_WEIGHTS'!H22)/('04_THRESHOLDS_WEIGHTS'!I22-'04_THRESHOLDS_WEIGHTS'!H22),IF(G22&lt;'04_THRESHOLDS_WEIGHTS'!J22,0.75+0.25*(G22-'04_THRESHOLDS_WEIGHTS'!I22)/('04_THRESHOLDS_WEIGHTS'!J22-'04_THRESHOLDS_WEIGHTS'!I22),1)))),IF(G22&gt;'04_THRESHOLDS_WEIGHTS'!G22,0,IF(G22&gt;'04_THRESHOLDS_WEIGHTS'!H22,0.25+0.25*('04_THRESHOLDS_WEIGHTS'!G22-G22)/('04_THRESHOLDS_WEIGHTS'!G22-'04_THRESHOLDS_WEIGHTS'!H22),IF(G22&gt;'04_THRESHOLDS_WEIGHTS'!I22,0.5+0.25*('04_THRESHOLDS_WEIGHTS'!H22-G22)/('04_THRESHOLDS_WEIGHTS'!H22-'04_THRESHOLDS_WEIGHTS'!I22),IF(G22&gt;'04_THRESHOLDS_WEIGHTS'!J22,0.75+0.25*('04_THRESHOLDS_WEIGHTS'!I22-G22)/('04_THRESHOLDS_WEIGHTS'!I22-'04_THRESHOLDS_WEIGHTS'!J22),1))))))</f>
        <v>0.56068277529434052</v>
      </c>
      <c r="K22" s="6">
        <f>IF(NOT(ISNUMBER(H22)),"",IF(E22="Positive",IF(H22&lt;'04_THRESHOLDS_WEIGHTS'!G22,0,IF(H22&lt;'04_THRESHOLDS_WEIGHTS'!H22,0.25+0.25*(H22-'04_THRESHOLDS_WEIGHTS'!G22)/('04_THRESHOLDS_WEIGHTS'!H22-'04_THRESHOLDS_WEIGHTS'!G22),IF(H22&lt;'04_THRESHOLDS_WEIGHTS'!I22,0.5+0.25*(H22-'04_THRESHOLDS_WEIGHTS'!H22)/('04_THRESHOLDS_WEIGHTS'!I22-'04_THRESHOLDS_WEIGHTS'!H22),IF(H22&lt;'04_THRESHOLDS_WEIGHTS'!J22,0.75+0.25*(H22-'04_THRESHOLDS_WEIGHTS'!I22)/('04_THRESHOLDS_WEIGHTS'!J22-'04_THRESHOLDS_WEIGHTS'!I22),1)))),IF(H22&gt;'04_THRESHOLDS_WEIGHTS'!G22,0,IF(H22&gt;'04_THRESHOLDS_WEIGHTS'!H22,0.25+0.25*('04_THRESHOLDS_WEIGHTS'!G22-H22)/('04_THRESHOLDS_WEIGHTS'!G22-'04_THRESHOLDS_WEIGHTS'!H22),IF(H22&gt;'04_THRESHOLDS_WEIGHTS'!I22,0.5+0.25*('04_THRESHOLDS_WEIGHTS'!H22-H22)/('04_THRESHOLDS_WEIGHTS'!H22-'04_THRESHOLDS_WEIGHTS'!I22),IF(H22&gt;'04_THRESHOLDS_WEIGHTS'!J22,0.75+0.25*('04_THRESHOLDS_WEIGHTS'!I22-H22)/('04_THRESHOLDS_WEIGHTS'!I22-'04_THRESHOLDS_WEIGHTS'!J22),1))))))</f>
        <v>0.61662743767691974</v>
      </c>
      <c r="L22" s="6">
        <f t="shared" si="0"/>
        <v>6.4860477539174344E-2</v>
      </c>
      <c r="M22" s="2" t="s">
        <v>240</v>
      </c>
    </row>
    <row r="23" spans="1:13" ht="15" customHeight="1" x14ac:dyDescent="0.25">
      <c r="A23" s="3" t="s">
        <v>87</v>
      </c>
      <c r="B23" s="3" t="s">
        <v>253</v>
      </c>
      <c r="C23" s="3" t="s">
        <v>254</v>
      </c>
      <c r="D23" s="3" t="s">
        <v>256</v>
      </c>
      <c r="E23" s="3" t="s">
        <v>141</v>
      </c>
      <c r="F23" s="7">
        <f>IFERROR(SUMIFS('06_IMPORT_ANNUAL'!$D$4:$D$328,'06_IMPORT_ANNUAL'!$B$4:$B$328,$B23,'06_IMPORT_ANNUAL'!$C$4:$C$328,"&gt;="&amp;'01_CONTROL'!$B$5,'06_IMPORT_ANNUAL'!$C$4:$C$328,"&lt;="&amp;'01_CONTROL'!$B$6)/COUNTIFS('06_IMPORT_ANNUAL'!$B$4:$B$328,$B23,'06_IMPORT_ANNUAL'!$C$4:$C$328,"&gt;="&amp;'01_CONTROL'!$B$5,'06_IMPORT_ANNUAL'!$C$4:$C$328,"&lt;="&amp;'01_CONTROL'!$B$6),"")</f>
        <v>127.48736573544099</v>
      </c>
      <c r="G23" s="7">
        <f>IFERROR(SUMIFS('06_IMPORT_ANNUAL'!$D$4:$D$328,'06_IMPORT_ANNUAL'!$B$4:$B$328,$B23,'06_IMPORT_ANNUAL'!$C$4:$C$328,'01_CONTROL'!$B$7)/COUNTIFS('06_IMPORT_ANNUAL'!$B$4:$B$328,$B23,'06_IMPORT_ANNUAL'!$C$4:$C$328,'01_CONTROL'!$B$7),"")</f>
        <v>126.57948015435585</v>
      </c>
      <c r="H23" s="7">
        <f>IFERROR(SUMIFS('06_IMPORT_ANNUAL'!$D$4:$D$328,'06_IMPORT_ANNUAL'!$B$4:$B$328,$B23,'06_IMPORT_ANNUAL'!$C$4:$C$328,"&gt;="&amp;'01_CONTROL'!$B$8,'06_IMPORT_ANNUAL'!$C$4:$C$328,"&lt;="&amp;'01_CONTROL'!$B$9)/COUNTIFS('06_IMPORT_ANNUAL'!$B$4:$B$328,$B23,'06_IMPORT_ANNUAL'!$C$4:$C$328,"&gt;="&amp;'01_CONTROL'!$B$8,'06_IMPORT_ANNUAL'!$C$4:$C$328,"&lt;="&amp;'01_CONTROL'!$B$9),"")</f>
        <v>121.5654490930506</v>
      </c>
      <c r="I23" s="6">
        <f>IF(NOT(ISNUMBER(F23)),"",IF(E23="Positive",IF(F23&lt;'04_THRESHOLDS_WEIGHTS'!G23,0,IF(F23&lt;'04_THRESHOLDS_WEIGHTS'!H23,0.25+0.25*(F23-'04_THRESHOLDS_WEIGHTS'!G23)/('04_THRESHOLDS_WEIGHTS'!H23-'04_THRESHOLDS_WEIGHTS'!G23),IF(F23&lt;'04_THRESHOLDS_WEIGHTS'!I23,0.5+0.25*(F23-'04_THRESHOLDS_WEIGHTS'!H23)/('04_THRESHOLDS_WEIGHTS'!I23-'04_THRESHOLDS_WEIGHTS'!H23),IF(F23&lt;'04_THRESHOLDS_WEIGHTS'!J23,0.75+0.25*(F23-'04_THRESHOLDS_WEIGHTS'!I23)/('04_THRESHOLDS_WEIGHTS'!J23-'04_THRESHOLDS_WEIGHTS'!I23),1)))),IF(F23&gt;'04_THRESHOLDS_WEIGHTS'!G23,0,IF(F23&gt;'04_THRESHOLDS_WEIGHTS'!H23,0.25+0.25*('04_THRESHOLDS_WEIGHTS'!G23-F23)/('04_THRESHOLDS_WEIGHTS'!G23-'04_THRESHOLDS_WEIGHTS'!H23),IF(F23&gt;'04_THRESHOLDS_WEIGHTS'!I23,0.5+0.25*('04_THRESHOLDS_WEIGHTS'!H23-F23)/('04_THRESHOLDS_WEIGHTS'!H23-'04_THRESHOLDS_WEIGHTS'!I23),IF(F23&gt;'04_THRESHOLDS_WEIGHTS'!J23,0.75+0.25*('04_THRESHOLDS_WEIGHTS'!I23-F23)/('04_THRESHOLDS_WEIGHTS'!I23-'04_THRESHOLDS_WEIGHTS'!J23),1))))))</f>
        <v>0.61256317132279503</v>
      </c>
      <c r="J23" s="6">
        <f>IF(NOT(ISNUMBER(G23)),"",IF(E23="Positive",IF(G23&lt;'04_THRESHOLDS_WEIGHTS'!G23,0,IF(G23&lt;'04_THRESHOLDS_WEIGHTS'!H23,0.25+0.25*(G23-'04_THRESHOLDS_WEIGHTS'!G23)/('04_THRESHOLDS_WEIGHTS'!H23-'04_THRESHOLDS_WEIGHTS'!G23),IF(G23&lt;'04_THRESHOLDS_WEIGHTS'!I23,0.5+0.25*(G23-'04_THRESHOLDS_WEIGHTS'!H23)/('04_THRESHOLDS_WEIGHTS'!I23-'04_THRESHOLDS_WEIGHTS'!H23),IF(G23&lt;'04_THRESHOLDS_WEIGHTS'!J23,0.75+0.25*(G23-'04_THRESHOLDS_WEIGHTS'!I23)/('04_THRESHOLDS_WEIGHTS'!J23-'04_THRESHOLDS_WEIGHTS'!I23),1)))),IF(G23&gt;'04_THRESHOLDS_WEIGHTS'!G23,0,IF(G23&gt;'04_THRESHOLDS_WEIGHTS'!H23,0.25+0.25*('04_THRESHOLDS_WEIGHTS'!G23-G23)/('04_THRESHOLDS_WEIGHTS'!G23-'04_THRESHOLDS_WEIGHTS'!H23),IF(G23&gt;'04_THRESHOLDS_WEIGHTS'!I23,0.5+0.25*('04_THRESHOLDS_WEIGHTS'!H23-G23)/('04_THRESHOLDS_WEIGHTS'!H23-'04_THRESHOLDS_WEIGHTS'!I23),IF(G23&gt;'04_THRESHOLDS_WEIGHTS'!J23,0.75+0.25*('04_THRESHOLDS_WEIGHTS'!I23-G23)/('04_THRESHOLDS_WEIGHTS'!I23-'04_THRESHOLDS_WEIGHTS'!J23),1))))))</f>
        <v>0.61710259922822075</v>
      </c>
      <c r="K23" s="6">
        <f>IF(NOT(ISNUMBER(H23)),"",IF(E23="Positive",IF(H23&lt;'04_THRESHOLDS_WEIGHTS'!G23,0,IF(H23&lt;'04_THRESHOLDS_WEIGHTS'!H23,0.25+0.25*(H23-'04_THRESHOLDS_WEIGHTS'!G23)/('04_THRESHOLDS_WEIGHTS'!H23-'04_THRESHOLDS_WEIGHTS'!G23),IF(H23&lt;'04_THRESHOLDS_WEIGHTS'!I23,0.5+0.25*(H23-'04_THRESHOLDS_WEIGHTS'!H23)/('04_THRESHOLDS_WEIGHTS'!I23-'04_THRESHOLDS_WEIGHTS'!H23),IF(H23&lt;'04_THRESHOLDS_WEIGHTS'!J23,0.75+0.25*(H23-'04_THRESHOLDS_WEIGHTS'!I23)/('04_THRESHOLDS_WEIGHTS'!J23-'04_THRESHOLDS_WEIGHTS'!I23),1)))),IF(H23&gt;'04_THRESHOLDS_WEIGHTS'!G23,0,IF(H23&gt;'04_THRESHOLDS_WEIGHTS'!H23,0.25+0.25*('04_THRESHOLDS_WEIGHTS'!G23-H23)/('04_THRESHOLDS_WEIGHTS'!G23-'04_THRESHOLDS_WEIGHTS'!H23),IF(H23&gt;'04_THRESHOLDS_WEIGHTS'!I23,0.5+0.25*('04_THRESHOLDS_WEIGHTS'!H23-H23)/('04_THRESHOLDS_WEIGHTS'!H23-'04_THRESHOLDS_WEIGHTS'!I23),IF(H23&gt;'04_THRESHOLDS_WEIGHTS'!J23,0.75+0.25*('04_THRESHOLDS_WEIGHTS'!I23-H23)/('04_THRESHOLDS_WEIGHTS'!I23-'04_THRESHOLDS_WEIGHTS'!J23),1))))))</f>
        <v>0.64217275453474698</v>
      </c>
      <c r="L23" s="6">
        <f t="shared" si="0"/>
        <v>2.9609583211951951E-2</v>
      </c>
      <c r="M23" s="2" t="s">
        <v>6</v>
      </c>
    </row>
    <row r="24" spans="1:13" ht="15" customHeight="1" x14ac:dyDescent="0.25">
      <c r="A24" s="3" t="s">
        <v>87</v>
      </c>
      <c r="B24" s="3" t="s">
        <v>261</v>
      </c>
      <c r="C24" s="3" t="s">
        <v>262</v>
      </c>
      <c r="D24" s="3" t="s">
        <v>256</v>
      </c>
      <c r="E24" s="3" t="s">
        <v>141</v>
      </c>
      <c r="F24" s="7">
        <f>IFERROR(SUMIFS('06_IMPORT_ANNUAL'!$D$4:$D$328,'06_IMPORT_ANNUAL'!$B$4:$B$328,$B24,'06_IMPORT_ANNUAL'!$C$4:$C$328,"&gt;="&amp;'01_CONTROL'!$B$5,'06_IMPORT_ANNUAL'!$C$4:$C$328,"&lt;="&amp;'01_CONTROL'!$B$6)/COUNTIFS('06_IMPORT_ANNUAL'!$B$4:$B$328,$B24,'06_IMPORT_ANNUAL'!$C$4:$C$328,"&gt;="&amp;'01_CONTROL'!$B$5,'06_IMPORT_ANNUAL'!$C$4:$C$328,"&lt;="&amp;'01_CONTROL'!$B$6),"")</f>
        <v>2.7643028498359389E-2</v>
      </c>
      <c r="G24" s="7">
        <f>IFERROR(SUMIFS('06_IMPORT_ANNUAL'!$D$4:$D$328,'06_IMPORT_ANNUAL'!$B$4:$B$328,$B24,'06_IMPORT_ANNUAL'!$C$4:$C$328,'01_CONTROL'!$B$7)/COUNTIFS('06_IMPORT_ANNUAL'!$B$4:$B$328,$B24,'06_IMPORT_ANNUAL'!$C$4:$C$328,'01_CONTROL'!$B$7),"")</f>
        <v>2.8118743967463684E-2</v>
      </c>
      <c r="H24" s="7">
        <f>IFERROR(SUMIFS('06_IMPORT_ANNUAL'!$D$4:$D$328,'06_IMPORT_ANNUAL'!$B$4:$B$328,$B24,'06_IMPORT_ANNUAL'!$C$4:$C$328,"&gt;="&amp;'01_CONTROL'!$B$8,'06_IMPORT_ANNUAL'!$C$4:$C$328,"&lt;="&amp;'01_CONTROL'!$B$9)/COUNTIFS('06_IMPORT_ANNUAL'!$B$4:$B$328,$B24,'06_IMPORT_ANNUAL'!$C$4:$C$328,"&gt;="&amp;'01_CONTROL'!$B$8,'06_IMPORT_ANNUAL'!$C$4:$C$328,"&lt;="&amp;'01_CONTROL'!$B$9),"")</f>
        <v>2.6590803446362409E-2</v>
      </c>
      <c r="I24" s="6">
        <f>IF(NOT(ISNUMBER(F24)),"",IF(E24="Positive",IF(F24&lt;'04_THRESHOLDS_WEIGHTS'!G24,0,IF(F24&lt;'04_THRESHOLDS_WEIGHTS'!H24,0.25+0.25*(F24-'04_THRESHOLDS_WEIGHTS'!G24)/('04_THRESHOLDS_WEIGHTS'!H24-'04_THRESHOLDS_WEIGHTS'!G24),IF(F24&lt;'04_THRESHOLDS_WEIGHTS'!I24,0.5+0.25*(F24-'04_THRESHOLDS_WEIGHTS'!H24)/('04_THRESHOLDS_WEIGHTS'!I24-'04_THRESHOLDS_WEIGHTS'!H24),IF(F24&lt;'04_THRESHOLDS_WEIGHTS'!J24,0.75+0.25*(F24-'04_THRESHOLDS_WEIGHTS'!I24)/('04_THRESHOLDS_WEIGHTS'!J24-'04_THRESHOLDS_WEIGHTS'!I24),1)))),IF(F24&gt;'04_THRESHOLDS_WEIGHTS'!G24,0,IF(F24&gt;'04_THRESHOLDS_WEIGHTS'!H24,0.25+0.25*('04_THRESHOLDS_WEIGHTS'!G24-F24)/('04_THRESHOLDS_WEIGHTS'!G24-'04_THRESHOLDS_WEIGHTS'!H24),IF(F24&gt;'04_THRESHOLDS_WEIGHTS'!I24,0.5+0.25*('04_THRESHOLDS_WEIGHTS'!H24-F24)/('04_THRESHOLDS_WEIGHTS'!H24-'04_THRESHOLDS_WEIGHTS'!I24),IF(F24&gt;'04_THRESHOLDS_WEIGHTS'!J24,0.75+0.25*('04_THRESHOLDS_WEIGHTS'!I24-F24)/('04_THRESHOLDS_WEIGHTS'!I24-'04_THRESHOLDS_WEIGHTS'!J24),1))))))</f>
        <v>0.6544621437705076</v>
      </c>
      <c r="J24" s="6">
        <f>IF(NOT(ISNUMBER(G24)),"",IF(E24="Positive",IF(G24&lt;'04_THRESHOLDS_WEIGHTS'!G24,0,IF(G24&lt;'04_THRESHOLDS_WEIGHTS'!H24,0.25+0.25*(G24-'04_THRESHOLDS_WEIGHTS'!G24)/('04_THRESHOLDS_WEIGHTS'!H24-'04_THRESHOLDS_WEIGHTS'!G24),IF(G24&lt;'04_THRESHOLDS_WEIGHTS'!I24,0.5+0.25*(G24-'04_THRESHOLDS_WEIGHTS'!H24)/('04_THRESHOLDS_WEIGHTS'!I24-'04_THRESHOLDS_WEIGHTS'!H24),IF(G24&lt;'04_THRESHOLDS_WEIGHTS'!J24,0.75+0.25*(G24-'04_THRESHOLDS_WEIGHTS'!I24)/('04_THRESHOLDS_WEIGHTS'!J24-'04_THRESHOLDS_WEIGHTS'!I24),1)))),IF(G24&gt;'04_THRESHOLDS_WEIGHTS'!G24,0,IF(G24&gt;'04_THRESHOLDS_WEIGHTS'!H24,0.25+0.25*('04_THRESHOLDS_WEIGHTS'!G24-G24)/('04_THRESHOLDS_WEIGHTS'!G24-'04_THRESHOLDS_WEIGHTS'!H24),IF(G24&gt;'04_THRESHOLDS_WEIGHTS'!I24,0.5+0.25*('04_THRESHOLDS_WEIGHTS'!H24-G24)/('04_THRESHOLDS_WEIGHTS'!H24-'04_THRESHOLDS_WEIGHTS'!I24),IF(G24&gt;'04_THRESHOLDS_WEIGHTS'!J24,0.75+0.25*('04_THRESHOLDS_WEIGHTS'!I24-G24)/('04_THRESHOLDS_WEIGHTS'!I24-'04_THRESHOLDS_WEIGHTS'!J24),1))))))</f>
        <v>0.64851570040670392</v>
      </c>
      <c r="K24" s="6">
        <f>IF(NOT(ISNUMBER(H24)),"",IF(E24="Positive",IF(H24&lt;'04_THRESHOLDS_WEIGHTS'!G24,0,IF(H24&lt;'04_THRESHOLDS_WEIGHTS'!H24,0.25+0.25*(H24-'04_THRESHOLDS_WEIGHTS'!G24)/('04_THRESHOLDS_WEIGHTS'!H24-'04_THRESHOLDS_WEIGHTS'!G24),IF(H24&lt;'04_THRESHOLDS_WEIGHTS'!I24,0.5+0.25*(H24-'04_THRESHOLDS_WEIGHTS'!H24)/('04_THRESHOLDS_WEIGHTS'!I24-'04_THRESHOLDS_WEIGHTS'!H24),IF(H24&lt;'04_THRESHOLDS_WEIGHTS'!J24,0.75+0.25*(H24-'04_THRESHOLDS_WEIGHTS'!I24)/('04_THRESHOLDS_WEIGHTS'!J24-'04_THRESHOLDS_WEIGHTS'!I24),1)))),IF(H24&gt;'04_THRESHOLDS_WEIGHTS'!G24,0,IF(H24&gt;'04_THRESHOLDS_WEIGHTS'!H24,0.25+0.25*('04_THRESHOLDS_WEIGHTS'!G24-H24)/('04_THRESHOLDS_WEIGHTS'!G24-'04_THRESHOLDS_WEIGHTS'!H24),IF(H24&gt;'04_THRESHOLDS_WEIGHTS'!I24,0.5+0.25*('04_THRESHOLDS_WEIGHTS'!H24-H24)/('04_THRESHOLDS_WEIGHTS'!H24-'04_THRESHOLDS_WEIGHTS'!I24),IF(H24&gt;'04_THRESHOLDS_WEIGHTS'!J24,0.75+0.25*('04_THRESHOLDS_WEIGHTS'!I24-H24)/('04_THRESHOLDS_WEIGHTS'!I24-'04_THRESHOLDS_WEIGHTS'!J24),1))))))</f>
        <v>0.6676149569204699</v>
      </c>
      <c r="L24" s="6">
        <f t="shared" si="0"/>
        <v>1.3152813149962306E-2</v>
      </c>
      <c r="M24" s="2" t="s">
        <v>6</v>
      </c>
    </row>
    <row r="25" spans="1:13" ht="15" customHeight="1" x14ac:dyDescent="0.25">
      <c r="A25" s="3" t="s">
        <v>87</v>
      </c>
      <c r="B25" s="3" t="s">
        <v>267</v>
      </c>
      <c r="C25" s="3" t="s">
        <v>268</v>
      </c>
      <c r="D25" s="3" t="s">
        <v>256</v>
      </c>
      <c r="E25" s="3" t="s">
        <v>141</v>
      </c>
      <c r="F25" s="7">
        <f>IFERROR(SUMIFS('06_IMPORT_ANNUAL'!$D$4:$D$328,'06_IMPORT_ANNUAL'!$B$4:$B$328,$B25,'06_IMPORT_ANNUAL'!$C$4:$C$328,"&gt;="&amp;'01_CONTROL'!$B$5,'06_IMPORT_ANNUAL'!$C$4:$C$328,"&lt;="&amp;'01_CONTROL'!$B$6)/COUNTIFS('06_IMPORT_ANNUAL'!$B$4:$B$328,$B25,'06_IMPORT_ANNUAL'!$C$4:$C$328,"&gt;="&amp;'01_CONTROL'!$B$5,'06_IMPORT_ANNUAL'!$C$4:$C$328,"&lt;="&amp;'01_CONTROL'!$B$6),"")</f>
        <v>2.5989975394157493E-2</v>
      </c>
      <c r="G25" s="7">
        <f>IFERROR(SUMIFS('06_IMPORT_ANNUAL'!$D$4:$D$328,'06_IMPORT_ANNUAL'!$B$4:$B$328,$B25,'06_IMPORT_ANNUAL'!$C$4:$C$328,'01_CONTROL'!$B$7)/COUNTIFS('06_IMPORT_ANNUAL'!$B$4:$B$328,$B25,'06_IMPORT_ANNUAL'!$C$4:$C$328,'01_CONTROL'!$B$7),"")</f>
        <v>2.6437243078209351E-2</v>
      </c>
      <c r="H25" s="7">
        <f>IFERROR(SUMIFS('06_IMPORT_ANNUAL'!$D$4:$D$328,'06_IMPORT_ANNUAL'!$B$4:$B$328,$B25,'06_IMPORT_ANNUAL'!$C$4:$C$328,"&gt;="&amp;'01_CONTROL'!$B$8,'06_IMPORT_ANNUAL'!$C$4:$C$328,"&lt;="&amp;'01_CONTROL'!$B$9)/COUNTIFS('06_IMPORT_ANNUAL'!$B$4:$B$328,$B25,'06_IMPORT_ANNUAL'!$C$4:$C$328,"&gt;="&amp;'01_CONTROL'!$B$8,'06_IMPORT_ANNUAL'!$C$4:$C$328,"&lt;="&amp;'01_CONTROL'!$B$9),"")</f>
        <v>2.5000673400269933E-2</v>
      </c>
      <c r="I25" s="6">
        <f>IF(NOT(ISNUMBER(F25)),"",IF(E25="Positive",IF(F25&lt;'04_THRESHOLDS_WEIGHTS'!G25,0,IF(F25&lt;'04_THRESHOLDS_WEIGHTS'!H25,0.25+0.25*(F25-'04_THRESHOLDS_WEIGHTS'!G25)/('04_THRESHOLDS_WEIGHTS'!H25-'04_THRESHOLDS_WEIGHTS'!G25),IF(F25&lt;'04_THRESHOLDS_WEIGHTS'!I25,0.5+0.25*(F25-'04_THRESHOLDS_WEIGHTS'!H25)/('04_THRESHOLDS_WEIGHTS'!I25-'04_THRESHOLDS_WEIGHTS'!H25),IF(F25&lt;'04_THRESHOLDS_WEIGHTS'!J25,0.75+0.25*(F25-'04_THRESHOLDS_WEIGHTS'!I25)/('04_THRESHOLDS_WEIGHTS'!J25-'04_THRESHOLDS_WEIGHTS'!I25),1)))),IF(F25&gt;'04_THRESHOLDS_WEIGHTS'!G25,0,IF(F25&gt;'04_THRESHOLDS_WEIGHTS'!H25,0.25+0.25*('04_THRESHOLDS_WEIGHTS'!G25-F25)/('04_THRESHOLDS_WEIGHTS'!G25-'04_THRESHOLDS_WEIGHTS'!H25),IF(F25&gt;'04_THRESHOLDS_WEIGHTS'!I25,0.5+0.25*('04_THRESHOLDS_WEIGHTS'!H25-F25)/('04_THRESHOLDS_WEIGHTS'!H25-'04_THRESHOLDS_WEIGHTS'!I25),IF(F25&gt;'04_THRESHOLDS_WEIGHTS'!J25,0.75+0.25*('04_THRESHOLDS_WEIGHTS'!I25-F25)/('04_THRESHOLDS_WEIGHTS'!I25-'04_THRESHOLDS_WEIGHTS'!J25),1))))))</f>
        <v>0.67512530757303135</v>
      </c>
      <c r="J25" s="6">
        <f>IF(NOT(ISNUMBER(G25)),"",IF(E25="Positive",IF(G25&lt;'04_THRESHOLDS_WEIGHTS'!G25,0,IF(G25&lt;'04_THRESHOLDS_WEIGHTS'!H25,0.25+0.25*(G25-'04_THRESHOLDS_WEIGHTS'!G25)/('04_THRESHOLDS_WEIGHTS'!H25-'04_THRESHOLDS_WEIGHTS'!G25),IF(G25&lt;'04_THRESHOLDS_WEIGHTS'!I25,0.5+0.25*(G25-'04_THRESHOLDS_WEIGHTS'!H25)/('04_THRESHOLDS_WEIGHTS'!I25-'04_THRESHOLDS_WEIGHTS'!H25),IF(G25&lt;'04_THRESHOLDS_WEIGHTS'!J25,0.75+0.25*(G25-'04_THRESHOLDS_WEIGHTS'!I25)/('04_THRESHOLDS_WEIGHTS'!J25-'04_THRESHOLDS_WEIGHTS'!I25),1)))),IF(G25&gt;'04_THRESHOLDS_WEIGHTS'!G25,0,IF(G25&gt;'04_THRESHOLDS_WEIGHTS'!H25,0.25+0.25*('04_THRESHOLDS_WEIGHTS'!G25-G25)/('04_THRESHOLDS_WEIGHTS'!G25-'04_THRESHOLDS_WEIGHTS'!H25),IF(G25&gt;'04_THRESHOLDS_WEIGHTS'!I25,0.5+0.25*('04_THRESHOLDS_WEIGHTS'!H25-G25)/('04_THRESHOLDS_WEIGHTS'!H25-'04_THRESHOLDS_WEIGHTS'!I25),IF(G25&gt;'04_THRESHOLDS_WEIGHTS'!J25,0.75+0.25*('04_THRESHOLDS_WEIGHTS'!I25-G25)/('04_THRESHOLDS_WEIGHTS'!I25-'04_THRESHOLDS_WEIGHTS'!J25),1))))))</f>
        <v>0.66953446152238305</v>
      </c>
      <c r="K25" s="6">
        <f>IF(NOT(ISNUMBER(H25)),"",IF(E25="Positive",IF(H25&lt;'04_THRESHOLDS_WEIGHTS'!G25,0,IF(H25&lt;'04_THRESHOLDS_WEIGHTS'!H25,0.25+0.25*(H25-'04_THRESHOLDS_WEIGHTS'!G25)/('04_THRESHOLDS_WEIGHTS'!H25-'04_THRESHOLDS_WEIGHTS'!G25),IF(H25&lt;'04_THRESHOLDS_WEIGHTS'!I25,0.5+0.25*(H25-'04_THRESHOLDS_WEIGHTS'!H25)/('04_THRESHOLDS_WEIGHTS'!I25-'04_THRESHOLDS_WEIGHTS'!H25),IF(H25&lt;'04_THRESHOLDS_WEIGHTS'!J25,0.75+0.25*(H25-'04_THRESHOLDS_WEIGHTS'!I25)/('04_THRESHOLDS_WEIGHTS'!J25-'04_THRESHOLDS_WEIGHTS'!I25),1)))),IF(H25&gt;'04_THRESHOLDS_WEIGHTS'!G25,0,IF(H25&gt;'04_THRESHOLDS_WEIGHTS'!H25,0.25+0.25*('04_THRESHOLDS_WEIGHTS'!G25-H25)/('04_THRESHOLDS_WEIGHTS'!G25-'04_THRESHOLDS_WEIGHTS'!H25),IF(H25&gt;'04_THRESHOLDS_WEIGHTS'!I25,0.5+0.25*('04_THRESHOLDS_WEIGHTS'!H25-H25)/('04_THRESHOLDS_WEIGHTS'!H25-'04_THRESHOLDS_WEIGHTS'!I25),IF(H25&gt;'04_THRESHOLDS_WEIGHTS'!J25,0.75+0.25*('04_THRESHOLDS_WEIGHTS'!I25-H25)/('04_THRESHOLDS_WEIGHTS'!I25-'04_THRESHOLDS_WEIGHTS'!J25),1))))))</f>
        <v>0.6874915824966259</v>
      </c>
      <c r="L25" s="6">
        <f t="shared" si="0"/>
        <v>1.2366274923594545E-2</v>
      </c>
      <c r="M25" s="2" t="s">
        <v>6</v>
      </c>
    </row>
    <row r="26" spans="1:13" ht="15" customHeight="1" x14ac:dyDescent="0.25">
      <c r="A26" s="3" t="s">
        <v>87</v>
      </c>
      <c r="B26" s="3" t="s">
        <v>272</v>
      </c>
      <c r="C26" s="3" t="s">
        <v>273</v>
      </c>
      <c r="D26" s="3" t="s">
        <v>275</v>
      </c>
      <c r="E26" s="3" t="s">
        <v>124</v>
      </c>
      <c r="F26" s="7" t="str">
        <f>IFERROR(SUMIFS('06_IMPORT_ANNUAL'!$D$4:$D$328,'06_IMPORT_ANNUAL'!$B$4:$B$328,$B26,'06_IMPORT_ANNUAL'!$C$4:$C$328,"&gt;="&amp;'01_CONTROL'!$B$5,'06_IMPORT_ANNUAL'!$C$4:$C$328,"&lt;="&amp;'01_CONTROL'!$B$6)/COUNTIFS('06_IMPORT_ANNUAL'!$B$4:$B$328,$B26,'06_IMPORT_ANNUAL'!$C$4:$C$328,"&gt;="&amp;'01_CONTROL'!$B$5,'06_IMPORT_ANNUAL'!$C$4:$C$328,"&lt;="&amp;'01_CONTROL'!$B$6),"")</f>
        <v/>
      </c>
      <c r="G26" s="7" t="str">
        <f>IFERROR(SUMIFS('06_IMPORT_ANNUAL'!$D$4:$D$328,'06_IMPORT_ANNUAL'!$B$4:$B$328,$B26,'06_IMPORT_ANNUAL'!$C$4:$C$328,'01_CONTROL'!$B$7)/COUNTIFS('06_IMPORT_ANNUAL'!$B$4:$B$328,$B26,'06_IMPORT_ANNUAL'!$C$4:$C$328,'01_CONTROL'!$B$7),"")</f>
        <v/>
      </c>
      <c r="H26" s="7">
        <f>IFERROR(SUMIFS('06_IMPORT_ANNUAL'!$D$4:$D$328,'06_IMPORT_ANNUAL'!$B$4:$B$328,$B26,'06_IMPORT_ANNUAL'!$C$4:$C$328,"&gt;="&amp;'01_CONTROL'!$B$8,'06_IMPORT_ANNUAL'!$C$4:$C$328,"&lt;="&amp;'01_CONTROL'!$B$9)/COUNTIFS('06_IMPORT_ANNUAL'!$B$4:$B$328,$B26,'06_IMPORT_ANNUAL'!$C$4:$C$328,"&gt;="&amp;'01_CONTROL'!$B$8,'06_IMPORT_ANNUAL'!$C$4:$C$328,"&lt;="&amp;'01_CONTROL'!$B$9),"")</f>
        <v>9.2583037616575589E-2</v>
      </c>
      <c r="I26" s="6" t="str">
        <f>IF(NOT(ISNUMBER(F26)),"",IF(E26="Positive",IF(F26&lt;'04_THRESHOLDS_WEIGHTS'!G26,0,IF(F26&lt;'04_THRESHOLDS_WEIGHTS'!H26,0.25+0.25*(F26-'04_THRESHOLDS_WEIGHTS'!G26)/('04_THRESHOLDS_WEIGHTS'!H26-'04_THRESHOLDS_WEIGHTS'!G26),IF(F26&lt;'04_THRESHOLDS_WEIGHTS'!I26,0.5+0.25*(F26-'04_THRESHOLDS_WEIGHTS'!H26)/('04_THRESHOLDS_WEIGHTS'!I26-'04_THRESHOLDS_WEIGHTS'!H26),IF(F26&lt;'04_THRESHOLDS_WEIGHTS'!J26,0.75+0.25*(F26-'04_THRESHOLDS_WEIGHTS'!I26)/('04_THRESHOLDS_WEIGHTS'!J26-'04_THRESHOLDS_WEIGHTS'!I26),1)))),IF(F26&gt;'04_THRESHOLDS_WEIGHTS'!G26,0,IF(F26&gt;'04_THRESHOLDS_WEIGHTS'!H26,0.25+0.25*('04_THRESHOLDS_WEIGHTS'!G26-F26)/('04_THRESHOLDS_WEIGHTS'!G26-'04_THRESHOLDS_WEIGHTS'!H26),IF(F26&gt;'04_THRESHOLDS_WEIGHTS'!I26,0.5+0.25*('04_THRESHOLDS_WEIGHTS'!H26-F26)/('04_THRESHOLDS_WEIGHTS'!H26-'04_THRESHOLDS_WEIGHTS'!I26),IF(F26&gt;'04_THRESHOLDS_WEIGHTS'!J26,0.75+0.25*('04_THRESHOLDS_WEIGHTS'!I26-F26)/('04_THRESHOLDS_WEIGHTS'!I26-'04_THRESHOLDS_WEIGHTS'!J26),1))))))</f>
        <v/>
      </c>
      <c r="J26" s="6" t="str">
        <f>IF(NOT(ISNUMBER(G26)),"",IF(E26="Positive",IF(G26&lt;'04_THRESHOLDS_WEIGHTS'!G26,0,IF(G26&lt;'04_THRESHOLDS_WEIGHTS'!H26,0.25+0.25*(G26-'04_THRESHOLDS_WEIGHTS'!G26)/('04_THRESHOLDS_WEIGHTS'!H26-'04_THRESHOLDS_WEIGHTS'!G26),IF(G26&lt;'04_THRESHOLDS_WEIGHTS'!I26,0.5+0.25*(G26-'04_THRESHOLDS_WEIGHTS'!H26)/('04_THRESHOLDS_WEIGHTS'!I26-'04_THRESHOLDS_WEIGHTS'!H26),IF(G26&lt;'04_THRESHOLDS_WEIGHTS'!J26,0.75+0.25*(G26-'04_THRESHOLDS_WEIGHTS'!I26)/('04_THRESHOLDS_WEIGHTS'!J26-'04_THRESHOLDS_WEIGHTS'!I26),1)))),IF(G26&gt;'04_THRESHOLDS_WEIGHTS'!G26,0,IF(G26&gt;'04_THRESHOLDS_WEIGHTS'!H26,0.25+0.25*('04_THRESHOLDS_WEIGHTS'!G26-G26)/('04_THRESHOLDS_WEIGHTS'!G26-'04_THRESHOLDS_WEIGHTS'!H26),IF(G26&gt;'04_THRESHOLDS_WEIGHTS'!I26,0.5+0.25*('04_THRESHOLDS_WEIGHTS'!H26-G26)/('04_THRESHOLDS_WEIGHTS'!H26-'04_THRESHOLDS_WEIGHTS'!I26),IF(G26&gt;'04_THRESHOLDS_WEIGHTS'!J26,0.75+0.25*('04_THRESHOLDS_WEIGHTS'!I26-G26)/('04_THRESHOLDS_WEIGHTS'!I26-'04_THRESHOLDS_WEIGHTS'!J26),1))))))</f>
        <v/>
      </c>
      <c r="K26" s="6">
        <f>IF(NOT(ISNUMBER(H26)),"",IF(E26="Positive",IF(H26&lt;'04_THRESHOLDS_WEIGHTS'!G26,0,IF(H26&lt;'04_THRESHOLDS_WEIGHTS'!H26,0.25+0.25*(H26-'04_THRESHOLDS_WEIGHTS'!G26)/('04_THRESHOLDS_WEIGHTS'!H26-'04_THRESHOLDS_WEIGHTS'!G26),IF(H26&lt;'04_THRESHOLDS_WEIGHTS'!I26,0.5+0.25*(H26-'04_THRESHOLDS_WEIGHTS'!H26)/('04_THRESHOLDS_WEIGHTS'!I26-'04_THRESHOLDS_WEIGHTS'!H26),IF(H26&lt;'04_THRESHOLDS_WEIGHTS'!J26,0.75+0.25*(H26-'04_THRESHOLDS_WEIGHTS'!I26)/('04_THRESHOLDS_WEIGHTS'!J26-'04_THRESHOLDS_WEIGHTS'!I26),1)))),IF(H26&gt;'04_THRESHOLDS_WEIGHTS'!G26,0,IF(H26&gt;'04_THRESHOLDS_WEIGHTS'!H26,0.25+0.25*('04_THRESHOLDS_WEIGHTS'!G26-H26)/('04_THRESHOLDS_WEIGHTS'!G26-'04_THRESHOLDS_WEIGHTS'!H26),IF(H26&gt;'04_THRESHOLDS_WEIGHTS'!I26,0.5+0.25*('04_THRESHOLDS_WEIGHTS'!H26-H26)/('04_THRESHOLDS_WEIGHTS'!H26-'04_THRESHOLDS_WEIGHTS'!I26),IF(H26&gt;'04_THRESHOLDS_WEIGHTS'!J26,0.75+0.25*('04_THRESHOLDS_WEIGHTS'!I26-H26)/('04_THRESHOLDS_WEIGHTS'!I26-'04_THRESHOLDS_WEIGHTS'!J26),1))))))</f>
        <v>0.4629151880828779</v>
      </c>
      <c r="L26" s="6" t="str">
        <f t="shared" si="0"/>
        <v/>
      </c>
      <c r="M26" s="2" t="s">
        <v>280</v>
      </c>
    </row>
    <row r="27" spans="1:13" ht="15" customHeight="1" x14ac:dyDescent="0.25">
      <c r="A27" s="3" t="s">
        <v>87</v>
      </c>
      <c r="B27" s="3" t="s">
        <v>281</v>
      </c>
      <c r="C27" s="3" t="s">
        <v>282</v>
      </c>
      <c r="D27" s="3" t="s">
        <v>283</v>
      </c>
      <c r="E27" s="3" t="s">
        <v>124</v>
      </c>
      <c r="F27" s="7">
        <f>IFERROR(SUMIFS('06_IMPORT_ANNUAL'!$D$4:$D$328,'06_IMPORT_ANNUAL'!$B$4:$B$328,$B27,'06_IMPORT_ANNUAL'!$C$4:$C$328,"&gt;="&amp;'01_CONTROL'!$B$5,'06_IMPORT_ANNUAL'!$C$4:$C$328,"&lt;="&amp;'01_CONTROL'!$B$6)/COUNTIFS('06_IMPORT_ANNUAL'!$B$4:$B$328,$B27,'06_IMPORT_ANNUAL'!$C$4:$C$328,"&gt;="&amp;'01_CONTROL'!$B$5,'06_IMPORT_ANNUAL'!$C$4:$C$328,"&lt;="&amp;'01_CONTROL'!$B$6),"")</f>
        <v>0.83392628904820376</v>
      </c>
      <c r="G27" s="7">
        <f>IFERROR(SUMIFS('06_IMPORT_ANNUAL'!$D$4:$D$328,'06_IMPORT_ANNUAL'!$B$4:$B$328,$B27,'06_IMPORT_ANNUAL'!$C$4:$C$328,'01_CONTROL'!$B$7)/COUNTIFS('06_IMPORT_ANNUAL'!$B$4:$B$328,$B27,'06_IMPORT_ANNUAL'!$C$4:$C$328,'01_CONTROL'!$B$7),"")</f>
        <v>0.70940170940170943</v>
      </c>
      <c r="H27" s="7">
        <f>IFERROR(SUMIFS('06_IMPORT_ANNUAL'!$D$4:$D$328,'06_IMPORT_ANNUAL'!$B$4:$B$328,$B27,'06_IMPORT_ANNUAL'!$C$4:$C$328,"&gt;="&amp;'01_CONTROL'!$B$8,'06_IMPORT_ANNUAL'!$C$4:$C$328,"&lt;="&amp;'01_CONTROL'!$B$9)/COUNTIFS('06_IMPORT_ANNUAL'!$B$4:$B$328,$B27,'06_IMPORT_ANNUAL'!$C$4:$C$328,"&gt;="&amp;'01_CONTROL'!$B$8,'06_IMPORT_ANNUAL'!$C$4:$C$328,"&lt;="&amp;'01_CONTROL'!$B$9),"")</f>
        <v>0.79553916017280302</v>
      </c>
      <c r="I27" s="6">
        <f>IF(NOT(ISNUMBER(F27)),"",IF(E27="Positive",IF(F27&lt;'04_THRESHOLDS_WEIGHTS'!G27,0,IF(F27&lt;'04_THRESHOLDS_WEIGHTS'!H27,0.25+0.25*(F27-'04_THRESHOLDS_WEIGHTS'!G27)/('04_THRESHOLDS_WEIGHTS'!H27-'04_THRESHOLDS_WEIGHTS'!G27),IF(F27&lt;'04_THRESHOLDS_WEIGHTS'!I27,0.5+0.25*(F27-'04_THRESHOLDS_WEIGHTS'!H27)/('04_THRESHOLDS_WEIGHTS'!I27-'04_THRESHOLDS_WEIGHTS'!H27),IF(F27&lt;'04_THRESHOLDS_WEIGHTS'!J27,0.75+0.25*(F27-'04_THRESHOLDS_WEIGHTS'!I27)/('04_THRESHOLDS_WEIGHTS'!J27-'04_THRESHOLDS_WEIGHTS'!I27),1)))),IF(F27&gt;'04_THRESHOLDS_WEIGHTS'!G27,0,IF(F27&gt;'04_THRESHOLDS_WEIGHTS'!H27,0.25+0.25*('04_THRESHOLDS_WEIGHTS'!G27-F27)/('04_THRESHOLDS_WEIGHTS'!G27-'04_THRESHOLDS_WEIGHTS'!H27),IF(F27&gt;'04_THRESHOLDS_WEIGHTS'!I27,0.5+0.25*('04_THRESHOLDS_WEIGHTS'!H27-F27)/('04_THRESHOLDS_WEIGHTS'!H27-'04_THRESHOLDS_WEIGHTS'!I27),IF(F27&gt;'04_THRESHOLDS_WEIGHTS'!J27,0.75+0.25*('04_THRESHOLDS_WEIGHTS'!I27-F27)/('04_THRESHOLDS_WEIGHTS'!I27-'04_THRESHOLDS_WEIGHTS'!J27),1))))))</f>
        <v>0.91696314452410188</v>
      </c>
      <c r="J27" s="6">
        <f>IF(NOT(ISNUMBER(G27)),"",IF(E27="Positive",IF(G27&lt;'04_THRESHOLDS_WEIGHTS'!G27,0,IF(G27&lt;'04_THRESHOLDS_WEIGHTS'!H27,0.25+0.25*(G27-'04_THRESHOLDS_WEIGHTS'!G27)/('04_THRESHOLDS_WEIGHTS'!H27-'04_THRESHOLDS_WEIGHTS'!G27),IF(G27&lt;'04_THRESHOLDS_WEIGHTS'!I27,0.5+0.25*(G27-'04_THRESHOLDS_WEIGHTS'!H27)/('04_THRESHOLDS_WEIGHTS'!I27-'04_THRESHOLDS_WEIGHTS'!H27),IF(G27&lt;'04_THRESHOLDS_WEIGHTS'!J27,0.75+0.25*(G27-'04_THRESHOLDS_WEIGHTS'!I27)/('04_THRESHOLDS_WEIGHTS'!J27-'04_THRESHOLDS_WEIGHTS'!I27),1)))),IF(G27&gt;'04_THRESHOLDS_WEIGHTS'!G27,0,IF(G27&gt;'04_THRESHOLDS_WEIGHTS'!H27,0.25+0.25*('04_THRESHOLDS_WEIGHTS'!G27-G27)/('04_THRESHOLDS_WEIGHTS'!G27-'04_THRESHOLDS_WEIGHTS'!H27),IF(G27&gt;'04_THRESHOLDS_WEIGHTS'!I27,0.5+0.25*('04_THRESHOLDS_WEIGHTS'!H27-G27)/('04_THRESHOLDS_WEIGHTS'!H27-'04_THRESHOLDS_WEIGHTS'!I27),IF(G27&gt;'04_THRESHOLDS_WEIGHTS'!J27,0.75+0.25*('04_THRESHOLDS_WEIGHTS'!I27-G27)/('04_THRESHOLDS_WEIGHTS'!I27-'04_THRESHOLDS_WEIGHTS'!J27),1))))))</f>
        <v>0.85470085470085477</v>
      </c>
      <c r="K27" s="6">
        <f>IF(NOT(ISNUMBER(H27)),"",IF(E27="Positive",IF(H27&lt;'04_THRESHOLDS_WEIGHTS'!G27,0,IF(H27&lt;'04_THRESHOLDS_WEIGHTS'!H27,0.25+0.25*(H27-'04_THRESHOLDS_WEIGHTS'!G27)/('04_THRESHOLDS_WEIGHTS'!H27-'04_THRESHOLDS_WEIGHTS'!G27),IF(H27&lt;'04_THRESHOLDS_WEIGHTS'!I27,0.5+0.25*(H27-'04_THRESHOLDS_WEIGHTS'!H27)/('04_THRESHOLDS_WEIGHTS'!I27-'04_THRESHOLDS_WEIGHTS'!H27),IF(H27&lt;'04_THRESHOLDS_WEIGHTS'!J27,0.75+0.25*(H27-'04_THRESHOLDS_WEIGHTS'!I27)/('04_THRESHOLDS_WEIGHTS'!J27-'04_THRESHOLDS_WEIGHTS'!I27),1)))),IF(H27&gt;'04_THRESHOLDS_WEIGHTS'!G27,0,IF(H27&gt;'04_THRESHOLDS_WEIGHTS'!H27,0.25+0.25*('04_THRESHOLDS_WEIGHTS'!G27-H27)/('04_THRESHOLDS_WEIGHTS'!G27-'04_THRESHOLDS_WEIGHTS'!H27),IF(H27&gt;'04_THRESHOLDS_WEIGHTS'!I27,0.5+0.25*('04_THRESHOLDS_WEIGHTS'!H27-H27)/('04_THRESHOLDS_WEIGHTS'!H27-'04_THRESHOLDS_WEIGHTS'!I27),IF(H27&gt;'04_THRESHOLDS_WEIGHTS'!J27,0.75+0.25*('04_THRESHOLDS_WEIGHTS'!I27-H27)/('04_THRESHOLDS_WEIGHTS'!I27-'04_THRESHOLDS_WEIGHTS'!J27),1))))))</f>
        <v>0.89776958008640151</v>
      </c>
      <c r="L27" s="6">
        <f t="shared" si="0"/>
        <v>-1.9193564437700372E-2</v>
      </c>
      <c r="M27" s="2" t="s">
        <v>6</v>
      </c>
    </row>
    <row r="28" spans="1:13" ht="15" customHeight="1" x14ac:dyDescent="0.25">
      <c r="A28" s="3" t="s">
        <v>93</v>
      </c>
      <c r="B28" s="3" t="s">
        <v>287</v>
      </c>
      <c r="C28" s="3" t="s">
        <v>288</v>
      </c>
      <c r="D28" s="3" t="s">
        <v>290</v>
      </c>
      <c r="E28" s="3" t="s">
        <v>141</v>
      </c>
      <c r="F28" s="7">
        <f>IFERROR(SUMIFS('06_IMPORT_ANNUAL'!$D$4:$D$328,'06_IMPORT_ANNUAL'!$B$4:$B$328,$B28,'06_IMPORT_ANNUAL'!$C$4:$C$328,"&gt;="&amp;'01_CONTROL'!$B$5,'06_IMPORT_ANNUAL'!$C$4:$C$328,"&lt;="&amp;'01_CONTROL'!$B$6)/COUNTIFS('06_IMPORT_ANNUAL'!$B$4:$B$328,$B28,'06_IMPORT_ANNUAL'!$C$4:$C$328,"&gt;="&amp;'01_CONTROL'!$B$5,'06_IMPORT_ANNUAL'!$C$4:$C$328,"&lt;="&amp;'01_CONTROL'!$B$6),"")</f>
        <v>441.55248455384179</v>
      </c>
      <c r="G28" s="7">
        <f>IFERROR(SUMIFS('06_IMPORT_ANNUAL'!$D$4:$D$328,'06_IMPORT_ANNUAL'!$B$4:$B$328,$B28,'06_IMPORT_ANNUAL'!$C$4:$C$328,'01_CONTROL'!$B$7)/COUNTIFS('06_IMPORT_ANNUAL'!$B$4:$B$328,$B28,'06_IMPORT_ANNUAL'!$C$4:$C$328,'01_CONTROL'!$B$7),"")</f>
        <v>481.1503887450632</v>
      </c>
      <c r="H28" s="7">
        <f>IFERROR(SUMIFS('06_IMPORT_ANNUAL'!$D$4:$D$328,'06_IMPORT_ANNUAL'!$B$4:$B$328,$B28,'06_IMPORT_ANNUAL'!$C$4:$C$328,"&gt;="&amp;'01_CONTROL'!$B$8,'06_IMPORT_ANNUAL'!$C$4:$C$328,"&lt;="&amp;'01_CONTROL'!$B$9)/COUNTIFS('06_IMPORT_ANNUAL'!$B$4:$B$328,$B28,'06_IMPORT_ANNUAL'!$C$4:$C$328,"&gt;="&amp;'01_CONTROL'!$B$8,'06_IMPORT_ANNUAL'!$C$4:$C$328,"&lt;="&amp;'01_CONTROL'!$B$9),"")</f>
        <v>464.97093722007764</v>
      </c>
      <c r="I28" s="6">
        <f>IF(NOT(ISNUMBER(F28)),"",IF(E28="Positive",IF(F28&lt;'04_THRESHOLDS_WEIGHTS'!G28,0,IF(F28&lt;'04_THRESHOLDS_WEIGHTS'!H28,0.25+0.25*(F28-'04_THRESHOLDS_WEIGHTS'!G28)/('04_THRESHOLDS_WEIGHTS'!H28-'04_THRESHOLDS_WEIGHTS'!G28),IF(F28&lt;'04_THRESHOLDS_WEIGHTS'!I28,0.5+0.25*(F28-'04_THRESHOLDS_WEIGHTS'!H28)/('04_THRESHOLDS_WEIGHTS'!I28-'04_THRESHOLDS_WEIGHTS'!H28),IF(F28&lt;'04_THRESHOLDS_WEIGHTS'!J28,0.75+0.25*(F28-'04_THRESHOLDS_WEIGHTS'!I28)/('04_THRESHOLDS_WEIGHTS'!J28-'04_THRESHOLDS_WEIGHTS'!I28),1)))),IF(F28&gt;'04_THRESHOLDS_WEIGHTS'!G28,0,IF(F28&gt;'04_THRESHOLDS_WEIGHTS'!H28,0.25+0.25*('04_THRESHOLDS_WEIGHTS'!G28-F28)/('04_THRESHOLDS_WEIGHTS'!G28-'04_THRESHOLDS_WEIGHTS'!H28),IF(F28&gt;'04_THRESHOLDS_WEIGHTS'!I28,0.5+0.25*('04_THRESHOLDS_WEIGHTS'!H28-F28)/('04_THRESHOLDS_WEIGHTS'!H28-'04_THRESHOLDS_WEIGHTS'!I28),IF(F28&gt;'04_THRESHOLDS_WEIGHTS'!J28,0.75+0.25*('04_THRESHOLDS_WEIGHTS'!I28-F28)/('04_THRESHOLDS_WEIGHTS'!I28-'04_THRESHOLDS_WEIGHTS'!J28),1))))))</f>
        <v>0.64611878861539551</v>
      </c>
      <c r="J28" s="6">
        <f>IF(NOT(ISNUMBER(G28)),"",IF(E28="Positive",IF(G28&lt;'04_THRESHOLDS_WEIGHTS'!G28,0,IF(G28&lt;'04_THRESHOLDS_WEIGHTS'!H28,0.25+0.25*(G28-'04_THRESHOLDS_WEIGHTS'!G28)/('04_THRESHOLDS_WEIGHTS'!H28-'04_THRESHOLDS_WEIGHTS'!G28),IF(G28&lt;'04_THRESHOLDS_WEIGHTS'!I28,0.5+0.25*(G28-'04_THRESHOLDS_WEIGHTS'!H28)/('04_THRESHOLDS_WEIGHTS'!I28-'04_THRESHOLDS_WEIGHTS'!H28),IF(G28&lt;'04_THRESHOLDS_WEIGHTS'!J28,0.75+0.25*(G28-'04_THRESHOLDS_WEIGHTS'!I28)/('04_THRESHOLDS_WEIGHTS'!J28-'04_THRESHOLDS_WEIGHTS'!I28),1)))),IF(G28&gt;'04_THRESHOLDS_WEIGHTS'!G28,0,IF(G28&gt;'04_THRESHOLDS_WEIGHTS'!H28,0.25+0.25*('04_THRESHOLDS_WEIGHTS'!G28-G28)/('04_THRESHOLDS_WEIGHTS'!G28-'04_THRESHOLDS_WEIGHTS'!H28),IF(G28&gt;'04_THRESHOLDS_WEIGHTS'!I28,0.5+0.25*('04_THRESHOLDS_WEIGHTS'!H28-G28)/('04_THRESHOLDS_WEIGHTS'!H28-'04_THRESHOLDS_WEIGHTS'!I28),IF(G28&gt;'04_THRESHOLDS_WEIGHTS'!J28,0.75+0.25*('04_THRESHOLDS_WEIGHTS'!I28-G28)/('04_THRESHOLDS_WEIGHTS'!I28-'04_THRESHOLDS_WEIGHTS'!J28),1))))))</f>
        <v>0.54712402813734196</v>
      </c>
      <c r="K28" s="6">
        <f>IF(NOT(ISNUMBER(H28)),"",IF(E28="Positive",IF(H28&lt;'04_THRESHOLDS_WEIGHTS'!G28,0,IF(H28&lt;'04_THRESHOLDS_WEIGHTS'!H28,0.25+0.25*(H28-'04_THRESHOLDS_WEIGHTS'!G28)/('04_THRESHOLDS_WEIGHTS'!H28-'04_THRESHOLDS_WEIGHTS'!G28),IF(H28&lt;'04_THRESHOLDS_WEIGHTS'!I28,0.5+0.25*(H28-'04_THRESHOLDS_WEIGHTS'!H28)/('04_THRESHOLDS_WEIGHTS'!I28-'04_THRESHOLDS_WEIGHTS'!H28),IF(H28&lt;'04_THRESHOLDS_WEIGHTS'!J28,0.75+0.25*(H28-'04_THRESHOLDS_WEIGHTS'!I28)/('04_THRESHOLDS_WEIGHTS'!J28-'04_THRESHOLDS_WEIGHTS'!I28),1)))),IF(H28&gt;'04_THRESHOLDS_WEIGHTS'!G28,0,IF(H28&gt;'04_THRESHOLDS_WEIGHTS'!H28,0.25+0.25*('04_THRESHOLDS_WEIGHTS'!G28-H28)/('04_THRESHOLDS_WEIGHTS'!G28-'04_THRESHOLDS_WEIGHTS'!H28),IF(H28&gt;'04_THRESHOLDS_WEIGHTS'!I28,0.5+0.25*('04_THRESHOLDS_WEIGHTS'!H28-H28)/('04_THRESHOLDS_WEIGHTS'!H28-'04_THRESHOLDS_WEIGHTS'!I28),IF(H28&gt;'04_THRESHOLDS_WEIGHTS'!J28,0.75+0.25*('04_THRESHOLDS_WEIGHTS'!I28-H28)/('04_THRESHOLDS_WEIGHTS'!I28-'04_THRESHOLDS_WEIGHTS'!J28),1))))))</f>
        <v>0.58757265694980587</v>
      </c>
      <c r="L28" s="6">
        <f t="shared" si="0"/>
        <v>-5.854613166558964E-2</v>
      </c>
      <c r="M28" s="2" t="s">
        <v>178</v>
      </c>
    </row>
    <row r="29" spans="1:13" ht="15" customHeight="1" x14ac:dyDescent="0.25">
      <c r="A29" s="3" t="s">
        <v>93</v>
      </c>
      <c r="B29" s="3" t="s">
        <v>294</v>
      </c>
      <c r="C29" s="3" t="s">
        <v>295</v>
      </c>
      <c r="D29" s="3" t="s">
        <v>290</v>
      </c>
      <c r="E29" s="3" t="s">
        <v>141</v>
      </c>
      <c r="F29" s="7">
        <f>IFERROR(SUMIFS('06_IMPORT_ANNUAL'!$D$4:$D$328,'06_IMPORT_ANNUAL'!$B$4:$B$328,$B29,'06_IMPORT_ANNUAL'!$C$4:$C$328,"&gt;="&amp;'01_CONTROL'!$B$5,'06_IMPORT_ANNUAL'!$C$4:$C$328,"&lt;="&amp;'01_CONTROL'!$B$6)/COUNTIFS('06_IMPORT_ANNUAL'!$B$4:$B$328,$B29,'06_IMPORT_ANNUAL'!$C$4:$C$328,"&gt;="&amp;'01_CONTROL'!$B$5,'06_IMPORT_ANNUAL'!$C$4:$C$328,"&lt;="&amp;'01_CONTROL'!$B$6),"")</f>
        <v>0.35362832168242164</v>
      </c>
      <c r="G29" s="7">
        <f>IFERROR(SUMIFS('06_IMPORT_ANNUAL'!$D$4:$D$328,'06_IMPORT_ANNUAL'!$B$4:$B$328,$B29,'06_IMPORT_ANNUAL'!$C$4:$C$328,'01_CONTROL'!$B$7)/COUNTIFS('06_IMPORT_ANNUAL'!$B$4:$B$328,$B29,'06_IMPORT_ANNUAL'!$C$4:$C$328,'01_CONTROL'!$B$7),"")</f>
        <v>0.3462157559170298</v>
      </c>
      <c r="H29" s="7">
        <f>IFERROR(SUMIFS('06_IMPORT_ANNUAL'!$D$4:$D$328,'06_IMPORT_ANNUAL'!$B$4:$B$328,$B29,'06_IMPORT_ANNUAL'!$C$4:$C$328,"&gt;="&amp;'01_CONTROL'!$B$8,'06_IMPORT_ANNUAL'!$C$4:$C$328,"&lt;="&amp;'01_CONTROL'!$B$9)/COUNTIFS('06_IMPORT_ANNUAL'!$B$4:$B$328,$B29,'06_IMPORT_ANNUAL'!$C$4:$C$328,"&gt;="&amp;'01_CONTROL'!$B$8,'06_IMPORT_ANNUAL'!$C$4:$C$328,"&lt;="&amp;'01_CONTROL'!$B$9),"")</f>
        <v>0.33790559048153035</v>
      </c>
      <c r="I29" s="6">
        <f>IF(NOT(ISNUMBER(F29)),"",IF(E29="Positive",IF(F29&lt;'04_THRESHOLDS_WEIGHTS'!G29,0,IF(F29&lt;'04_THRESHOLDS_WEIGHTS'!H29,0.25+0.25*(F29-'04_THRESHOLDS_WEIGHTS'!G29)/('04_THRESHOLDS_WEIGHTS'!H29-'04_THRESHOLDS_WEIGHTS'!G29),IF(F29&lt;'04_THRESHOLDS_WEIGHTS'!I29,0.5+0.25*(F29-'04_THRESHOLDS_WEIGHTS'!H29)/('04_THRESHOLDS_WEIGHTS'!I29-'04_THRESHOLDS_WEIGHTS'!H29),IF(F29&lt;'04_THRESHOLDS_WEIGHTS'!J29,0.75+0.25*(F29-'04_THRESHOLDS_WEIGHTS'!I29)/('04_THRESHOLDS_WEIGHTS'!J29-'04_THRESHOLDS_WEIGHTS'!I29),1)))),IF(F29&gt;'04_THRESHOLDS_WEIGHTS'!G29,0,IF(F29&gt;'04_THRESHOLDS_WEIGHTS'!H29,0.25+0.25*('04_THRESHOLDS_WEIGHTS'!G29-F29)/('04_THRESHOLDS_WEIGHTS'!G29-'04_THRESHOLDS_WEIGHTS'!H29),IF(F29&gt;'04_THRESHOLDS_WEIGHTS'!I29,0.5+0.25*('04_THRESHOLDS_WEIGHTS'!H29-F29)/('04_THRESHOLDS_WEIGHTS'!H29-'04_THRESHOLDS_WEIGHTS'!I29),IF(F29&gt;'04_THRESHOLDS_WEIGHTS'!J29,0.75+0.25*('04_THRESHOLDS_WEIGHTS'!I29-F29)/('04_THRESHOLDS_WEIGHTS'!I29-'04_THRESHOLDS_WEIGHTS'!J29),1))))))</f>
        <v>0.49092919579394584</v>
      </c>
      <c r="J29" s="6">
        <f>IF(NOT(ISNUMBER(G29)),"",IF(E29="Positive",IF(G29&lt;'04_THRESHOLDS_WEIGHTS'!G29,0,IF(G29&lt;'04_THRESHOLDS_WEIGHTS'!H29,0.25+0.25*(G29-'04_THRESHOLDS_WEIGHTS'!G29)/('04_THRESHOLDS_WEIGHTS'!H29-'04_THRESHOLDS_WEIGHTS'!G29),IF(G29&lt;'04_THRESHOLDS_WEIGHTS'!I29,0.5+0.25*(G29-'04_THRESHOLDS_WEIGHTS'!H29)/('04_THRESHOLDS_WEIGHTS'!I29-'04_THRESHOLDS_WEIGHTS'!H29),IF(G29&lt;'04_THRESHOLDS_WEIGHTS'!J29,0.75+0.25*(G29-'04_THRESHOLDS_WEIGHTS'!I29)/('04_THRESHOLDS_WEIGHTS'!J29-'04_THRESHOLDS_WEIGHTS'!I29),1)))),IF(G29&gt;'04_THRESHOLDS_WEIGHTS'!G29,0,IF(G29&gt;'04_THRESHOLDS_WEIGHTS'!H29,0.25+0.25*('04_THRESHOLDS_WEIGHTS'!G29-G29)/('04_THRESHOLDS_WEIGHTS'!G29-'04_THRESHOLDS_WEIGHTS'!H29),IF(G29&gt;'04_THRESHOLDS_WEIGHTS'!I29,0.5+0.25*('04_THRESHOLDS_WEIGHTS'!H29-G29)/('04_THRESHOLDS_WEIGHTS'!H29-'04_THRESHOLDS_WEIGHTS'!I29),IF(G29&gt;'04_THRESHOLDS_WEIGHTS'!J29,0.75+0.25*('04_THRESHOLDS_WEIGHTS'!I29-G29)/('04_THRESHOLDS_WEIGHTS'!I29-'04_THRESHOLDS_WEIGHTS'!J29),1))))))</f>
        <v>0.5094606102074255</v>
      </c>
      <c r="K29" s="6">
        <f>IF(NOT(ISNUMBER(H29)),"",IF(E29="Positive",IF(H29&lt;'04_THRESHOLDS_WEIGHTS'!G29,0,IF(H29&lt;'04_THRESHOLDS_WEIGHTS'!H29,0.25+0.25*(H29-'04_THRESHOLDS_WEIGHTS'!G29)/('04_THRESHOLDS_WEIGHTS'!H29-'04_THRESHOLDS_WEIGHTS'!G29),IF(H29&lt;'04_THRESHOLDS_WEIGHTS'!I29,0.5+0.25*(H29-'04_THRESHOLDS_WEIGHTS'!H29)/('04_THRESHOLDS_WEIGHTS'!I29-'04_THRESHOLDS_WEIGHTS'!H29),IF(H29&lt;'04_THRESHOLDS_WEIGHTS'!J29,0.75+0.25*(H29-'04_THRESHOLDS_WEIGHTS'!I29)/('04_THRESHOLDS_WEIGHTS'!J29-'04_THRESHOLDS_WEIGHTS'!I29),1)))),IF(H29&gt;'04_THRESHOLDS_WEIGHTS'!G29,0,IF(H29&gt;'04_THRESHOLDS_WEIGHTS'!H29,0.25+0.25*('04_THRESHOLDS_WEIGHTS'!G29-H29)/('04_THRESHOLDS_WEIGHTS'!G29-'04_THRESHOLDS_WEIGHTS'!H29),IF(H29&gt;'04_THRESHOLDS_WEIGHTS'!I29,0.5+0.25*('04_THRESHOLDS_WEIGHTS'!H29-H29)/('04_THRESHOLDS_WEIGHTS'!H29-'04_THRESHOLDS_WEIGHTS'!I29),IF(H29&gt;'04_THRESHOLDS_WEIGHTS'!J29,0.75+0.25*('04_THRESHOLDS_WEIGHTS'!I29-H29)/('04_THRESHOLDS_WEIGHTS'!I29-'04_THRESHOLDS_WEIGHTS'!J29),1))))))</f>
        <v>0.53023602379617407</v>
      </c>
      <c r="L29" s="6">
        <f t="shared" si="0"/>
        <v>3.9306828002228233E-2</v>
      </c>
      <c r="M29" s="2" t="s">
        <v>178</v>
      </c>
    </row>
    <row r="30" spans="1:13" ht="15" customHeight="1" x14ac:dyDescent="0.25">
      <c r="A30" s="3" t="s">
        <v>93</v>
      </c>
      <c r="B30" s="3" t="s">
        <v>299</v>
      </c>
      <c r="C30" s="3" t="s">
        <v>300</v>
      </c>
      <c r="D30" s="3" t="s">
        <v>290</v>
      </c>
      <c r="E30" s="3" t="s">
        <v>124</v>
      </c>
      <c r="F30" s="7">
        <f>IFERROR(SUMIFS('06_IMPORT_ANNUAL'!$D$4:$D$328,'06_IMPORT_ANNUAL'!$B$4:$B$328,$B30,'06_IMPORT_ANNUAL'!$C$4:$C$328,"&gt;="&amp;'01_CONTROL'!$B$5,'06_IMPORT_ANNUAL'!$C$4:$C$328,"&lt;="&amp;'01_CONTROL'!$B$6)/COUNTIFS('06_IMPORT_ANNUAL'!$B$4:$B$328,$B30,'06_IMPORT_ANNUAL'!$C$4:$C$328,"&gt;="&amp;'01_CONTROL'!$B$5,'06_IMPORT_ANNUAL'!$C$4:$C$328,"&lt;="&amp;'01_CONTROL'!$B$6),"")</f>
        <v>7.8354675130771059E-2</v>
      </c>
      <c r="G30" s="7">
        <f>IFERROR(SUMIFS('06_IMPORT_ANNUAL'!$D$4:$D$328,'06_IMPORT_ANNUAL'!$B$4:$B$328,$B30,'06_IMPORT_ANNUAL'!$C$4:$C$328,'01_CONTROL'!$B$7)/COUNTIFS('06_IMPORT_ANNUAL'!$B$4:$B$328,$B30,'06_IMPORT_ANNUAL'!$C$4:$C$328,'01_CONTROL'!$B$7),"")</f>
        <v>0.13938615849028069</v>
      </c>
      <c r="H30" s="7">
        <f>IFERROR(SUMIFS('06_IMPORT_ANNUAL'!$D$4:$D$328,'06_IMPORT_ANNUAL'!$B$4:$B$328,$B30,'06_IMPORT_ANNUAL'!$C$4:$C$328,"&gt;="&amp;'01_CONTROL'!$B$8,'06_IMPORT_ANNUAL'!$C$4:$C$328,"&lt;="&amp;'01_CONTROL'!$B$9)/COUNTIFS('06_IMPORT_ANNUAL'!$B$4:$B$328,$B30,'06_IMPORT_ANNUAL'!$C$4:$C$328,"&gt;="&amp;'01_CONTROL'!$B$8,'06_IMPORT_ANNUAL'!$C$4:$C$328,"&lt;="&amp;'01_CONTROL'!$B$9),"")</f>
        <v>9.3748407308692439E-2</v>
      </c>
      <c r="I30" s="6">
        <f>IF(NOT(ISNUMBER(F30)),"",IF(E30="Positive",IF(F30&lt;'04_THRESHOLDS_WEIGHTS'!G30,0,IF(F30&lt;'04_THRESHOLDS_WEIGHTS'!H30,0.25+0.25*(F30-'04_THRESHOLDS_WEIGHTS'!G30)/('04_THRESHOLDS_WEIGHTS'!H30-'04_THRESHOLDS_WEIGHTS'!G30),IF(F30&lt;'04_THRESHOLDS_WEIGHTS'!I30,0.5+0.25*(F30-'04_THRESHOLDS_WEIGHTS'!H30)/('04_THRESHOLDS_WEIGHTS'!I30-'04_THRESHOLDS_WEIGHTS'!H30),IF(F30&lt;'04_THRESHOLDS_WEIGHTS'!J30,0.75+0.25*(F30-'04_THRESHOLDS_WEIGHTS'!I30)/('04_THRESHOLDS_WEIGHTS'!J30-'04_THRESHOLDS_WEIGHTS'!I30),1)))),IF(F30&gt;'04_THRESHOLDS_WEIGHTS'!G30,0,IF(F30&gt;'04_THRESHOLDS_WEIGHTS'!H30,0.25+0.25*('04_THRESHOLDS_WEIGHTS'!G30-F30)/('04_THRESHOLDS_WEIGHTS'!G30-'04_THRESHOLDS_WEIGHTS'!H30),IF(F30&gt;'04_THRESHOLDS_WEIGHTS'!I30,0.5+0.25*('04_THRESHOLDS_WEIGHTS'!H30-F30)/('04_THRESHOLDS_WEIGHTS'!H30-'04_THRESHOLDS_WEIGHTS'!I30),IF(F30&gt;'04_THRESHOLDS_WEIGHTS'!J30,0.75+0.25*('04_THRESHOLDS_WEIGHTS'!I30-F30)/('04_THRESHOLDS_WEIGHTS'!I30-'04_THRESHOLDS_WEIGHTS'!J30),1))))))</f>
        <v>0</v>
      </c>
      <c r="J30" s="6">
        <f>IF(NOT(ISNUMBER(G30)),"",IF(E30="Positive",IF(G30&lt;'04_THRESHOLDS_WEIGHTS'!G30,0,IF(G30&lt;'04_THRESHOLDS_WEIGHTS'!H30,0.25+0.25*(G30-'04_THRESHOLDS_WEIGHTS'!G30)/('04_THRESHOLDS_WEIGHTS'!H30-'04_THRESHOLDS_WEIGHTS'!G30),IF(G30&lt;'04_THRESHOLDS_WEIGHTS'!I30,0.5+0.25*(G30-'04_THRESHOLDS_WEIGHTS'!H30)/('04_THRESHOLDS_WEIGHTS'!I30-'04_THRESHOLDS_WEIGHTS'!H30),IF(G30&lt;'04_THRESHOLDS_WEIGHTS'!J30,0.75+0.25*(G30-'04_THRESHOLDS_WEIGHTS'!I30)/('04_THRESHOLDS_WEIGHTS'!J30-'04_THRESHOLDS_WEIGHTS'!I30),1)))),IF(G30&gt;'04_THRESHOLDS_WEIGHTS'!G30,0,IF(G30&gt;'04_THRESHOLDS_WEIGHTS'!H30,0.25+0.25*('04_THRESHOLDS_WEIGHTS'!G30-G30)/('04_THRESHOLDS_WEIGHTS'!G30-'04_THRESHOLDS_WEIGHTS'!H30),IF(G30&gt;'04_THRESHOLDS_WEIGHTS'!I30,0.5+0.25*('04_THRESHOLDS_WEIGHTS'!H30-G30)/('04_THRESHOLDS_WEIGHTS'!H30-'04_THRESHOLDS_WEIGHTS'!I30),IF(G30&gt;'04_THRESHOLDS_WEIGHTS'!J30,0.75+0.25*('04_THRESHOLDS_WEIGHTS'!I30-G30)/('04_THRESHOLDS_WEIGHTS'!I30-'04_THRESHOLDS_WEIGHTS'!J30),1))))))</f>
        <v>0</v>
      </c>
      <c r="K30" s="6">
        <f>IF(NOT(ISNUMBER(H30)),"",IF(E30="Positive",IF(H30&lt;'04_THRESHOLDS_WEIGHTS'!G30,0,IF(H30&lt;'04_THRESHOLDS_WEIGHTS'!H30,0.25+0.25*(H30-'04_THRESHOLDS_WEIGHTS'!G30)/('04_THRESHOLDS_WEIGHTS'!H30-'04_THRESHOLDS_WEIGHTS'!G30),IF(H30&lt;'04_THRESHOLDS_WEIGHTS'!I30,0.5+0.25*(H30-'04_THRESHOLDS_WEIGHTS'!H30)/('04_THRESHOLDS_WEIGHTS'!I30-'04_THRESHOLDS_WEIGHTS'!H30),IF(H30&lt;'04_THRESHOLDS_WEIGHTS'!J30,0.75+0.25*(H30-'04_THRESHOLDS_WEIGHTS'!I30)/('04_THRESHOLDS_WEIGHTS'!J30-'04_THRESHOLDS_WEIGHTS'!I30),1)))),IF(H30&gt;'04_THRESHOLDS_WEIGHTS'!G30,0,IF(H30&gt;'04_THRESHOLDS_WEIGHTS'!H30,0.25+0.25*('04_THRESHOLDS_WEIGHTS'!G30-H30)/('04_THRESHOLDS_WEIGHTS'!G30-'04_THRESHOLDS_WEIGHTS'!H30),IF(H30&gt;'04_THRESHOLDS_WEIGHTS'!I30,0.5+0.25*('04_THRESHOLDS_WEIGHTS'!H30-H30)/('04_THRESHOLDS_WEIGHTS'!H30-'04_THRESHOLDS_WEIGHTS'!I30),IF(H30&gt;'04_THRESHOLDS_WEIGHTS'!J30,0.75+0.25*('04_THRESHOLDS_WEIGHTS'!I30-H30)/('04_THRESHOLDS_WEIGHTS'!I30-'04_THRESHOLDS_WEIGHTS'!J30),1))))))</f>
        <v>0</v>
      </c>
      <c r="L30" s="6">
        <f t="shared" si="0"/>
        <v>0</v>
      </c>
      <c r="M30" s="2" t="s">
        <v>178</v>
      </c>
    </row>
    <row r="31" spans="1:13" ht="15" customHeight="1" x14ac:dyDescent="0.25">
      <c r="A31" s="3" t="s">
        <v>93</v>
      </c>
      <c r="B31" s="3" t="s">
        <v>304</v>
      </c>
      <c r="C31" s="3" t="s">
        <v>305</v>
      </c>
      <c r="D31" s="3" t="s">
        <v>306</v>
      </c>
      <c r="E31" s="3" t="s">
        <v>141</v>
      </c>
      <c r="F31" s="7">
        <f>IFERROR(SUMIFS('06_IMPORT_ANNUAL'!$D$4:$D$328,'06_IMPORT_ANNUAL'!$B$4:$B$328,$B31,'06_IMPORT_ANNUAL'!$C$4:$C$328,"&gt;="&amp;'01_CONTROL'!$B$5,'06_IMPORT_ANNUAL'!$C$4:$C$328,"&lt;="&amp;'01_CONTROL'!$B$6)/COUNTIFS('06_IMPORT_ANNUAL'!$B$4:$B$328,$B31,'06_IMPORT_ANNUAL'!$C$4:$C$328,"&gt;="&amp;'01_CONTROL'!$B$5,'06_IMPORT_ANNUAL'!$C$4:$C$328,"&lt;="&amp;'01_CONTROL'!$B$6),"")</f>
        <v>1.0024390360141162</v>
      </c>
      <c r="G31" s="7">
        <f>IFERROR(SUMIFS('06_IMPORT_ANNUAL'!$D$4:$D$328,'06_IMPORT_ANNUAL'!$B$4:$B$328,$B31,'06_IMPORT_ANNUAL'!$C$4:$C$328,'01_CONTROL'!$B$7)/COUNTIFS('06_IMPORT_ANNUAL'!$B$4:$B$328,$B31,'06_IMPORT_ANNUAL'!$C$4:$C$328,'01_CONTROL'!$B$7),"")</f>
        <v>1.0469067090437436</v>
      </c>
      <c r="H31" s="7">
        <f>IFERROR(SUMIFS('06_IMPORT_ANNUAL'!$D$4:$D$328,'06_IMPORT_ANNUAL'!$B$4:$B$328,$B31,'06_IMPORT_ANNUAL'!$C$4:$C$328,"&gt;="&amp;'01_CONTROL'!$B$8,'06_IMPORT_ANNUAL'!$C$4:$C$328,"&lt;="&amp;'01_CONTROL'!$B$9)/COUNTIFS('06_IMPORT_ANNUAL'!$B$4:$B$328,$B31,'06_IMPORT_ANNUAL'!$C$4:$C$328,"&gt;="&amp;'01_CONTROL'!$B$8,'06_IMPORT_ANNUAL'!$C$4:$C$328,"&lt;="&amp;'01_CONTROL'!$B$9),"")</f>
        <v>1.0031620642009731</v>
      </c>
      <c r="I31" s="6">
        <f>IF(NOT(ISNUMBER(F31)),"",IF(E31="Positive",IF(F31&lt;'04_THRESHOLDS_WEIGHTS'!G31,0,IF(F31&lt;'04_THRESHOLDS_WEIGHTS'!H31,0.25+0.25*(F31-'04_THRESHOLDS_WEIGHTS'!G31)/('04_THRESHOLDS_WEIGHTS'!H31-'04_THRESHOLDS_WEIGHTS'!G31),IF(F31&lt;'04_THRESHOLDS_WEIGHTS'!I31,0.5+0.25*(F31-'04_THRESHOLDS_WEIGHTS'!H31)/('04_THRESHOLDS_WEIGHTS'!I31-'04_THRESHOLDS_WEIGHTS'!H31),IF(F31&lt;'04_THRESHOLDS_WEIGHTS'!J31,0.75+0.25*(F31-'04_THRESHOLDS_WEIGHTS'!I31)/('04_THRESHOLDS_WEIGHTS'!J31-'04_THRESHOLDS_WEIGHTS'!I31),1)))),IF(F31&gt;'04_THRESHOLDS_WEIGHTS'!G31,0,IF(F31&gt;'04_THRESHOLDS_WEIGHTS'!H31,0.25+0.25*('04_THRESHOLDS_WEIGHTS'!G31-F31)/('04_THRESHOLDS_WEIGHTS'!G31-'04_THRESHOLDS_WEIGHTS'!H31),IF(F31&gt;'04_THRESHOLDS_WEIGHTS'!I31,0.5+0.25*('04_THRESHOLDS_WEIGHTS'!H31-F31)/('04_THRESHOLDS_WEIGHTS'!H31-'04_THRESHOLDS_WEIGHTS'!I31),IF(F31&gt;'04_THRESHOLDS_WEIGHTS'!J31,0.75+0.25*('04_THRESHOLDS_WEIGHTS'!I31-F31)/('04_THRESHOLDS_WEIGHTS'!I31-'04_THRESHOLDS_WEIGHTS'!J31),1))))))</f>
        <v>0.53963413665490323</v>
      </c>
      <c r="J31" s="6">
        <f>IF(NOT(ISNUMBER(G31)),"",IF(E31="Positive",IF(G31&lt;'04_THRESHOLDS_WEIGHTS'!G31,0,IF(G31&lt;'04_THRESHOLDS_WEIGHTS'!H31,0.25+0.25*(G31-'04_THRESHOLDS_WEIGHTS'!G31)/('04_THRESHOLDS_WEIGHTS'!H31-'04_THRESHOLDS_WEIGHTS'!G31),IF(G31&lt;'04_THRESHOLDS_WEIGHTS'!I31,0.5+0.25*(G31-'04_THRESHOLDS_WEIGHTS'!H31)/('04_THRESHOLDS_WEIGHTS'!I31-'04_THRESHOLDS_WEIGHTS'!H31),IF(G31&lt;'04_THRESHOLDS_WEIGHTS'!J31,0.75+0.25*(G31-'04_THRESHOLDS_WEIGHTS'!I31)/('04_THRESHOLDS_WEIGHTS'!J31-'04_THRESHOLDS_WEIGHTS'!I31),1)))),IF(G31&gt;'04_THRESHOLDS_WEIGHTS'!G31,0,IF(G31&gt;'04_THRESHOLDS_WEIGHTS'!H31,0.25+0.25*('04_THRESHOLDS_WEIGHTS'!G31-G31)/('04_THRESHOLDS_WEIGHTS'!G31-'04_THRESHOLDS_WEIGHTS'!H31),IF(G31&gt;'04_THRESHOLDS_WEIGHTS'!I31,0.5+0.25*('04_THRESHOLDS_WEIGHTS'!H31-G31)/('04_THRESHOLDS_WEIGHTS'!H31-'04_THRESHOLDS_WEIGHTS'!I31),IF(G31&gt;'04_THRESHOLDS_WEIGHTS'!J31,0.75+0.25*('04_THRESHOLDS_WEIGHTS'!I31-G31)/('04_THRESHOLDS_WEIGHTS'!I31-'04_THRESHOLDS_WEIGHTS'!J31),1))))))</f>
        <v>0.50257774246354703</v>
      </c>
      <c r="K31" s="6">
        <f>IF(NOT(ISNUMBER(H31)),"",IF(E31="Positive",IF(H31&lt;'04_THRESHOLDS_WEIGHTS'!G31,0,IF(H31&lt;'04_THRESHOLDS_WEIGHTS'!H31,0.25+0.25*(H31-'04_THRESHOLDS_WEIGHTS'!G31)/('04_THRESHOLDS_WEIGHTS'!H31-'04_THRESHOLDS_WEIGHTS'!G31),IF(H31&lt;'04_THRESHOLDS_WEIGHTS'!I31,0.5+0.25*(H31-'04_THRESHOLDS_WEIGHTS'!H31)/('04_THRESHOLDS_WEIGHTS'!I31-'04_THRESHOLDS_WEIGHTS'!H31),IF(H31&lt;'04_THRESHOLDS_WEIGHTS'!J31,0.75+0.25*(H31-'04_THRESHOLDS_WEIGHTS'!I31)/('04_THRESHOLDS_WEIGHTS'!J31-'04_THRESHOLDS_WEIGHTS'!I31),1)))),IF(H31&gt;'04_THRESHOLDS_WEIGHTS'!G31,0,IF(H31&gt;'04_THRESHOLDS_WEIGHTS'!H31,0.25+0.25*('04_THRESHOLDS_WEIGHTS'!G31-H31)/('04_THRESHOLDS_WEIGHTS'!G31-'04_THRESHOLDS_WEIGHTS'!H31),IF(H31&gt;'04_THRESHOLDS_WEIGHTS'!I31,0.5+0.25*('04_THRESHOLDS_WEIGHTS'!H31-H31)/('04_THRESHOLDS_WEIGHTS'!H31-'04_THRESHOLDS_WEIGHTS'!I31),IF(H31&gt;'04_THRESHOLDS_WEIGHTS'!J31,0.75+0.25*('04_THRESHOLDS_WEIGHTS'!I31-H31)/('04_THRESHOLDS_WEIGHTS'!I31-'04_THRESHOLDS_WEIGHTS'!J31),1))))))</f>
        <v>0.53903161316585579</v>
      </c>
      <c r="L31" s="6">
        <f t="shared" si="0"/>
        <v>-6.0252348904743513E-4</v>
      </c>
      <c r="M31" s="2" t="s">
        <v>311</v>
      </c>
    </row>
    <row r="32" spans="1:13" ht="15" customHeight="1" x14ac:dyDescent="0.25">
      <c r="A32" s="3" t="s">
        <v>93</v>
      </c>
      <c r="B32" s="3" t="s">
        <v>312</v>
      </c>
      <c r="C32" s="3" t="s">
        <v>313</v>
      </c>
      <c r="D32" s="3" t="s">
        <v>306</v>
      </c>
      <c r="E32" s="3" t="s">
        <v>124</v>
      </c>
      <c r="F32" s="7">
        <f>IFERROR(SUMIFS('06_IMPORT_ANNUAL'!$D$4:$D$328,'06_IMPORT_ANNUAL'!$B$4:$B$328,$B32,'06_IMPORT_ANNUAL'!$C$4:$C$328,"&gt;="&amp;'01_CONTROL'!$B$5,'06_IMPORT_ANNUAL'!$C$4:$C$328,"&lt;="&amp;'01_CONTROL'!$B$6)/COUNTIFS('06_IMPORT_ANNUAL'!$B$4:$B$328,$B32,'06_IMPORT_ANNUAL'!$C$4:$C$328,"&gt;="&amp;'01_CONTROL'!$B$5,'06_IMPORT_ANNUAL'!$C$4:$C$328,"&lt;="&amp;'01_CONTROL'!$B$6),"")</f>
        <v>0.55599723365663856</v>
      </c>
      <c r="G32" s="7">
        <f>IFERROR(SUMIFS('06_IMPORT_ANNUAL'!$D$4:$D$328,'06_IMPORT_ANNUAL'!$B$4:$B$328,$B32,'06_IMPORT_ANNUAL'!$C$4:$C$328,'01_CONTROL'!$B$7)/COUNTIFS('06_IMPORT_ANNUAL'!$B$4:$B$328,$B32,'06_IMPORT_ANNUAL'!$C$4:$C$328,'01_CONTROL'!$B$7),"")</f>
        <v>0.55066357946839872</v>
      </c>
      <c r="H32" s="7">
        <f>IFERROR(SUMIFS('06_IMPORT_ANNUAL'!$D$4:$D$328,'06_IMPORT_ANNUAL'!$B$4:$B$328,$B32,'06_IMPORT_ANNUAL'!$C$4:$C$328,"&gt;="&amp;'01_CONTROL'!$B$8,'06_IMPORT_ANNUAL'!$C$4:$C$328,"&lt;="&amp;'01_CONTROL'!$B$9)/COUNTIFS('06_IMPORT_ANNUAL'!$B$4:$B$328,$B32,'06_IMPORT_ANNUAL'!$C$4:$C$328,"&gt;="&amp;'01_CONTROL'!$B$8,'06_IMPORT_ANNUAL'!$C$4:$C$328,"&lt;="&amp;'01_CONTROL'!$B$9),"")</f>
        <v>0.58306003994011824</v>
      </c>
      <c r="I32" s="6">
        <f>IF(NOT(ISNUMBER(F32)),"",IF(E32="Positive",IF(F32&lt;'04_THRESHOLDS_WEIGHTS'!G32,0,IF(F32&lt;'04_THRESHOLDS_WEIGHTS'!H32,0.25+0.25*(F32-'04_THRESHOLDS_WEIGHTS'!G32)/('04_THRESHOLDS_WEIGHTS'!H32-'04_THRESHOLDS_WEIGHTS'!G32),IF(F32&lt;'04_THRESHOLDS_WEIGHTS'!I32,0.5+0.25*(F32-'04_THRESHOLDS_WEIGHTS'!H32)/('04_THRESHOLDS_WEIGHTS'!I32-'04_THRESHOLDS_WEIGHTS'!H32),IF(F32&lt;'04_THRESHOLDS_WEIGHTS'!J32,0.75+0.25*(F32-'04_THRESHOLDS_WEIGHTS'!I32)/('04_THRESHOLDS_WEIGHTS'!J32-'04_THRESHOLDS_WEIGHTS'!I32),1)))),IF(F32&gt;'04_THRESHOLDS_WEIGHTS'!G32,0,IF(F32&gt;'04_THRESHOLDS_WEIGHTS'!H32,0.25+0.25*('04_THRESHOLDS_WEIGHTS'!G32-F32)/('04_THRESHOLDS_WEIGHTS'!G32-'04_THRESHOLDS_WEIGHTS'!H32),IF(F32&gt;'04_THRESHOLDS_WEIGHTS'!I32,0.5+0.25*('04_THRESHOLDS_WEIGHTS'!H32-F32)/('04_THRESHOLDS_WEIGHTS'!H32-'04_THRESHOLDS_WEIGHTS'!I32),IF(F32&gt;'04_THRESHOLDS_WEIGHTS'!J32,0.75+0.25*('04_THRESHOLDS_WEIGHTS'!I32-F32)/('04_THRESHOLDS_WEIGHTS'!I32-'04_THRESHOLDS_WEIGHTS'!J32),1))))))</f>
        <v>0.55599723365663856</v>
      </c>
      <c r="J32" s="6">
        <f>IF(NOT(ISNUMBER(G32)),"",IF(E32="Positive",IF(G32&lt;'04_THRESHOLDS_WEIGHTS'!G32,0,IF(G32&lt;'04_THRESHOLDS_WEIGHTS'!H32,0.25+0.25*(G32-'04_THRESHOLDS_WEIGHTS'!G32)/('04_THRESHOLDS_WEIGHTS'!H32-'04_THRESHOLDS_WEIGHTS'!G32),IF(G32&lt;'04_THRESHOLDS_WEIGHTS'!I32,0.5+0.25*(G32-'04_THRESHOLDS_WEIGHTS'!H32)/('04_THRESHOLDS_WEIGHTS'!I32-'04_THRESHOLDS_WEIGHTS'!H32),IF(G32&lt;'04_THRESHOLDS_WEIGHTS'!J32,0.75+0.25*(G32-'04_THRESHOLDS_WEIGHTS'!I32)/('04_THRESHOLDS_WEIGHTS'!J32-'04_THRESHOLDS_WEIGHTS'!I32),1)))),IF(G32&gt;'04_THRESHOLDS_WEIGHTS'!G32,0,IF(G32&gt;'04_THRESHOLDS_WEIGHTS'!H32,0.25+0.25*('04_THRESHOLDS_WEIGHTS'!G32-G32)/('04_THRESHOLDS_WEIGHTS'!G32-'04_THRESHOLDS_WEIGHTS'!H32),IF(G32&gt;'04_THRESHOLDS_WEIGHTS'!I32,0.5+0.25*('04_THRESHOLDS_WEIGHTS'!H32-G32)/('04_THRESHOLDS_WEIGHTS'!H32-'04_THRESHOLDS_WEIGHTS'!I32),IF(G32&gt;'04_THRESHOLDS_WEIGHTS'!J32,0.75+0.25*('04_THRESHOLDS_WEIGHTS'!I32-G32)/('04_THRESHOLDS_WEIGHTS'!I32-'04_THRESHOLDS_WEIGHTS'!J32),1))))))</f>
        <v>0.55066357946839872</v>
      </c>
      <c r="K32" s="6">
        <f>IF(NOT(ISNUMBER(H32)),"",IF(E32="Positive",IF(H32&lt;'04_THRESHOLDS_WEIGHTS'!G32,0,IF(H32&lt;'04_THRESHOLDS_WEIGHTS'!H32,0.25+0.25*(H32-'04_THRESHOLDS_WEIGHTS'!G32)/('04_THRESHOLDS_WEIGHTS'!H32-'04_THRESHOLDS_WEIGHTS'!G32),IF(H32&lt;'04_THRESHOLDS_WEIGHTS'!I32,0.5+0.25*(H32-'04_THRESHOLDS_WEIGHTS'!H32)/('04_THRESHOLDS_WEIGHTS'!I32-'04_THRESHOLDS_WEIGHTS'!H32),IF(H32&lt;'04_THRESHOLDS_WEIGHTS'!J32,0.75+0.25*(H32-'04_THRESHOLDS_WEIGHTS'!I32)/('04_THRESHOLDS_WEIGHTS'!J32-'04_THRESHOLDS_WEIGHTS'!I32),1)))),IF(H32&gt;'04_THRESHOLDS_WEIGHTS'!G32,0,IF(H32&gt;'04_THRESHOLDS_WEIGHTS'!H32,0.25+0.25*('04_THRESHOLDS_WEIGHTS'!G32-H32)/('04_THRESHOLDS_WEIGHTS'!G32-'04_THRESHOLDS_WEIGHTS'!H32),IF(H32&gt;'04_THRESHOLDS_WEIGHTS'!I32,0.5+0.25*('04_THRESHOLDS_WEIGHTS'!H32-H32)/('04_THRESHOLDS_WEIGHTS'!H32-'04_THRESHOLDS_WEIGHTS'!I32),IF(H32&gt;'04_THRESHOLDS_WEIGHTS'!J32,0.75+0.25*('04_THRESHOLDS_WEIGHTS'!I32-H32)/('04_THRESHOLDS_WEIGHTS'!I32-'04_THRESHOLDS_WEIGHTS'!J32),1))))))</f>
        <v>0.58306003994011824</v>
      </c>
      <c r="L32" s="6">
        <f t="shared" si="0"/>
        <v>2.7062806283479679E-2</v>
      </c>
      <c r="M32" s="2" t="s">
        <v>6</v>
      </c>
    </row>
    <row r="33" spans="1:13" ht="15" customHeight="1" x14ac:dyDescent="0.25">
      <c r="A33" s="3" t="s">
        <v>93</v>
      </c>
      <c r="B33" s="3" t="s">
        <v>317</v>
      </c>
      <c r="C33" s="3" t="s">
        <v>318</v>
      </c>
      <c r="D33" s="3" t="s">
        <v>319</v>
      </c>
      <c r="E33" s="3" t="s">
        <v>124</v>
      </c>
      <c r="F33" s="7">
        <f>IFERROR(SUMIFS('06_IMPORT_ANNUAL'!$D$4:$D$328,'06_IMPORT_ANNUAL'!$B$4:$B$328,$B33,'06_IMPORT_ANNUAL'!$C$4:$C$328,"&gt;="&amp;'01_CONTROL'!$B$5,'06_IMPORT_ANNUAL'!$C$4:$C$328,"&lt;="&amp;'01_CONTROL'!$B$6)/COUNTIFS('06_IMPORT_ANNUAL'!$B$4:$B$328,$B33,'06_IMPORT_ANNUAL'!$C$4:$C$328,"&gt;="&amp;'01_CONTROL'!$B$5,'06_IMPORT_ANNUAL'!$C$4:$C$328,"&lt;="&amp;'01_CONTROL'!$B$6),"")</f>
        <v>0.5545780305213116</v>
      </c>
      <c r="G33" s="7">
        <f>IFERROR(SUMIFS('06_IMPORT_ANNUAL'!$D$4:$D$328,'06_IMPORT_ANNUAL'!$B$4:$B$328,$B33,'06_IMPORT_ANNUAL'!$C$4:$C$328,'01_CONTROL'!$B$7)/COUNTIFS('06_IMPORT_ANNUAL'!$B$4:$B$328,$B33,'06_IMPORT_ANNUAL'!$C$4:$C$328,'01_CONTROL'!$B$7),"")</f>
        <v>0.55486945066359095</v>
      </c>
      <c r="H33" s="7">
        <f>IFERROR(SUMIFS('06_IMPORT_ANNUAL'!$D$4:$D$328,'06_IMPORT_ANNUAL'!$B$4:$B$328,$B33,'06_IMPORT_ANNUAL'!$C$4:$C$328,"&gt;="&amp;'01_CONTROL'!$B$8,'06_IMPORT_ANNUAL'!$C$4:$C$328,"&lt;="&amp;'01_CONTROL'!$B$9)/COUNTIFS('06_IMPORT_ANNUAL'!$B$4:$B$328,$B33,'06_IMPORT_ANNUAL'!$C$4:$C$328,"&gt;="&amp;'01_CONTROL'!$B$8,'06_IMPORT_ANNUAL'!$C$4:$C$328,"&lt;="&amp;'01_CONTROL'!$B$9),"")</f>
        <v>0.54016682376153202</v>
      </c>
      <c r="I33" s="6">
        <f>IF(NOT(ISNUMBER(F33)),"",IF(E33="Positive",IF(F33&lt;'04_THRESHOLDS_WEIGHTS'!G33,0,IF(F33&lt;'04_THRESHOLDS_WEIGHTS'!H33,0.25+0.25*(F33-'04_THRESHOLDS_WEIGHTS'!G33)/('04_THRESHOLDS_WEIGHTS'!H33-'04_THRESHOLDS_WEIGHTS'!G33),IF(F33&lt;'04_THRESHOLDS_WEIGHTS'!I33,0.5+0.25*(F33-'04_THRESHOLDS_WEIGHTS'!H33)/('04_THRESHOLDS_WEIGHTS'!I33-'04_THRESHOLDS_WEIGHTS'!H33),IF(F33&lt;'04_THRESHOLDS_WEIGHTS'!J33,0.75+0.25*(F33-'04_THRESHOLDS_WEIGHTS'!I33)/('04_THRESHOLDS_WEIGHTS'!J33-'04_THRESHOLDS_WEIGHTS'!I33),1)))),IF(F33&gt;'04_THRESHOLDS_WEIGHTS'!G33,0,IF(F33&gt;'04_THRESHOLDS_WEIGHTS'!H33,0.25+0.25*('04_THRESHOLDS_WEIGHTS'!G33-F33)/('04_THRESHOLDS_WEIGHTS'!G33-'04_THRESHOLDS_WEIGHTS'!H33),IF(F33&gt;'04_THRESHOLDS_WEIGHTS'!I33,0.5+0.25*('04_THRESHOLDS_WEIGHTS'!H33-F33)/('04_THRESHOLDS_WEIGHTS'!H33-'04_THRESHOLDS_WEIGHTS'!I33),IF(F33&gt;'04_THRESHOLDS_WEIGHTS'!J33,0.75+0.25*('04_THRESHOLDS_WEIGHTS'!I33-F33)/('04_THRESHOLDS_WEIGHTS'!I33-'04_THRESHOLDS_WEIGHTS'!J33),1))))))</f>
        <v>1</v>
      </c>
      <c r="J33" s="6">
        <f>IF(NOT(ISNUMBER(G33)),"",IF(E33="Positive",IF(G33&lt;'04_THRESHOLDS_WEIGHTS'!G33,0,IF(G33&lt;'04_THRESHOLDS_WEIGHTS'!H33,0.25+0.25*(G33-'04_THRESHOLDS_WEIGHTS'!G33)/('04_THRESHOLDS_WEIGHTS'!H33-'04_THRESHOLDS_WEIGHTS'!G33),IF(G33&lt;'04_THRESHOLDS_WEIGHTS'!I33,0.5+0.25*(G33-'04_THRESHOLDS_WEIGHTS'!H33)/('04_THRESHOLDS_WEIGHTS'!I33-'04_THRESHOLDS_WEIGHTS'!H33),IF(G33&lt;'04_THRESHOLDS_WEIGHTS'!J33,0.75+0.25*(G33-'04_THRESHOLDS_WEIGHTS'!I33)/('04_THRESHOLDS_WEIGHTS'!J33-'04_THRESHOLDS_WEIGHTS'!I33),1)))),IF(G33&gt;'04_THRESHOLDS_WEIGHTS'!G33,0,IF(G33&gt;'04_THRESHOLDS_WEIGHTS'!H33,0.25+0.25*('04_THRESHOLDS_WEIGHTS'!G33-G33)/('04_THRESHOLDS_WEIGHTS'!G33-'04_THRESHOLDS_WEIGHTS'!H33),IF(G33&gt;'04_THRESHOLDS_WEIGHTS'!I33,0.5+0.25*('04_THRESHOLDS_WEIGHTS'!H33-G33)/('04_THRESHOLDS_WEIGHTS'!H33-'04_THRESHOLDS_WEIGHTS'!I33),IF(G33&gt;'04_THRESHOLDS_WEIGHTS'!J33,0.75+0.25*('04_THRESHOLDS_WEIGHTS'!I33-G33)/('04_THRESHOLDS_WEIGHTS'!I33-'04_THRESHOLDS_WEIGHTS'!J33),1))))))</f>
        <v>1</v>
      </c>
      <c r="K33" s="6">
        <f>IF(NOT(ISNUMBER(H33)),"",IF(E33="Positive",IF(H33&lt;'04_THRESHOLDS_WEIGHTS'!G33,0,IF(H33&lt;'04_THRESHOLDS_WEIGHTS'!H33,0.25+0.25*(H33-'04_THRESHOLDS_WEIGHTS'!G33)/('04_THRESHOLDS_WEIGHTS'!H33-'04_THRESHOLDS_WEIGHTS'!G33),IF(H33&lt;'04_THRESHOLDS_WEIGHTS'!I33,0.5+0.25*(H33-'04_THRESHOLDS_WEIGHTS'!H33)/('04_THRESHOLDS_WEIGHTS'!I33-'04_THRESHOLDS_WEIGHTS'!H33),IF(H33&lt;'04_THRESHOLDS_WEIGHTS'!J33,0.75+0.25*(H33-'04_THRESHOLDS_WEIGHTS'!I33)/('04_THRESHOLDS_WEIGHTS'!J33-'04_THRESHOLDS_WEIGHTS'!I33),1)))),IF(H33&gt;'04_THRESHOLDS_WEIGHTS'!G33,0,IF(H33&gt;'04_THRESHOLDS_WEIGHTS'!H33,0.25+0.25*('04_THRESHOLDS_WEIGHTS'!G33-H33)/('04_THRESHOLDS_WEIGHTS'!G33-'04_THRESHOLDS_WEIGHTS'!H33),IF(H33&gt;'04_THRESHOLDS_WEIGHTS'!I33,0.5+0.25*('04_THRESHOLDS_WEIGHTS'!H33-H33)/('04_THRESHOLDS_WEIGHTS'!H33-'04_THRESHOLDS_WEIGHTS'!I33),IF(H33&gt;'04_THRESHOLDS_WEIGHTS'!J33,0.75+0.25*('04_THRESHOLDS_WEIGHTS'!I33-H33)/('04_THRESHOLDS_WEIGHTS'!I33-'04_THRESHOLDS_WEIGHTS'!J33),1))))))</f>
        <v>1</v>
      </c>
      <c r="L33" s="6">
        <f t="shared" si="0"/>
        <v>0</v>
      </c>
      <c r="M33" s="2" t="s">
        <v>6</v>
      </c>
    </row>
    <row r="34" spans="1:13" ht="15" customHeight="1" x14ac:dyDescent="0.25">
      <c r="A34" s="3" t="s">
        <v>93</v>
      </c>
      <c r="B34" s="3" t="s">
        <v>323</v>
      </c>
      <c r="C34" s="3" t="s">
        <v>324</v>
      </c>
      <c r="D34" s="3" t="s">
        <v>319</v>
      </c>
      <c r="E34" s="3" t="s">
        <v>141</v>
      </c>
      <c r="F34" s="7">
        <f>IFERROR(SUMIFS('06_IMPORT_ANNUAL'!$D$4:$D$328,'06_IMPORT_ANNUAL'!$B$4:$B$328,$B34,'06_IMPORT_ANNUAL'!$C$4:$C$328,"&gt;="&amp;'01_CONTROL'!$B$5,'06_IMPORT_ANNUAL'!$C$4:$C$328,"&lt;="&amp;'01_CONTROL'!$B$6)/COUNTIFS('06_IMPORT_ANNUAL'!$B$4:$B$328,$B34,'06_IMPORT_ANNUAL'!$C$4:$C$328,"&gt;="&amp;'01_CONTROL'!$B$5,'06_IMPORT_ANNUAL'!$C$4:$C$328,"&lt;="&amp;'01_CONTROL'!$B$6),"")</f>
        <v>0.18966784287532121</v>
      </c>
      <c r="G34" s="7">
        <f>IFERROR(SUMIFS('06_IMPORT_ANNUAL'!$D$4:$D$328,'06_IMPORT_ANNUAL'!$B$4:$B$328,$B34,'06_IMPORT_ANNUAL'!$C$4:$C$328,'01_CONTROL'!$B$7)/COUNTIFS('06_IMPORT_ANNUAL'!$B$4:$B$328,$B34,'06_IMPORT_ANNUAL'!$C$4:$C$328,'01_CONTROL'!$B$7),"")</f>
        <v>0.12103906004078691</v>
      </c>
      <c r="H34" s="7">
        <f>IFERROR(SUMIFS('06_IMPORT_ANNUAL'!$D$4:$D$328,'06_IMPORT_ANNUAL'!$B$4:$B$328,$B34,'06_IMPORT_ANNUAL'!$C$4:$C$328,"&gt;="&amp;'01_CONTROL'!$B$8,'06_IMPORT_ANNUAL'!$C$4:$C$328,"&lt;="&amp;'01_CONTROL'!$B$9)/COUNTIFS('06_IMPORT_ANNUAL'!$B$4:$B$328,$B34,'06_IMPORT_ANNUAL'!$C$4:$C$328,"&gt;="&amp;'01_CONTROL'!$B$8,'06_IMPORT_ANNUAL'!$C$4:$C$328,"&lt;="&amp;'01_CONTROL'!$B$9),"")</f>
        <v>0.22626133139681073</v>
      </c>
      <c r="I34" s="6">
        <f>IF(NOT(ISNUMBER(F34)),"",IF(E34="Positive",IF(F34&lt;'04_THRESHOLDS_WEIGHTS'!G34,0,IF(F34&lt;'04_THRESHOLDS_WEIGHTS'!H34,0.25+0.25*(F34-'04_THRESHOLDS_WEIGHTS'!G34)/('04_THRESHOLDS_WEIGHTS'!H34-'04_THRESHOLDS_WEIGHTS'!G34),IF(F34&lt;'04_THRESHOLDS_WEIGHTS'!I34,0.5+0.25*(F34-'04_THRESHOLDS_WEIGHTS'!H34)/('04_THRESHOLDS_WEIGHTS'!I34-'04_THRESHOLDS_WEIGHTS'!H34),IF(F34&lt;'04_THRESHOLDS_WEIGHTS'!J34,0.75+0.25*(F34-'04_THRESHOLDS_WEIGHTS'!I34)/('04_THRESHOLDS_WEIGHTS'!J34-'04_THRESHOLDS_WEIGHTS'!I34),1)))),IF(F34&gt;'04_THRESHOLDS_WEIGHTS'!G34,0,IF(F34&gt;'04_THRESHOLDS_WEIGHTS'!H34,0.25+0.25*('04_THRESHOLDS_WEIGHTS'!G34-F34)/('04_THRESHOLDS_WEIGHTS'!G34-'04_THRESHOLDS_WEIGHTS'!H34),IF(F34&gt;'04_THRESHOLDS_WEIGHTS'!I34,0.5+0.25*('04_THRESHOLDS_WEIGHTS'!H34-F34)/('04_THRESHOLDS_WEIGHTS'!H34-'04_THRESHOLDS_WEIGHTS'!I34),IF(F34&gt;'04_THRESHOLDS_WEIGHTS'!J34,0.75+0.25*('04_THRESHOLDS_WEIGHTS'!I34-F34)/('04_THRESHOLDS_WEIGHTS'!I34-'04_THRESHOLDS_WEIGHTS'!J34),1))))))</f>
        <v>1</v>
      </c>
      <c r="J34" s="6">
        <f>IF(NOT(ISNUMBER(G34)),"",IF(E34="Positive",IF(G34&lt;'04_THRESHOLDS_WEIGHTS'!G34,0,IF(G34&lt;'04_THRESHOLDS_WEIGHTS'!H34,0.25+0.25*(G34-'04_THRESHOLDS_WEIGHTS'!G34)/('04_THRESHOLDS_WEIGHTS'!H34-'04_THRESHOLDS_WEIGHTS'!G34),IF(G34&lt;'04_THRESHOLDS_WEIGHTS'!I34,0.5+0.25*(G34-'04_THRESHOLDS_WEIGHTS'!H34)/('04_THRESHOLDS_WEIGHTS'!I34-'04_THRESHOLDS_WEIGHTS'!H34),IF(G34&lt;'04_THRESHOLDS_WEIGHTS'!J34,0.75+0.25*(G34-'04_THRESHOLDS_WEIGHTS'!I34)/('04_THRESHOLDS_WEIGHTS'!J34-'04_THRESHOLDS_WEIGHTS'!I34),1)))),IF(G34&gt;'04_THRESHOLDS_WEIGHTS'!G34,0,IF(G34&gt;'04_THRESHOLDS_WEIGHTS'!H34,0.25+0.25*('04_THRESHOLDS_WEIGHTS'!G34-G34)/('04_THRESHOLDS_WEIGHTS'!G34-'04_THRESHOLDS_WEIGHTS'!H34),IF(G34&gt;'04_THRESHOLDS_WEIGHTS'!I34,0.5+0.25*('04_THRESHOLDS_WEIGHTS'!H34-G34)/('04_THRESHOLDS_WEIGHTS'!H34-'04_THRESHOLDS_WEIGHTS'!I34),IF(G34&gt;'04_THRESHOLDS_WEIGHTS'!J34,0.75+0.25*('04_THRESHOLDS_WEIGHTS'!I34-G34)/('04_THRESHOLDS_WEIGHTS'!I34-'04_THRESHOLDS_WEIGHTS'!J34),1))))))</f>
        <v>1</v>
      </c>
      <c r="K34" s="6">
        <f>IF(NOT(ISNUMBER(H34)),"",IF(E34="Positive",IF(H34&lt;'04_THRESHOLDS_WEIGHTS'!G34,0,IF(H34&lt;'04_THRESHOLDS_WEIGHTS'!H34,0.25+0.25*(H34-'04_THRESHOLDS_WEIGHTS'!G34)/('04_THRESHOLDS_WEIGHTS'!H34-'04_THRESHOLDS_WEIGHTS'!G34),IF(H34&lt;'04_THRESHOLDS_WEIGHTS'!I34,0.5+0.25*(H34-'04_THRESHOLDS_WEIGHTS'!H34)/('04_THRESHOLDS_WEIGHTS'!I34-'04_THRESHOLDS_WEIGHTS'!H34),IF(H34&lt;'04_THRESHOLDS_WEIGHTS'!J34,0.75+0.25*(H34-'04_THRESHOLDS_WEIGHTS'!I34)/('04_THRESHOLDS_WEIGHTS'!J34-'04_THRESHOLDS_WEIGHTS'!I34),1)))),IF(H34&gt;'04_THRESHOLDS_WEIGHTS'!G34,0,IF(H34&gt;'04_THRESHOLDS_WEIGHTS'!H34,0.25+0.25*('04_THRESHOLDS_WEIGHTS'!G34-H34)/('04_THRESHOLDS_WEIGHTS'!G34-'04_THRESHOLDS_WEIGHTS'!H34),IF(H34&gt;'04_THRESHOLDS_WEIGHTS'!I34,0.5+0.25*('04_THRESHOLDS_WEIGHTS'!H34-H34)/('04_THRESHOLDS_WEIGHTS'!H34-'04_THRESHOLDS_WEIGHTS'!I34),IF(H34&gt;'04_THRESHOLDS_WEIGHTS'!J34,0.75+0.25*('04_THRESHOLDS_WEIGHTS'!I34-H34)/('04_THRESHOLDS_WEIGHTS'!I34-'04_THRESHOLDS_WEIGHTS'!J34),1))))))</f>
        <v>0.93434667150797313</v>
      </c>
      <c r="L34" s="6">
        <f t="shared" si="0"/>
        <v>-6.5653328492026874E-2</v>
      </c>
      <c r="M34" s="2" t="s">
        <v>6</v>
      </c>
    </row>
    <row r="35" spans="1:13" ht="15" customHeight="1" x14ac:dyDescent="0.25">
      <c r="A35" s="3" t="s">
        <v>93</v>
      </c>
      <c r="B35" s="3" t="s">
        <v>328</v>
      </c>
      <c r="C35" s="3" t="s">
        <v>329</v>
      </c>
      <c r="D35" s="3" t="s">
        <v>331</v>
      </c>
      <c r="E35" s="3" t="s">
        <v>124</v>
      </c>
      <c r="F35" s="7">
        <f>IFERROR(SUMIFS('06_IMPORT_ANNUAL'!$D$4:$D$328,'06_IMPORT_ANNUAL'!$B$4:$B$328,$B35,'06_IMPORT_ANNUAL'!$C$4:$C$328,"&gt;="&amp;'01_CONTROL'!$B$5,'06_IMPORT_ANNUAL'!$C$4:$C$328,"&lt;="&amp;'01_CONTROL'!$B$6)/COUNTIFS('06_IMPORT_ANNUAL'!$B$4:$B$328,$B35,'06_IMPORT_ANNUAL'!$C$4:$C$328,"&gt;="&amp;'01_CONTROL'!$B$5,'06_IMPORT_ANNUAL'!$C$4:$C$328,"&lt;="&amp;'01_CONTROL'!$B$6),"")</f>
        <v>67.598038952684348</v>
      </c>
      <c r="G35" s="7">
        <f>IFERROR(SUMIFS('06_IMPORT_ANNUAL'!$D$4:$D$328,'06_IMPORT_ANNUAL'!$B$4:$B$328,$B35,'06_IMPORT_ANNUAL'!$C$4:$C$328,'01_CONTROL'!$B$7)/COUNTIFS('06_IMPORT_ANNUAL'!$B$4:$B$328,$B35,'06_IMPORT_ANNUAL'!$C$4:$C$328,'01_CONTROL'!$B$7),"")</f>
        <v>66.581526835428875</v>
      </c>
      <c r="H35" s="7">
        <f>IFERROR(SUMIFS('06_IMPORT_ANNUAL'!$D$4:$D$328,'06_IMPORT_ANNUAL'!$B$4:$B$328,$B35,'06_IMPORT_ANNUAL'!$C$4:$C$328,"&gt;="&amp;'01_CONTROL'!$B$8,'06_IMPORT_ANNUAL'!$C$4:$C$328,"&lt;="&amp;'01_CONTROL'!$B$9)/COUNTIFS('06_IMPORT_ANNUAL'!$B$4:$B$328,$B35,'06_IMPORT_ANNUAL'!$C$4:$C$328,"&gt;="&amp;'01_CONTROL'!$B$8,'06_IMPORT_ANNUAL'!$C$4:$C$328,"&lt;="&amp;'01_CONTROL'!$B$9),"")</f>
        <v>68.643672751736602</v>
      </c>
      <c r="I35" s="6">
        <f>IF(NOT(ISNUMBER(F35)),"",IF(E35="Positive",IF(F35&lt;'04_THRESHOLDS_WEIGHTS'!G35,0,IF(F35&lt;'04_THRESHOLDS_WEIGHTS'!H35,0.25+0.25*(F35-'04_THRESHOLDS_WEIGHTS'!G35)/('04_THRESHOLDS_WEIGHTS'!H35-'04_THRESHOLDS_WEIGHTS'!G35),IF(F35&lt;'04_THRESHOLDS_WEIGHTS'!I35,0.5+0.25*(F35-'04_THRESHOLDS_WEIGHTS'!H35)/('04_THRESHOLDS_WEIGHTS'!I35-'04_THRESHOLDS_WEIGHTS'!H35),IF(F35&lt;'04_THRESHOLDS_WEIGHTS'!J35,0.75+0.25*(F35-'04_THRESHOLDS_WEIGHTS'!I35)/('04_THRESHOLDS_WEIGHTS'!J35-'04_THRESHOLDS_WEIGHTS'!I35),1)))),IF(F35&gt;'04_THRESHOLDS_WEIGHTS'!G35,0,IF(F35&gt;'04_THRESHOLDS_WEIGHTS'!H35,0.25+0.25*('04_THRESHOLDS_WEIGHTS'!G35-F35)/('04_THRESHOLDS_WEIGHTS'!G35-'04_THRESHOLDS_WEIGHTS'!H35),IF(F35&gt;'04_THRESHOLDS_WEIGHTS'!I35,0.5+0.25*('04_THRESHOLDS_WEIGHTS'!H35-F35)/('04_THRESHOLDS_WEIGHTS'!H35-'04_THRESHOLDS_WEIGHTS'!I35),IF(F35&gt;'04_THRESHOLDS_WEIGHTS'!J35,0.75+0.25*('04_THRESHOLDS_WEIGHTS'!I35-F35)/('04_THRESHOLDS_WEIGHTS'!I35-'04_THRESHOLDS_WEIGHTS'!J35),1))))))</f>
        <v>0.5949754869085544</v>
      </c>
      <c r="J35" s="6">
        <f>IF(NOT(ISNUMBER(G35)),"",IF(E35="Positive",IF(G35&lt;'04_THRESHOLDS_WEIGHTS'!G35,0,IF(G35&lt;'04_THRESHOLDS_WEIGHTS'!H35,0.25+0.25*(G35-'04_THRESHOLDS_WEIGHTS'!G35)/('04_THRESHOLDS_WEIGHTS'!H35-'04_THRESHOLDS_WEIGHTS'!G35),IF(G35&lt;'04_THRESHOLDS_WEIGHTS'!I35,0.5+0.25*(G35-'04_THRESHOLDS_WEIGHTS'!H35)/('04_THRESHOLDS_WEIGHTS'!I35-'04_THRESHOLDS_WEIGHTS'!H35),IF(G35&lt;'04_THRESHOLDS_WEIGHTS'!J35,0.75+0.25*(G35-'04_THRESHOLDS_WEIGHTS'!I35)/('04_THRESHOLDS_WEIGHTS'!J35-'04_THRESHOLDS_WEIGHTS'!I35),1)))),IF(G35&gt;'04_THRESHOLDS_WEIGHTS'!G35,0,IF(G35&gt;'04_THRESHOLDS_WEIGHTS'!H35,0.25+0.25*('04_THRESHOLDS_WEIGHTS'!G35-G35)/('04_THRESHOLDS_WEIGHTS'!G35-'04_THRESHOLDS_WEIGHTS'!H35),IF(G35&gt;'04_THRESHOLDS_WEIGHTS'!I35,0.5+0.25*('04_THRESHOLDS_WEIGHTS'!H35-G35)/('04_THRESHOLDS_WEIGHTS'!H35-'04_THRESHOLDS_WEIGHTS'!I35),IF(G35&gt;'04_THRESHOLDS_WEIGHTS'!J35,0.75+0.25*('04_THRESHOLDS_WEIGHTS'!I35-G35)/('04_THRESHOLDS_WEIGHTS'!I35-'04_THRESHOLDS_WEIGHTS'!J35),1))))))</f>
        <v>0.58226908544286093</v>
      </c>
      <c r="K35" s="6">
        <f>IF(NOT(ISNUMBER(H35)),"",IF(E35="Positive",IF(H35&lt;'04_THRESHOLDS_WEIGHTS'!G35,0,IF(H35&lt;'04_THRESHOLDS_WEIGHTS'!H35,0.25+0.25*(H35-'04_THRESHOLDS_WEIGHTS'!G35)/('04_THRESHOLDS_WEIGHTS'!H35-'04_THRESHOLDS_WEIGHTS'!G35),IF(H35&lt;'04_THRESHOLDS_WEIGHTS'!I35,0.5+0.25*(H35-'04_THRESHOLDS_WEIGHTS'!H35)/('04_THRESHOLDS_WEIGHTS'!I35-'04_THRESHOLDS_WEIGHTS'!H35),IF(H35&lt;'04_THRESHOLDS_WEIGHTS'!J35,0.75+0.25*(H35-'04_THRESHOLDS_WEIGHTS'!I35)/('04_THRESHOLDS_WEIGHTS'!J35-'04_THRESHOLDS_WEIGHTS'!I35),1)))),IF(H35&gt;'04_THRESHOLDS_WEIGHTS'!G35,0,IF(H35&gt;'04_THRESHOLDS_WEIGHTS'!H35,0.25+0.25*('04_THRESHOLDS_WEIGHTS'!G35-H35)/('04_THRESHOLDS_WEIGHTS'!G35-'04_THRESHOLDS_WEIGHTS'!H35),IF(H35&gt;'04_THRESHOLDS_WEIGHTS'!I35,0.5+0.25*('04_THRESHOLDS_WEIGHTS'!H35-H35)/('04_THRESHOLDS_WEIGHTS'!H35-'04_THRESHOLDS_WEIGHTS'!I35),IF(H35&gt;'04_THRESHOLDS_WEIGHTS'!J35,0.75+0.25*('04_THRESHOLDS_WEIGHTS'!I35-H35)/('04_THRESHOLDS_WEIGHTS'!I35-'04_THRESHOLDS_WEIGHTS'!J35),1))))))</f>
        <v>0.60804590939670755</v>
      </c>
      <c r="L35" s="6">
        <f t="shared" si="0"/>
        <v>1.3070422488153155E-2</v>
      </c>
      <c r="M35" s="2" t="s">
        <v>6</v>
      </c>
    </row>
    <row r="36" spans="1:13" ht="15" customHeight="1" x14ac:dyDescent="0.25">
      <c r="A36" s="3" t="s">
        <v>93</v>
      </c>
      <c r="B36" s="3" t="s">
        <v>335</v>
      </c>
      <c r="C36" s="3" t="s">
        <v>336</v>
      </c>
      <c r="D36" s="3" t="s">
        <v>331</v>
      </c>
      <c r="E36" s="3" t="s">
        <v>124</v>
      </c>
      <c r="F36" s="7">
        <f>IFERROR(SUMIFS('06_IMPORT_ANNUAL'!$D$4:$D$328,'06_IMPORT_ANNUAL'!$B$4:$B$328,$B36,'06_IMPORT_ANNUAL'!$C$4:$C$328,"&gt;="&amp;'01_CONTROL'!$B$5,'06_IMPORT_ANNUAL'!$C$4:$C$328,"&lt;="&amp;'01_CONTROL'!$B$6)/COUNTIFS('06_IMPORT_ANNUAL'!$B$4:$B$328,$B36,'06_IMPORT_ANNUAL'!$C$4:$C$328,"&gt;="&amp;'01_CONTROL'!$B$5,'06_IMPORT_ANNUAL'!$C$4:$C$328,"&lt;="&amp;'01_CONTROL'!$B$6),"")</f>
        <v>0.41686880937942189</v>
      </c>
      <c r="G36" s="7">
        <f>IFERROR(SUMIFS('06_IMPORT_ANNUAL'!$D$4:$D$328,'06_IMPORT_ANNUAL'!$B$4:$B$328,$B36,'06_IMPORT_ANNUAL'!$C$4:$C$328,'01_CONTROL'!$B$7)/COUNTIFS('06_IMPORT_ANNUAL'!$B$4:$B$328,$B36,'06_IMPORT_ANNUAL'!$C$4:$C$328,'01_CONTROL'!$B$7),"")</f>
        <v>0.41686880937942189</v>
      </c>
      <c r="H36" s="7">
        <f>IFERROR(SUMIFS('06_IMPORT_ANNUAL'!$D$4:$D$328,'06_IMPORT_ANNUAL'!$B$4:$B$328,$B36,'06_IMPORT_ANNUAL'!$C$4:$C$328,"&gt;="&amp;'01_CONTROL'!$B$8,'06_IMPORT_ANNUAL'!$C$4:$C$328,"&lt;="&amp;'01_CONTROL'!$B$9)/COUNTIFS('06_IMPORT_ANNUAL'!$B$4:$B$328,$B36,'06_IMPORT_ANNUAL'!$C$4:$C$328,"&gt;="&amp;'01_CONTROL'!$B$8,'06_IMPORT_ANNUAL'!$C$4:$C$328,"&lt;="&amp;'01_CONTROL'!$B$9),"")</f>
        <v>0.41686880937942189</v>
      </c>
      <c r="I36" s="6">
        <f>IF(NOT(ISNUMBER(F36)),"",IF(E36="Positive",IF(F36&lt;'04_THRESHOLDS_WEIGHTS'!G36,0,IF(F36&lt;'04_THRESHOLDS_WEIGHTS'!H36,0.25+0.25*(F36-'04_THRESHOLDS_WEIGHTS'!G36)/('04_THRESHOLDS_WEIGHTS'!H36-'04_THRESHOLDS_WEIGHTS'!G36),IF(F36&lt;'04_THRESHOLDS_WEIGHTS'!I36,0.5+0.25*(F36-'04_THRESHOLDS_WEIGHTS'!H36)/('04_THRESHOLDS_WEIGHTS'!I36-'04_THRESHOLDS_WEIGHTS'!H36),IF(F36&lt;'04_THRESHOLDS_WEIGHTS'!J36,0.75+0.25*(F36-'04_THRESHOLDS_WEIGHTS'!I36)/('04_THRESHOLDS_WEIGHTS'!J36-'04_THRESHOLDS_WEIGHTS'!I36),1)))),IF(F36&gt;'04_THRESHOLDS_WEIGHTS'!G36,0,IF(F36&gt;'04_THRESHOLDS_WEIGHTS'!H36,0.25+0.25*('04_THRESHOLDS_WEIGHTS'!G36-F36)/('04_THRESHOLDS_WEIGHTS'!G36-'04_THRESHOLDS_WEIGHTS'!H36),IF(F36&gt;'04_THRESHOLDS_WEIGHTS'!I36,0.5+0.25*('04_THRESHOLDS_WEIGHTS'!H36-F36)/('04_THRESHOLDS_WEIGHTS'!H36-'04_THRESHOLDS_WEIGHTS'!I36),IF(F36&gt;'04_THRESHOLDS_WEIGHTS'!J36,0.75+0.25*('04_THRESHOLDS_WEIGHTS'!I36-F36)/('04_THRESHOLDS_WEIGHTS'!I36-'04_THRESHOLDS_WEIGHTS'!J36),1))))))</f>
        <v>0.41686880937942189</v>
      </c>
      <c r="J36" s="6">
        <f>IF(NOT(ISNUMBER(G36)),"",IF(E36="Positive",IF(G36&lt;'04_THRESHOLDS_WEIGHTS'!G36,0,IF(G36&lt;'04_THRESHOLDS_WEIGHTS'!H36,0.25+0.25*(G36-'04_THRESHOLDS_WEIGHTS'!G36)/('04_THRESHOLDS_WEIGHTS'!H36-'04_THRESHOLDS_WEIGHTS'!G36),IF(G36&lt;'04_THRESHOLDS_WEIGHTS'!I36,0.5+0.25*(G36-'04_THRESHOLDS_WEIGHTS'!H36)/('04_THRESHOLDS_WEIGHTS'!I36-'04_THRESHOLDS_WEIGHTS'!H36),IF(G36&lt;'04_THRESHOLDS_WEIGHTS'!J36,0.75+0.25*(G36-'04_THRESHOLDS_WEIGHTS'!I36)/('04_THRESHOLDS_WEIGHTS'!J36-'04_THRESHOLDS_WEIGHTS'!I36),1)))),IF(G36&gt;'04_THRESHOLDS_WEIGHTS'!G36,0,IF(G36&gt;'04_THRESHOLDS_WEIGHTS'!H36,0.25+0.25*('04_THRESHOLDS_WEIGHTS'!G36-G36)/('04_THRESHOLDS_WEIGHTS'!G36-'04_THRESHOLDS_WEIGHTS'!H36),IF(G36&gt;'04_THRESHOLDS_WEIGHTS'!I36,0.5+0.25*('04_THRESHOLDS_WEIGHTS'!H36-G36)/('04_THRESHOLDS_WEIGHTS'!H36-'04_THRESHOLDS_WEIGHTS'!I36),IF(G36&gt;'04_THRESHOLDS_WEIGHTS'!J36,0.75+0.25*('04_THRESHOLDS_WEIGHTS'!I36-G36)/('04_THRESHOLDS_WEIGHTS'!I36-'04_THRESHOLDS_WEIGHTS'!J36),1))))))</f>
        <v>0.41686880937942189</v>
      </c>
      <c r="K36" s="6">
        <f>IF(NOT(ISNUMBER(H36)),"",IF(E36="Positive",IF(H36&lt;'04_THRESHOLDS_WEIGHTS'!G36,0,IF(H36&lt;'04_THRESHOLDS_WEIGHTS'!H36,0.25+0.25*(H36-'04_THRESHOLDS_WEIGHTS'!G36)/('04_THRESHOLDS_WEIGHTS'!H36-'04_THRESHOLDS_WEIGHTS'!G36),IF(H36&lt;'04_THRESHOLDS_WEIGHTS'!I36,0.5+0.25*(H36-'04_THRESHOLDS_WEIGHTS'!H36)/('04_THRESHOLDS_WEIGHTS'!I36-'04_THRESHOLDS_WEIGHTS'!H36),IF(H36&lt;'04_THRESHOLDS_WEIGHTS'!J36,0.75+0.25*(H36-'04_THRESHOLDS_WEIGHTS'!I36)/('04_THRESHOLDS_WEIGHTS'!J36-'04_THRESHOLDS_WEIGHTS'!I36),1)))),IF(H36&gt;'04_THRESHOLDS_WEIGHTS'!G36,0,IF(H36&gt;'04_THRESHOLDS_WEIGHTS'!H36,0.25+0.25*('04_THRESHOLDS_WEIGHTS'!G36-H36)/('04_THRESHOLDS_WEIGHTS'!G36-'04_THRESHOLDS_WEIGHTS'!H36),IF(H36&gt;'04_THRESHOLDS_WEIGHTS'!I36,0.5+0.25*('04_THRESHOLDS_WEIGHTS'!H36-H36)/('04_THRESHOLDS_WEIGHTS'!H36-'04_THRESHOLDS_WEIGHTS'!I36),IF(H36&gt;'04_THRESHOLDS_WEIGHTS'!J36,0.75+0.25*('04_THRESHOLDS_WEIGHTS'!I36-H36)/('04_THRESHOLDS_WEIGHTS'!I36-'04_THRESHOLDS_WEIGHTS'!J36),1))))))</f>
        <v>0.41686880937942189</v>
      </c>
      <c r="L36" s="6">
        <f t="shared" si="0"/>
        <v>0</v>
      </c>
      <c r="M36" s="2" t="s">
        <v>341</v>
      </c>
    </row>
    <row r="37" spans="1:13" ht="15" customHeight="1" x14ac:dyDescent="0.25">
      <c r="A37" s="3" t="s">
        <v>93</v>
      </c>
      <c r="B37" s="3" t="s">
        <v>342</v>
      </c>
      <c r="C37" s="3" t="s">
        <v>343</v>
      </c>
      <c r="D37" s="3" t="s">
        <v>319</v>
      </c>
      <c r="E37" s="3" t="s">
        <v>124</v>
      </c>
      <c r="F37" s="7">
        <f>IFERROR(SUMIFS('06_IMPORT_ANNUAL'!$D$4:$D$328,'06_IMPORT_ANNUAL'!$B$4:$B$328,$B37,'06_IMPORT_ANNUAL'!$C$4:$C$328,"&gt;="&amp;'01_CONTROL'!$B$5,'06_IMPORT_ANNUAL'!$C$4:$C$328,"&lt;="&amp;'01_CONTROL'!$B$6)/COUNTIFS('06_IMPORT_ANNUAL'!$B$4:$B$328,$B37,'06_IMPORT_ANNUAL'!$C$4:$C$328,"&gt;="&amp;'01_CONTROL'!$B$5,'06_IMPORT_ANNUAL'!$C$4:$C$328,"&lt;="&amp;'01_CONTROL'!$B$6),"")</f>
        <v>0.96964381425270552</v>
      </c>
      <c r="G37" s="7">
        <f>IFERROR(SUMIFS('06_IMPORT_ANNUAL'!$D$4:$D$328,'06_IMPORT_ANNUAL'!$B$4:$B$328,$B37,'06_IMPORT_ANNUAL'!$C$4:$C$328,'01_CONTROL'!$B$7)/COUNTIFS('06_IMPORT_ANNUAL'!$B$4:$B$328,$B37,'06_IMPORT_ANNUAL'!$C$4:$C$328,'01_CONTROL'!$B$7),"")</f>
        <v>0.98958161186994997</v>
      </c>
      <c r="H37" s="7">
        <f>IFERROR(SUMIFS('06_IMPORT_ANNUAL'!$D$4:$D$328,'06_IMPORT_ANNUAL'!$B$4:$B$328,$B37,'06_IMPORT_ANNUAL'!$C$4:$C$328,"&gt;="&amp;'01_CONTROL'!$B$8,'06_IMPORT_ANNUAL'!$C$4:$C$328,"&lt;="&amp;'01_CONTROL'!$B$9)/COUNTIFS('06_IMPORT_ANNUAL'!$B$4:$B$328,$B37,'06_IMPORT_ANNUAL'!$C$4:$C$328,"&gt;="&amp;'01_CONTROL'!$B$8,'06_IMPORT_ANNUAL'!$C$4:$C$328,"&lt;="&amp;'01_CONTROL'!$B$9),"")</f>
        <v>0.96096170956374272</v>
      </c>
      <c r="I37" s="6">
        <f>IF(NOT(ISNUMBER(F37)),"",IF(E37="Positive",IF(F37&lt;'04_THRESHOLDS_WEIGHTS'!G37,0,IF(F37&lt;'04_THRESHOLDS_WEIGHTS'!H37,0.25+0.25*(F37-'04_THRESHOLDS_WEIGHTS'!G37)/('04_THRESHOLDS_WEIGHTS'!H37-'04_THRESHOLDS_WEIGHTS'!G37),IF(F37&lt;'04_THRESHOLDS_WEIGHTS'!I37,0.5+0.25*(F37-'04_THRESHOLDS_WEIGHTS'!H37)/('04_THRESHOLDS_WEIGHTS'!I37-'04_THRESHOLDS_WEIGHTS'!H37),IF(F37&lt;'04_THRESHOLDS_WEIGHTS'!J37,0.75+0.25*(F37-'04_THRESHOLDS_WEIGHTS'!I37)/('04_THRESHOLDS_WEIGHTS'!J37-'04_THRESHOLDS_WEIGHTS'!I37),1)))),IF(F37&gt;'04_THRESHOLDS_WEIGHTS'!G37,0,IF(F37&gt;'04_THRESHOLDS_WEIGHTS'!H37,0.25+0.25*('04_THRESHOLDS_WEIGHTS'!G37-F37)/('04_THRESHOLDS_WEIGHTS'!G37-'04_THRESHOLDS_WEIGHTS'!H37),IF(F37&gt;'04_THRESHOLDS_WEIGHTS'!I37,0.5+0.25*('04_THRESHOLDS_WEIGHTS'!H37-F37)/('04_THRESHOLDS_WEIGHTS'!H37-'04_THRESHOLDS_WEIGHTS'!I37),IF(F37&gt;'04_THRESHOLDS_WEIGHTS'!J37,0.75+0.25*('04_THRESHOLDS_WEIGHTS'!I37-F37)/('04_THRESHOLDS_WEIGHTS'!I37-'04_THRESHOLDS_WEIGHTS'!J37),1))))))</f>
        <v>0.84821907126352769</v>
      </c>
      <c r="J37" s="6">
        <f>IF(NOT(ISNUMBER(G37)),"",IF(E37="Positive",IF(G37&lt;'04_THRESHOLDS_WEIGHTS'!G37,0,IF(G37&lt;'04_THRESHOLDS_WEIGHTS'!H37,0.25+0.25*(G37-'04_THRESHOLDS_WEIGHTS'!G37)/('04_THRESHOLDS_WEIGHTS'!H37-'04_THRESHOLDS_WEIGHTS'!G37),IF(G37&lt;'04_THRESHOLDS_WEIGHTS'!I37,0.5+0.25*(G37-'04_THRESHOLDS_WEIGHTS'!H37)/('04_THRESHOLDS_WEIGHTS'!I37-'04_THRESHOLDS_WEIGHTS'!H37),IF(G37&lt;'04_THRESHOLDS_WEIGHTS'!J37,0.75+0.25*(G37-'04_THRESHOLDS_WEIGHTS'!I37)/('04_THRESHOLDS_WEIGHTS'!J37-'04_THRESHOLDS_WEIGHTS'!I37),1)))),IF(G37&gt;'04_THRESHOLDS_WEIGHTS'!G37,0,IF(G37&gt;'04_THRESHOLDS_WEIGHTS'!H37,0.25+0.25*('04_THRESHOLDS_WEIGHTS'!G37-G37)/('04_THRESHOLDS_WEIGHTS'!G37-'04_THRESHOLDS_WEIGHTS'!H37),IF(G37&gt;'04_THRESHOLDS_WEIGHTS'!I37,0.5+0.25*('04_THRESHOLDS_WEIGHTS'!H37-G37)/('04_THRESHOLDS_WEIGHTS'!H37-'04_THRESHOLDS_WEIGHTS'!I37),IF(G37&gt;'04_THRESHOLDS_WEIGHTS'!J37,0.75+0.25*('04_THRESHOLDS_WEIGHTS'!I37-G37)/('04_THRESHOLDS_WEIGHTS'!I37-'04_THRESHOLDS_WEIGHTS'!J37),1))))))</f>
        <v>0.94790805934974998</v>
      </c>
      <c r="K37" s="6">
        <f>IF(NOT(ISNUMBER(H37)),"",IF(E37="Positive",IF(H37&lt;'04_THRESHOLDS_WEIGHTS'!G37,0,IF(H37&lt;'04_THRESHOLDS_WEIGHTS'!H37,0.25+0.25*(H37-'04_THRESHOLDS_WEIGHTS'!G37)/('04_THRESHOLDS_WEIGHTS'!H37-'04_THRESHOLDS_WEIGHTS'!G37),IF(H37&lt;'04_THRESHOLDS_WEIGHTS'!I37,0.5+0.25*(H37-'04_THRESHOLDS_WEIGHTS'!H37)/('04_THRESHOLDS_WEIGHTS'!I37-'04_THRESHOLDS_WEIGHTS'!H37),IF(H37&lt;'04_THRESHOLDS_WEIGHTS'!J37,0.75+0.25*(H37-'04_THRESHOLDS_WEIGHTS'!I37)/('04_THRESHOLDS_WEIGHTS'!J37-'04_THRESHOLDS_WEIGHTS'!I37),1)))),IF(H37&gt;'04_THRESHOLDS_WEIGHTS'!G37,0,IF(H37&gt;'04_THRESHOLDS_WEIGHTS'!H37,0.25+0.25*('04_THRESHOLDS_WEIGHTS'!G37-H37)/('04_THRESHOLDS_WEIGHTS'!G37-'04_THRESHOLDS_WEIGHTS'!H37),IF(H37&gt;'04_THRESHOLDS_WEIGHTS'!I37,0.5+0.25*('04_THRESHOLDS_WEIGHTS'!H37-H37)/('04_THRESHOLDS_WEIGHTS'!H37-'04_THRESHOLDS_WEIGHTS'!I37),IF(H37&gt;'04_THRESHOLDS_WEIGHTS'!J37,0.75+0.25*('04_THRESHOLDS_WEIGHTS'!I37-H37)/('04_THRESHOLDS_WEIGHTS'!I37-'04_THRESHOLDS_WEIGHTS'!J37),1))))))</f>
        <v>0.8048085478187138</v>
      </c>
      <c r="L37" s="6">
        <f t="shared" si="0"/>
        <v>-4.3410523444813887E-2</v>
      </c>
      <c r="M37" s="2" t="s">
        <v>6</v>
      </c>
    </row>
    <row r="41" spans="1:13" x14ac:dyDescent="0.25">
      <c r="A41" s="1" t="s">
        <v>60</v>
      </c>
      <c r="B41" s="1" t="s">
        <v>674</v>
      </c>
      <c r="C41" s="1" t="s">
        <v>675</v>
      </c>
      <c r="D41" s="1" t="s">
        <v>676</v>
      </c>
      <c r="E41" s="1" t="s">
        <v>677</v>
      </c>
      <c r="F41" s="1" t="s">
        <v>678</v>
      </c>
      <c r="G41" s="1" t="s">
        <v>679</v>
      </c>
      <c r="H41" s="1" t="s">
        <v>680</v>
      </c>
      <c r="I41" s="1" t="s">
        <v>616</v>
      </c>
    </row>
    <row r="42" spans="1:13" ht="15" customHeight="1" x14ac:dyDescent="0.25">
      <c r="A42" s="3" t="s">
        <v>67</v>
      </c>
      <c r="B42" s="6">
        <f>AVERAGE('11_PRE_POST'!I4,'11_PRE_POST'!I5,'11_PRE_POST'!I6,'11_PRE_POST'!I7,'11_PRE_POST'!I8,'11_PRE_POST'!I9)</f>
        <v>0.50125356183765091</v>
      </c>
      <c r="C42" s="6">
        <f>AVERAGE('11_PRE_POST'!J4,'11_PRE_POST'!J5,'11_PRE_POST'!J6,'11_PRE_POST'!J7,'11_PRE_POST'!J8,'11_PRE_POST'!J9)</f>
        <v>0.70319670949007607</v>
      </c>
      <c r="D42" s="6">
        <f>AVERAGE('11_PRE_POST'!K4,'11_PRE_POST'!K5,'11_PRE_POST'!K6,'11_PRE_POST'!K7,'11_PRE_POST'!K8,'11_PRE_POST'!K9)</f>
        <v>0.53072159455154844</v>
      </c>
      <c r="E42" s="6">
        <f>IFERROR((IF(COUNT('11_PRE_POST'!I4,'11_PRE_POST'!I5)&gt;0,AVERAGE('11_PRE_POST'!I4,'11_PRE_POST'!I5),0) + IF(COUNT('11_PRE_POST'!I6)&gt;0,AVERAGE('11_PRE_POST'!I6),0) + IF(COUNT('11_PRE_POST'!I7)&gt;0,AVERAGE('11_PRE_POST'!I7),0) + IF(COUNT('11_PRE_POST'!I8,'11_PRE_POST'!I9)&gt;0,AVERAGE('11_PRE_POST'!I8,'11_PRE_POST'!I9),0))/(IF(COUNT('11_PRE_POST'!I4,'11_PRE_POST'!I5)&gt;0,1,0) + IF(COUNT('11_PRE_POST'!I6)&gt;0,1,0) + IF(COUNT('11_PRE_POST'!I7)&gt;0,1,0) + IF(COUNT('11_PRE_POST'!I8,'11_PRE_POST'!I9)&gt;0,1,0)),"")</f>
        <v>0.46969017137823821</v>
      </c>
      <c r="F42" s="6">
        <f>IFERROR((IF(COUNT('11_PRE_POST'!J4,'11_PRE_POST'!J5)&gt;0,AVERAGE('11_PRE_POST'!J4,'11_PRE_POST'!J5),0) + IF(COUNT('11_PRE_POST'!J6)&gt;0,AVERAGE('11_PRE_POST'!J6),0) + IF(COUNT('11_PRE_POST'!J7)&gt;0,AVERAGE('11_PRE_POST'!J7),0) + IF(COUNT('11_PRE_POST'!J8,'11_PRE_POST'!J9)&gt;0,AVERAGE('11_PRE_POST'!J8,'11_PRE_POST'!J9),0))/(IF(COUNT('11_PRE_POST'!J4,'11_PRE_POST'!J5)&gt;0,1,0) + IF(COUNT('11_PRE_POST'!J6)&gt;0,1,0) + IF(COUNT('11_PRE_POST'!J7)&gt;0,1,0) + IF(COUNT('11_PRE_POST'!J8,'11_PRE_POST'!J9)&gt;0,1,0)),"")</f>
        <v>0.65239753211755702</v>
      </c>
      <c r="G42" s="6">
        <f>IFERROR((IF(COUNT('11_PRE_POST'!K4,'11_PRE_POST'!K5)&gt;0,AVERAGE('11_PRE_POST'!K4,'11_PRE_POST'!K5),0) + IF(COUNT('11_PRE_POST'!K6)&gt;0,AVERAGE('11_PRE_POST'!K6),0) + IF(COUNT('11_PRE_POST'!K7)&gt;0,AVERAGE('11_PRE_POST'!K7),0) + IF(COUNT('11_PRE_POST'!K8,'11_PRE_POST'!K9)&gt;0,AVERAGE('11_PRE_POST'!K8,'11_PRE_POST'!K9),0))/(IF(COUNT('11_PRE_POST'!K4,'11_PRE_POST'!K5)&gt;0,1,0) + IF(COUNT('11_PRE_POST'!K6)&gt;0,1,0) + IF(COUNT('11_PRE_POST'!K7)&gt;0,1,0) + IF(COUNT('11_PRE_POST'!K8,'11_PRE_POST'!K9)&gt;0,1,0)),"")</f>
        <v>0.49048911258032796</v>
      </c>
      <c r="H42" s="6">
        <f>G42-E42</f>
        <v>2.0798941202089749E-2</v>
      </c>
      <c r="I42" s="2" t="s">
        <v>681</v>
      </c>
    </row>
    <row r="43" spans="1:13" ht="15" customHeight="1" x14ac:dyDescent="0.25">
      <c r="A43" s="3" t="s">
        <v>76</v>
      </c>
      <c r="B43" s="6">
        <f>AVERAGE('11_PRE_POST'!I10,'11_PRE_POST'!I11,'11_PRE_POST'!I12,'11_PRE_POST'!I13,'11_PRE_POST'!I14)</f>
        <v>1</v>
      </c>
      <c r="C43" s="6">
        <f>AVERAGE('11_PRE_POST'!J10,'11_PRE_POST'!J11,'11_PRE_POST'!J12,'11_PRE_POST'!J13,'11_PRE_POST'!J14)</f>
        <v>1</v>
      </c>
      <c r="D43" s="6">
        <f>AVERAGE('11_PRE_POST'!K10,'11_PRE_POST'!K11,'11_PRE_POST'!K12,'11_PRE_POST'!K13,'11_PRE_POST'!K14)</f>
        <v>0.96878420990811198</v>
      </c>
      <c r="E43" s="6">
        <f>IFERROR((IF(COUNT('11_PRE_POST'!I10,'11_PRE_POST'!I11)&gt;0,AVERAGE('11_PRE_POST'!I10,'11_PRE_POST'!I11),0) + IF(COUNT('11_PRE_POST'!I12)&gt;0,AVERAGE('11_PRE_POST'!I12),0) + IF(COUNT('11_PRE_POST'!I13)&gt;0,AVERAGE('11_PRE_POST'!I13),0) + IF(COUNT('11_PRE_POST'!I14)&gt;0,AVERAGE('11_PRE_POST'!I14),0))/(IF(COUNT('11_PRE_POST'!I10,'11_PRE_POST'!I11)&gt;0,1,0) + IF(COUNT('11_PRE_POST'!I12)&gt;0,1,0) + IF(COUNT('11_PRE_POST'!I13)&gt;0,1,0) + IF(COUNT('11_PRE_POST'!I14)&gt;0,1,0)),"")</f>
        <v>1</v>
      </c>
      <c r="F43" s="6">
        <f>IFERROR((IF(COUNT('11_PRE_POST'!J10,'11_PRE_POST'!J11)&gt;0,AVERAGE('11_PRE_POST'!J10,'11_PRE_POST'!J11),0) + IF(COUNT('11_PRE_POST'!J12)&gt;0,AVERAGE('11_PRE_POST'!J12),0) + IF(COUNT('11_PRE_POST'!J13)&gt;0,AVERAGE('11_PRE_POST'!J13),0) + IF(COUNT('11_PRE_POST'!J14)&gt;0,AVERAGE('11_PRE_POST'!J14),0))/(IF(COUNT('11_PRE_POST'!J10,'11_PRE_POST'!J11)&gt;0,1,0) + IF(COUNT('11_PRE_POST'!J12)&gt;0,1,0) + IF(COUNT('11_PRE_POST'!J13)&gt;0,1,0) + IF(COUNT('11_PRE_POST'!J14)&gt;0,1,0)),"")</f>
        <v>1</v>
      </c>
      <c r="G43" s="6">
        <f>IFERROR((IF(COUNT('11_PRE_POST'!K10,'11_PRE_POST'!K11)&gt;0,AVERAGE('11_PRE_POST'!K10,'11_PRE_POST'!K11),0) + IF(COUNT('11_PRE_POST'!K12)&gt;0,AVERAGE('11_PRE_POST'!K12),0) + IF(COUNT('11_PRE_POST'!K13)&gt;0,AVERAGE('11_PRE_POST'!K13),0) + IF(COUNT('11_PRE_POST'!K14)&gt;0,AVERAGE('11_PRE_POST'!K14),0))/(IF(COUNT('11_PRE_POST'!K10,'11_PRE_POST'!K11)&gt;0,1,0) + IF(COUNT('11_PRE_POST'!K12)&gt;0,1,0) + IF(COUNT('11_PRE_POST'!K13)&gt;0,1,0) + IF(COUNT('11_PRE_POST'!K14)&gt;0,1,0)),"")</f>
        <v>0.96635811000466787</v>
      </c>
      <c r="H43" s="6">
        <f>G43-E43</f>
        <v>-3.364188999533213E-2</v>
      </c>
      <c r="I43" s="2" t="s">
        <v>681</v>
      </c>
    </row>
    <row r="44" spans="1:13" ht="15" customHeight="1" x14ac:dyDescent="0.25">
      <c r="A44" s="3" t="s">
        <v>82</v>
      </c>
      <c r="B44" s="6">
        <f>AVERAGE('11_PRE_POST'!I15,'11_PRE_POST'!I16,'11_PRE_POST'!I17,'11_PRE_POST'!I18,'11_PRE_POST'!I19)</f>
        <v>0.66117391566703521</v>
      </c>
      <c r="C44" s="6">
        <f>AVERAGE('11_PRE_POST'!J15,'11_PRE_POST'!J16,'11_PRE_POST'!J17,'11_PRE_POST'!J18,'11_PRE_POST'!J19)</f>
        <v>0.65976496664027295</v>
      </c>
      <c r="D44" s="6">
        <f>AVERAGE('11_PRE_POST'!K15,'11_PRE_POST'!K16,'11_PRE_POST'!K17,'11_PRE_POST'!K18,'11_PRE_POST'!K19)</f>
        <v>0.92853188409357068</v>
      </c>
      <c r="E44" s="6">
        <f>IFERROR((IF(COUNT('11_PRE_POST'!I15,'11_PRE_POST'!I16)&gt;0,AVERAGE('11_PRE_POST'!I15,'11_PRE_POST'!I16),0) + IF(COUNT('11_PRE_POST'!I17,'11_PRE_POST'!I18,'11_PRE_POST'!I19)&gt;0,AVERAGE('11_PRE_POST'!I17,'11_PRE_POST'!I18,'11_PRE_POST'!I19),0))/(IF(COUNT('11_PRE_POST'!I15,'11_PRE_POST'!I16)&gt;0,1,0) + IF(COUNT('11_PRE_POST'!I17,'11_PRE_POST'!I18,'11_PRE_POST'!I19)&gt;0,1,0)),"")</f>
        <v>0.7088045244515031</v>
      </c>
      <c r="F44" s="6">
        <f>IFERROR((IF(COUNT('11_PRE_POST'!J15,'11_PRE_POST'!J16)&gt;0,AVERAGE('11_PRE_POST'!J15,'11_PRE_POST'!J16),0) + IF(COUNT('11_PRE_POST'!J17,'11_PRE_POST'!J18,'11_PRE_POST'!J19)&gt;0,AVERAGE('11_PRE_POST'!J17,'11_PRE_POST'!J18,'11_PRE_POST'!J19),0))/(IF(COUNT('11_PRE_POST'!J15,'11_PRE_POST'!J16)&gt;0,1,0) + IF(COUNT('11_PRE_POST'!J17,'11_PRE_POST'!J18,'11_PRE_POST'!J19)&gt;0,1,0)),"")</f>
        <v>0.70774113634342184</v>
      </c>
      <c r="G44" s="6">
        <f>IFERROR((IF(COUNT('11_PRE_POST'!K15,'11_PRE_POST'!K16)&gt;0,AVERAGE('11_PRE_POST'!K15,'11_PRE_POST'!K16),0) + IF(COUNT('11_PRE_POST'!K17,'11_PRE_POST'!K18,'11_PRE_POST'!K19)&gt;0,AVERAGE('11_PRE_POST'!K17,'11_PRE_POST'!K18,'11_PRE_POST'!K19),0))/(IF(COUNT('11_PRE_POST'!K15,'11_PRE_POST'!K16)&gt;0,1,0) + IF(COUNT('11_PRE_POST'!K17,'11_PRE_POST'!K18,'11_PRE_POST'!K19)&gt;0,1,0)),"")</f>
        <v>0.93304675823488248</v>
      </c>
      <c r="H44" s="6">
        <f>G44-E44</f>
        <v>0.22424223378337937</v>
      </c>
      <c r="I44" s="2" t="s">
        <v>681</v>
      </c>
    </row>
    <row r="45" spans="1:13" ht="15" customHeight="1" x14ac:dyDescent="0.25">
      <c r="A45" s="3" t="s">
        <v>87</v>
      </c>
      <c r="B45" s="6">
        <f>AVERAGE('11_PRE_POST'!I20,'11_PRE_POST'!I21,'11_PRE_POST'!I22,'11_PRE_POST'!I23,'11_PRE_POST'!I24,'11_PRE_POST'!I25,'11_PRE_POST'!I26,'11_PRE_POST'!I27)</f>
        <v>0.67882207357694568</v>
      </c>
      <c r="C45" s="6">
        <f>AVERAGE('11_PRE_POST'!J20,'11_PRE_POST'!J21,'11_PRE_POST'!J22,'11_PRE_POST'!J23,'11_PRE_POST'!J24,'11_PRE_POST'!J25,'11_PRE_POST'!J26,'11_PRE_POST'!J27)</f>
        <v>0.67284930794377751</v>
      </c>
      <c r="D45" s="6">
        <f>AVERAGE('11_PRE_POST'!K20,'11_PRE_POST'!K21,'11_PRE_POST'!K22,'11_PRE_POST'!K23,'11_PRE_POST'!K24,'11_PRE_POST'!K25,'11_PRE_POST'!K26,'11_PRE_POST'!K27)</f>
        <v>0.67991056758214818</v>
      </c>
      <c r="E45" s="6">
        <f>IFERROR((IF(COUNT('11_PRE_POST'!I20,'11_PRE_POST'!I21,'11_PRE_POST'!I22)&gt;0,AVERAGE('11_PRE_POST'!I20,'11_PRE_POST'!I21,'11_PRE_POST'!I22),0) + IF(COUNT('11_PRE_POST'!I23,'11_PRE_POST'!I24,'11_PRE_POST'!I25)&gt;0,AVERAGE('11_PRE_POST'!I23,'11_PRE_POST'!I24,'11_PRE_POST'!I25),0) + IF(COUNT('11_PRE_POST'!I26)&gt;0,AVERAGE('11_PRE_POST'!I26),0) + IF(COUNT('11_PRE_POST'!I27)&gt;0,AVERAGE('11_PRE_POST'!I27),0))/(IF(COUNT('11_PRE_POST'!I20,'11_PRE_POST'!I21,'11_PRE_POST'!I22)&gt;0,1,0) + IF(COUNT('11_PRE_POST'!I23,'11_PRE_POST'!I24,'11_PRE_POST'!I25)&gt;0,1,0) + IF(COUNT('11_PRE_POST'!I26)&gt;0,1,0) + IF(COUNT('11_PRE_POST'!I27)&gt;0,1,0)),"")</f>
        <v>0.73174231156520264</v>
      </c>
      <c r="F45" s="6">
        <f>IFERROR((IF(COUNT('11_PRE_POST'!J20,'11_PRE_POST'!J21,'11_PRE_POST'!J22)&gt;0,AVERAGE('11_PRE_POST'!J20,'11_PRE_POST'!J21,'11_PRE_POST'!J22),0) + IF(COUNT('11_PRE_POST'!J23,'11_PRE_POST'!J24,'11_PRE_POST'!J25)&gt;0,AVERAGE('11_PRE_POST'!J23,'11_PRE_POST'!J24,'11_PRE_POST'!J25),0) + IF(COUNT('11_PRE_POST'!J26)&gt;0,AVERAGE('11_PRE_POST'!J26),0) + IF(COUNT('11_PRE_POST'!J27)&gt;0,AVERAGE('11_PRE_POST'!J27),0))/(IF(COUNT('11_PRE_POST'!J20,'11_PRE_POST'!J21,'11_PRE_POST'!J22)&gt;0,1,0) + IF(COUNT('11_PRE_POST'!J23,'11_PRE_POST'!J24,'11_PRE_POST'!J25)&gt;0,1,0) + IF(COUNT('11_PRE_POST'!J26)&gt;0,1,0) + IF(COUNT('11_PRE_POST'!J27)&gt;0,1,0)),"")</f>
        <v>0.71326076277868344</v>
      </c>
      <c r="G45" s="6">
        <f>IFERROR((IF(COUNT('11_PRE_POST'!K20,'11_PRE_POST'!K21,'11_PRE_POST'!K22)&gt;0,AVERAGE('11_PRE_POST'!K20,'11_PRE_POST'!K21,'11_PRE_POST'!K22),0) + IF(COUNT('11_PRE_POST'!K23,'11_PRE_POST'!K24,'11_PRE_POST'!K25)&gt;0,AVERAGE('11_PRE_POST'!K23,'11_PRE_POST'!K24,'11_PRE_POST'!K25),0) + IF(COUNT('11_PRE_POST'!K26)&gt;0,AVERAGE('11_PRE_POST'!K26),0) + IF(COUNT('11_PRE_POST'!K27)&gt;0,AVERAGE('11_PRE_POST'!K27),0))/(IF(COUNT('11_PRE_POST'!K20,'11_PRE_POST'!K21,'11_PRE_POST'!K22)&gt;0,1,0) + IF(COUNT('11_PRE_POST'!K23,'11_PRE_POST'!K24,'11_PRE_POST'!K25)&gt;0,1,0) + IF(COUNT('11_PRE_POST'!K26)&gt;0,1,0) + IF(COUNT('11_PRE_POST'!K27)&gt;0,1,0)),"")</f>
        <v>0.68005450641631204</v>
      </c>
      <c r="H45" s="6">
        <f>G45-E45</f>
        <v>-5.1687805148890598E-2</v>
      </c>
      <c r="I45" s="2" t="s">
        <v>681</v>
      </c>
    </row>
    <row r="46" spans="1:13" ht="15" customHeight="1" x14ac:dyDescent="0.25">
      <c r="A46" s="3" t="s">
        <v>93</v>
      </c>
      <c r="B46" s="6">
        <f>AVERAGE('11_PRE_POST'!I28,'11_PRE_POST'!I29,'11_PRE_POST'!I30,'11_PRE_POST'!I31,'11_PRE_POST'!I32,'11_PRE_POST'!I33,'11_PRE_POST'!I34,'11_PRE_POST'!I35,'11_PRE_POST'!I36,'11_PRE_POST'!I37)</f>
        <v>0.60927427222723873</v>
      </c>
      <c r="C46" s="6">
        <f>AVERAGE('11_PRE_POST'!J28,'11_PRE_POST'!J29,'11_PRE_POST'!J30,'11_PRE_POST'!J31,'11_PRE_POST'!J32,'11_PRE_POST'!J33,'11_PRE_POST'!J34,'11_PRE_POST'!J35,'11_PRE_POST'!J36,'11_PRE_POST'!J37)</f>
        <v>0.6056871914448746</v>
      </c>
      <c r="D46" s="6">
        <f>AVERAGE('11_PRE_POST'!K28,'11_PRE_POST'!K29,'11_PRE_POST'!K30,'11_PRE_POST'!K31,'11_PRE_POST'!K32,'11_PRE_POST'!K33,'11_PRE_POST'!K34,'11_PRE_POST'!K35,'11_PRE_POST'!K36,'11_PRE_POST'!K37)</f>
        <v>0.60039702719547705</v>
      </c>
      <c r="E46" s="6">
        <f>IFERROR((IF(COUNT('11_PRE_POST'!I28,'11_PRE_POST'!I29,'11_PRE_POST'!I30)&gt;0,AVERAGE('11_PRE_POST'!I28,'11_PRE_POST'!I29,'11_PRE_POST'!I30),0) + IF(COUNT('11_PRE_POST'!I31,'11_PRE_POST'!I32)&gt;0,AVERAGE('11_PRE_POST'!I31,'11_PRE_POST'!I32),0) + IF(COUNT('11_PRE_POST'!I33,'11_PRE_POST'!I34,'11_PRE_POST'!I37)&gt;0,AVERAGE('11_PRE_POST'!I33,'11_PRE_POST'!I34,'11_PRE_POST'!I37),0) + IF(COUNT('11_PRE_POST'!I35,'11_PRE_POST'!I36)&gt;0,AVERAGE('11_PRE_POST'!I35,'11_PRE_POST'!I36),0))/(IF(COUNT('11_PRE_POST'!I28,'11_PRE_POST'!I29,'11_PRE_POST'!I30)&gt;0,1,0) + IF(COUNT('11_PRE_POST'!I31,'11_PRE_POST'!I32)&gt;0,1,0) + IF(COUNT('11_PRE_POST'!I33,'11_PRE_POST'!I34,'11_PRE_POST'!I37)&gt;0,1,0) + IF(COUNT('11_PRE_POST'!I35,'11_PRE_POST'!I36)&gt;0,1,0)),"")</f>
        <v>0.59554004629767887</v>
      </c>
      <c r="F46" s="6">
        <f>IFERROR((IF(COUNT('11_PRE_POST'!J28,'11_PRE_POST'!J29,'11_PRE_POST'!J30)&gt;0,AVERAGE('11_PRE_POST'!J28,'11_PRE_POST'!J29,'11_PRE_POST'!J30),0) + IF(COUNT('11_PRE_POST'!J31,'11_PRE_POST'!J32)&gt;0,AVERAGE('11_PRE_POST'!J31,'11_PRE_POST'!J32),0) + IF(COUNT('11_PRE_POST'!J33,'11_PRE_POST'!J34,'11_PRE_POST'!J37)&gt;0,AVERAGE('11_PRE_POST'!J33,'11_PRE_POST'!J34,'11_PRE_POST'!J37),0) + IF(COUNT('11_PRE_POST'!J35,'11_PRE_POST'!J36)&gt;0,AVERAGE('11_PRE_POST'!J35,'11_PRE_POST'!J36),0))/(IF(COUNT('11_PRE_POST'!J28,'11_PRE_POST'!J29,'11_PRE_POST'!J30)&gt;0,1,0) + IF(COUNT('11_PRE_POST'!J31,'11_PRE_POST'!J32)&gt;0,1,0) + IF(COUNT('11_PRE_POST'!J33,'11_PRE_POST'!J34,'11_PRE_POST'!J37)&gt;0,1,0) + IF(COUNT('11_PRE_POST'!J35,'11_PRE_POST'!J36)&gt;0,1,0)),"")</f>
        <v>0.59025512690215509</v>
      </c>
      <c r="G46" s="6">
        <f>IFERROR((IF(COUNT('11_PRE_POST'!K28,'11_PRE_POST'!K29,'11_PRE_POST'!K30)&gt;0,AVERAGE('11_PRE_POST'!K28,'11_PRE_POST'!K29,'11_PRE_POST'!K30),0) + IF(COUNT('11_PRE_POST'!K31,'11_PRE_POST'!K32)&gt;0,AVERAGE('11_PRE_POST'!K31,'11_PRE_POST'!K32),0) + IF(COUNT('11_PRE_POST'!K33,'11_PRE_POST'!K34,'11_PRE_POST'!K37)&gt;0,AVERAGE('11_PRE_POST'!K33,'11_PRE_POST'!K34,'11_PRE_POST'!K37),0) + IF(COUNT('11_PRE_POST'!K35,'11_PRE_POST'!K36)&gt;0,AVERAGE('11_PRE_POST'!K35,'11_PRE_POST'!K36),0))/(IF(COUNT('11_PRE_POST'!K28,'11_PRE_POST'!K29,'11_PRE_POST'!K30)&gt;0,1,0) + IF(COUNT('11_PRE_POST'!K31,'11_PRE_POST'!K32)&gt;0,1,0) + IF(COUNT('11_PRE_POST'!K33,'11_PRE_POST'!K34,'11_PRE_POST'!K37)&gt;0,1,0) + IF(COUNT('11_PRE_POST'!K35,'11_PRE_POST'!K36)&gt;0,1,0)),"")</f>
        <v>0.58978945482465184</v>
      </c>
      <c r="H46" s="6">
        <f>G46-E46</f>
        <v>-5.7505914730270336E-3</v>
      </c>
      <c r="I46" s="2" t="s">
        <v>681</v>
      </c>
    </row>
    <row r="47" spans="1:13" ht="15" customHeight="1" x14ac:dyDescent="0.25"/>
    <row r="48" spans="1:13" ht="15" customHeight="1" x14ac:dyDescent="0.25"/>
    <row r="49" spans="1:8" ht="15" customHeight="1" x14ac:dyDescent="0.25">
      <c r="A49" s="1" t="s">
        <v>682</v>
      </c>
      <c r="B49" s="1" t="s">
        <v>674</v>
      </c>
      <c r="C49" s="1" t="s">
        <v>675</v>
      </c>
      <c r="D49" s="1" t="s">
        <v>676</v>
      </c>
      <c r="E49" s="1" t="s">
        <v>677</v>
      </c>
      <c r="F49" s="1" t="s">
        <v>678</v>
      </c>
      <c r="G49" s="1" t="s">
        <v>679</v>
      </c>
      <c r="H49" s="1" t="s">
        <v>680</v>
      </c>
    </row>
    <row r="50" spans="1:8" ht="15" customHeight="1" x14ac:dyDescent="0.25">
      <c r="A50" s="3" t="s">
        <v>683</v>
      </c>
      <c r="B50" s="6">
        <f t="shared" ref="B50:G50" si="1">AVERAGE(B42:B46)</f>
        <v>0.69010476466177406</v>
      </c>
      <c r="C50" s="6">
        <f t="shared" si="1"/>
        <v>0.72829963510380025</v>
      </c>
      <c r="D50" s="6">
        <f t="shared" si="1"/>
        <v>0.74166905666617122</v>
      </c>
      <c r="E50" s="6">
        <f t="shared" si="1"/>
        <v>0.7011554107385245</v>
      </c>
      <c r="F50" s="6">
        <f t="shared" si="1"/>
        <v>0.73273091162836346</v>
      </c>
      <c r="G50" s="6">
        <f t="shared" si="1"/>
        <v>0.73194758841216845</v>
      </c>
      <c r="H50" s="6">
        <f>G50-E50</f>
        <v>3.079217767364395E-2</v>
      </c>
    </row>
    <row r="51" spans="1:8" ht="15" customHeight="1" x14ac:dyDescent="0.25"/>
  </sheetData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3"/>
  <sheetViews>
    <sheetView workbookViewId="0">
      <selection activeCell="K22" sqref="K22"/>
    </sheetView>
  </sheetViews>
  <sheetFormatPr defaultRowHeight="15" x14ac:dyDescent="0.25"/>
  <cols>
    <col min="1" max="1" width="18" customWidth="1"/>
    <col min="2" max="6" width="20" customWidth="1"/>
    <col min="7" max="7" width="52" customWidth="1"/>
  </cols>
  <sheetData>
    <row r="1" spans="1:7" ht="27" customHeight="1" x14ac:dyDescent="0.25">
      <c r="A1" s="10" t="s">
        <v>684</v>
      </c>
      <c r="B1" s="10"/>
      <c r="C1" s="10"/>
      <c r="D1" s="10"/>
      <c r="E1" s="10"/>
      <c r="F1" s="10"/>
      <c r="G1" s="10"/>
    </row>
    <row r="3" spans="1:7" x14ac:dyDescent="0.25">
      <c r="A3" s="1" t="s">
        <v>60</v>
      </c>
      <c r="B3" s="1" t="s">
        <v>685</v>
      </c>
      <c r="C3" s="1" t="s">
        <v>47</v>
      </c>
      <c r="D3" s="1" t="s">
        <v>615</v>
      </c>
      <c r="E3" s="1" t="s">
        <v>613</v>
      </c>
      <c r="F3" s="1" t="s">
        <v>614</v>
      </c>
      <c r="G3" s="1" t="s">
        <v>616</v>
      </c>
    </row>
    <row r="4" spans="1:7" ht="30" x14ac:dyDescent="0.25">
      <c r="A4" s="3" t="s">
        <v>67</v>
      </c>
      <c r="B4" s="6">
        <f>'09_BASELINE_RESULTS'!B4</f>
        <v>0.60981447207677852</v>
      </c>
      <c r="C4" s="6">
        <f>'09_BASELINE_RESULTS'!C4</f>
        <v>0.59980884489797603</v>
      </c>
      <c r="D4" s="6">
        <f t="shared" ref="D4:D9" si="0">C4-B4</f>
        <v>-1.000562717880249E-2</v>
      </c>
      <c r="E4" s="2" t="str">
        <f t="shared" ref="E4:F9" si="1">IF(NOT(ISNUMBER(B4)),"",IF(B4&lt;0.25,"Low",IF(B4&lt;0.5,"Moderate",IF(B4&lt;0.75,"Good","Excellent"))))</f>
        <v>Good</v>
      </c>
      <c r="F4" s="2" t="str">
        <f t="shared" si="1"/>
        <v>Good</v>
      </c>
      <c r="G4" s="2" t="s">
        <v>686</v>
      </c>
    </row>
    <row r="5" spans="1:7" ht="30" x14ac:dyDescent="0.25">
      <c r="A5" s="3" t="s">
        <v>76</v>
      </c>
      <c r="B5" s="6">
        <f>'09_BASELINE_RESULTS'!B5</f>
        <v>0.88427374090298327</v>
      </c>
      <c r="C5" s="6">
        <f>'09_BASELINE_RESULTS'!C5</f>
        <v>0.8578087490579297</v>
      </c>
      <c r="D5" s="6">
        <f t="shared" si="0"/>
        <v>-2.6464991845053576E-2</v>
      </c>
      <c r="E5" s="2" t="str">
        <f t="shared" si="1"/>
        <v>Excellent</v>
      </c>
      <c r="F5" s="2" t="str">
        <f t="shared" si="1"/>
        <v>Excellent</v>
      </c>
      <c r="G5" s="2" t="s">
        <v>686</v>
      </c>
    </row>
    <row r="6" spans="1:7" ht="30" x14ac:dyDescent="0.25">
      <c r="A6" s="3" t="s">
        <v>82</v>
      </c>
      <c r="B6" s="6">
        <f>'09_BASELINE_RESULTS'!B6</f>
        <v>0.76150514352928766</v>
      </c>
      <c r="C6" s="6">
        <f>'09_BASELINE_RESULTS'!C6</f>
        <v>0.79300252531597537</v>
      </c>
      <c r="D6" s="6">
        <f t="shared" si="0"/>
        <v>3.1497381786687706E-2</v>
      </c>
      <c r="E6" s="2" t="str">
        <f t="shared" si="1"/>
        <v>Excellent</v>
      </c>
      <c r="F6" s="2" t="str">
        <f t="shared" si="1"/>
        <v>Excellent</v>
      </c>
      <c r="G6" s="2" t="s">
        <v>686</v>
      </c>
    </row>
    <row r="7" spans="1:7" ht="30" x14ac:dyDescent="0.25">
      <c r="A7" s="3" t="s">
        <v>87</v>
      </c>
      <c r="B7" s="6">
        <f>'09_BASELINE_RESULTS'!B7</f>
        <v>0.66498611813235564</v>
      </c>
      <c r="C7" s="6">
        <f>'09_BASELINE_RESULTS'!C7</f>
        <v>0.67098652506316625</v>
      </c>
      <c r="D7" s="6">
        <f t="shared" si="0"/>
        <v>6.0004069308106089E-3</v>
      </c>
      <c r="E7" s="2" t="str">
        <f t="shared" si="1"/>
        <v>Good</v>
      </c>
      <c r="F7" s="2" t="str">
        <f t="shared" si="1"/>
        <v>Good</v>
      </c>
      <c r="G7" s="2" t="s">
        <v>686</v>
      </c>
    </row>
    <row r="8" spans="1:7" ht="30" x14ac:dyDescent="0.25">
      <c r="A8" s="3" t="s">
        <v>93</v>
      </c>
      <c r="B8" s="6">
        <f>'09_BASELINE_RESULTS'!B8</f>
        <v>0.60799079927597877</v>
      </c>
      <c r="C8" s="6">
        <f>'09_BASELINE_RESULTS'!C8</f>
        <v>0.59489976205198325</v>
      </c>
      <c r="D8" s="6">
        <f t="shared" si="0"/>
        <v>-1.3091037223995516E-2</v>
      </c>
      <c r="E8" s="2" t="str">
        <f t="shared" si="1"/>
        <v>Good</v>
      </c>
      <c r="F8" s="2" t="str">
        <f t="shared" si="1"/>
        <v>Good</v>
      </c>
      <c r="G8" s="2" t="s">
        <v>686</v>
      </c>
    </row>
    <row r="9" spans="1:7" ht="30" x14ac:dyDescent="0.25">
      <c r="A9" s="3" t="s">
        <v>99</v>
      </c>
      <c r="B9" s="6">
        <f>'09_BASELINE_RESULTS'!B9</f>
        <v>0.59375</v>
      </c>
      <c r="C9" s="6">
        <f>'09_BASELINE_RESULTS'!C9</f>
        <v>0.59375</v>
      </c>
      <c r="D9" s="6">
        <f t="shared" si="0"/>
        <v>0</v>
      </c>
      <c r="E9" s="2" t="str">
        <f t="shared" si="1"/>
        <v>Good</v>
      </c>
      <c r="F9" s="2" t="str">
        <f t="shared" si="1"/>
        <v>Good</v>
      </c>
      <c r="G9" s="2" t="s">
        <v>686</v>
      </c>
    </row>
    <row r="12" spans="1:7" x14ac:dyDescent="0.25">
      <c r="A12" s="1" t="s">
        <v>687</v>
      </c>
      <c r="B12" s="1" t="s">
        <v>685</v>
      </c>
      <c r="C12" s="1" t="s">
        <v>47</v>
      </c>
      <c r="D12" s="1" t="s">
        <v>615</v>
      </c>
      <c r="E12" s="1" t="s">
        <v>613</v>
      </c>
      <c r="F12" s="1" t="s">
        <v>614</v>
      </c>
      <c r="G12" s="1" t="s">
        <v>688</v>
      </c>
    </row>
    <row r="13" spans="1:7" x14ac:dyDescent="0.25">
      <c r="A13" s="3" t="s">
        <v>689</v>
      </c>
      <c r="B13" s="6">
        <f>'09_BASELINE_RESULTS'!B13</f>
        <v>0.68705337898623065</v>
      </c>
      <c r="C13" s="6">
        <f>'09_BASELINE_RESULTS'!C13</f>
        <v>0.68504273439783836</v>
      </c>
      <c r="D13" s="6">
        <f>C13-B13</f>
        <v>-2.0106445883922852E-3</v>
      </c>
      <c r="E13" s="2" t="str">
        <f>IF(NOT(ISNUMBER(B13)),"",IF(B13&lt;0.25,"Low",IF(B13&lt;0.5,"Moderate",IF(B13&lt;0.75,"Good","Excellent"))))</f>
        <v>Good</v>
      </c>
      <c r="F13" s="2" t="str">
        <f>IF(NOT(ISNUMBER(C13)),"",IF(C13&lt;0.25,"Low",IF(C13&lt;0.5,"Moderate",IF(C13&lt;0.75,"Good","Excellent"))))</f>
        <v>Good</v>
      </c>
      <c r="G13" s="4" t="s">
        <v>47</v>
      </c>
    </row>
  </sheetData>
  <mergeCells count="1">
    <mergeCell ref="A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57"/>
  <sheetViews>
    <sheetView showGridLines="0" topLeftCell="A14" workbookViewId="0">
      <selection activeCell="M51" sqref="M51"/>
    </sheetView>
  </sheetViews>
  <sheetFormatPr defaultRowHeight="15" x14ac:dyDescent="0.25"/>
  <cols>
    <col min="1" max="2" width="14" customWidth="1"/>
    <col min="3" max="3" width="36" customWidth="1"/>
    <col min="4" max="17" width="15" customWidth="1"/>
  </cols>
  <sheetData>
    <row r="1" spans="1:17" ht="27" customHeight="1" x14ac:dyDescent="0.25">
      <c r="A1" s="10" t="s">
        <v>690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3" spans="1:17" ht="30" x14ac:dyDescent="0.25">
      <c r="A3" s="1" t="s">
        <v>60</v>
      </c>
      <c r="B3" s="1" t="s">
        <v>105</v>
      </c>
      <c r="C3" s="1" t="s">
        <v>106</v>
      </c>
      <c r="D3" s="1" t="s">
        <v>108</v>
      </c>
      <c r="E3" s="1" t="s">
        <v>387</v>
      </c>
      <c r="F3" s="1" t="s">
        <v>691</v>
      </c>
      <c r="G3" s="1" t="s">
        <v>692</v>
      </c>
      <c r="H3" s="1" t="s">
        <v>693</v>
      </c>
      <c r="I3" s="1" t="s">
        <v>694</v>
      </c>
      <c r="J3" s="1" t="s">
        <v>695</v>
      </c>
      <c r="K3" s="1" t="s">
        <v>696</v>
      </c>
      <c r="L3" s="1" t="s">
        <v>697</v>
      </c>
      <c r="M3" s="1" t="s">
        <v>698</v>
      </c>
      <c r="N3" s="1" t="s">
        <v>699</v>
      </c>
      <c r="O3" s="1" t="s">
        <v>700</v>
      </c>
      <c r="P3" s="1" t="s">
        <v>701</v>
      </c>
      <c r="Q3" s="1" t="s">
        <v>120</v>
      </c>
    </row>
    <row r="4" spans="1:17" ht="15" customHeight="1" x14ac:dyDescent="0.25">
      <c r="A4" s="3" t="s">
        <v>67</v>
      </c>
      <c r="B4" s="3" t="s">
        <v>121</v>
      </c>
      <c r="C4" s="3" t="s">
        <v>122</v>
      </c>
      <c r="D4" s="3" t="s">
        <v>124</v>
      </c>
      <c r="E4" s="7">
        <f>'05_IMPORT_BASELINE'!D4</f>
        <v>0.72499999999999998</v>
      </c>
      <c r="F4" s="6">
        <f>'08_NORMALISATION'!L4</f>
        <v>0.65625</v>
      </c>
      <c r="G4" s="7">
        <f>IF(D4="Positive",'04_THRESHOLDS_WEIGHTS'!G4*(1-'01_CONTROL'!$B$10),'04_THRESHOLDS_WEIGHTS'!G4*(1+'01_CONTROL'!$B$10))</f>
        <v>0.32000000000000006</v>
      </c>
      <c r="H4" s="7">
        <f>IF(D4="Positive",'04_THRESHOLDS_WEIGHTS'!H4*(1-'01_CONTROL'!$B$10),'04_THRESHOLDS_WEIGHTS'!H4*(1+'01_CONTROL'!$B$10))</f>
        <v>0.48</v>
      </c>
      <c r="I4" s="7">
        <f>IF(D4="Positive",'04_THRESHOLDS_WEIGHTS'!I4*(1-'01_CONTROL'!$B$10),'04_THRESHOLDS_WEIGHTS'!I4*(1+'01_CONTROL'!$B$10))</f>
        <v>0.64000000000000012</v>
      </c>
      <c r="J4" s="7">
        <f>IF(D4="Positive",'04_THRESHOLDS_WEIGHTS'!J4*(1-'01_CONTROL'!$B$10),'04_THRESHOLDS_WEIGHTS'!J4*(1+'01_CONTROL'!$B$10))</f>
        <v>0.8</v>
      </c>
      <c r="K4" s="6">
        <f t="shared" ref="K4:K41" si="0">IF(NOT(ISNUMBER(E4)),"",IF(D4="Positive",IF(E4&lt;G4,0,IF(E4&lt;H4,0.25+0.25*(E4-G4)/(H4-G4),IF(E4&lt;I4,0.5+0.25*(E4-H4)/(I4-H4),IF(E4&lt;J4,0.75+0.25*(E4-I4)/(J4-I4),1)))),IF(E4&gt;G4,0,IF(E4&gt;H4,0.25+0.25*(G4-E4)/(G4-H4),IF(E4&gt;I4,0.5+0.25*(H4-E4)/(H4-I4),IF(E4&gt;J4,0.75+0.25*(I4-E4)/(I4-J4),1))))))</f>
        <v>0.88281249999999978</v>
      </c>
      <c r="L4" s="7">
        <f>IF(D4="Positive",'04_THRESHOLDS_WEIGHTS'!G4*(1+'01_CONTROL'!$B$10),'04_THRESHOLDS_WEIGHTS'!G4*(1-'01_CONTROL'!$B$10))</f>
        <v>0.48</v>
      </c>
      <c r="M4" s="7">
        <f>IF(D4="Positive",'04_THRESHOLDS_WEIGHTS'!H4*(1+'01_CONTROL'!$B$10),'04_THRESHOLDS_WEIGHTS'!H4*(1-'01_CONTROL'!$B$10))</f>
        <v>0.72</v>
      </c>
      <c r="N4" s="7">
        <f>IF(D4="Positive",'04_THRESHOLDS_WEIGHTS'!I4*(1+'01_CONTROL'!$B$10),'04_THRESHOLDS_WEIGHTS'!I4*(1-'01_CONTROL'!$B$10))</f>
        <v>0.96</v>
      </c>
      <c r="O4" s="7">
        <f>IF(D4="Positive",'04_THRESHOLDS_WEIGHTS'!J4*(1+'01_CONTROL'!$B$10),'04_THRESHOLDS_WEIGHTS'!J4*(1-'01_CONTROL'!$B$10))</f>
        <v>1.2</v>
      </c>
      <c r="P4" s="6">
        <f t="shared" ref="P4:P41" si="1">IF(NOT(ISNUMBER(E4)),"",IF(D4="Positive",IF(E4&lt;L4,0,IF(E4&lt;M4,0.25+0.25*(E4-L4)/(M4-L4),IF(E4&lt;N4,0.5+0.25*(E4-M4)/(N4-M4),IF(E4&lt;O4,0.75+0.25*(E4-N4)/(O4-N4),1)))),IF(E4&gt;L4,0,IF(E4&gt;M4,0.25+0.25*(L4-E4)/(L4-M4),IF(E4&gt;N4,0.5+0.25*(M4-E4)/(M4-N4),IF(E4&gt;O4,0.75+0.25*(N4-E4)/(N4-O4),1))))))</f>
        <v>0.50520833333333337</v>
      </c>
      <c r="Q4" s="6">
        <f>'04_THRESHOLDS_WEIGHTS'!L4</f>
        <v>0.125</v>
      </c>
    </row>
    <row r="5" spans="1:17" ht="15" customHeight="1" x14ac:dyDescent="0.25">
      <c r="A5" s="3" t="s">
        <v>67</v>
      </c>
      <c r="B5" s="3" t="s">
        <v>133</v>
      </c>
      <c r="C5" s="3" t="s">
        <v>134</v>
      </c>
      <c r="D5" s="3" t="s">
        <v>124</v>
      </c>
      <c r="E5" s="7">
        <f>'05_IMPORT_BASELINE'!D5</f>
        <v>0.81718292336732146</v>
      </c>
      <c r="F5" s="6">
        <f>'08_NORMALISATION'!L5</f>
        <v>0.77147865420915174</v>
      </c>
      <c r="G5" s="7">
        <f>IF(D5="Positive",'04_THRESHOLDS_WEIGHTS'!G5*(1-'01_CONTROL'!$B$10),'04_THRESHOLDS_WEIGHTS'!G5*(1+'01_CONTROL'!$B$10))</f>
        <v>0.32000000000000006</v>
      </c>
      <c r="H5" s="7">
        <f>IF(D5="Positive",'04_THRESHOLDS_WEIGHTS'!H5*(1-'01_CONTROL'!$B$10),'04_THRESHOLDS_WEIGHTS'!H5*(1+'01_CONTROL'!$B$10))</f>
        <v>0.48</v>
      </c>
      <c r="I5" s="7">
        <f>IF(D5="Positive",'04_THRESHOLDS_WEIGHTS'!I5*(1-'01_CONTROL'!$B$10),'04_THRESHOLDS_WEIGHTS'!I5*(1+'01_CONTROL'!$B$10))</f>
        <v>0.64000000000000012</v>
      </c>
      <c r="J5" s="7">
        <f>IF(D5="Positive",'04_THRESHOLDS_WEIGHTS'!J5*(1-'01_CONTROL'!$B$10),'04_THRESHOLDS_WEIGHTS'!J5*(1+'01_CONTROL'!$B$10))</f>
        <v>0.8</v>
      </c>
      <c r="K5" s="6">
        <f t="shared" si="0"/>
        <v>1</v>
      </c>
      <c r="L5" s="7">
        <f>IF(D5="Positive",'04_THRESHOLDS_WEIGHTS'!G5*(1+'01_CONTROL'!$B$10),'04_THRESHOLDS_WEIGHTS'!G5*(1-'01_CONTROL'!$B$10))</f>
        <v>0.48</v>
      </c>
      <c r="M5" s="7">
        <f>IF(D5="Positive",'04_THRESHOLDS_WEIGHTS'!H5*(1+'01_CONTROL'!$B$10),'04_THRESHOLDS_WEIGHTS'!H5*(1-'01_CONTROL'!$B$10))</f>
        <v>0.72</v>
      </c>
      <c r="N5" s="7">
        <f>IF(D5="Positive",'04_THRESHOLDS_WEIGHTS'!I5*(1+'01_CONTROL'!$B$10),'04_THRESHOLDS_WEIGHTS'!I5*(1-'01_CONTROL'!$B$10))</f>
        <v>0.96</v>
      </c>
      <c r="O5" s="7">
        <f>IF(D5="Positive",'04_THRESHOLDS_WEIGHTS'!J5*(1+'01_CONTROL'!$B$10),'04_THRESHOLDS_WEIGHTS'!J5*(1-'01_CONTROL'!$B$10))</f>
        <v>1.2</v>
      </c>
      <c r="P5" s="6">
        <f t="shared" si="1"/>
        <v>0.60123221184095987</v>
      </c>
      <c r="Q5" s="6">
        <f>'04_THRESHOLDS_WEIGHTS'!L5</f>
        <v>0.125</v>
      </c>
    </row>
    <row r="6" spans="1:17" ht="15" customHeight="1" x14ac:dyDescent="0.25">
      <c r="A6" s="3" t="s">
        <v>67</v>
      </c>
      <c r="B6" s="3" t="s">
        <v>138</v>
      </c>
      <c r="C6" s="3" t="s">
        <v>139</v>
      </c>
      <c r="D6" s="3" t="s">
        <v>141</v>
      </c>
      <c r="E6" s="7">
        <f>'05_IMPORT_BASELINE'!D6</f>
        <v>4.5</v>
      </c>
      <c r="F6" s="6">
        <f>'08_NORMALISATION'!L6</f>
        <v>0.625</v>
      </c>
      <c r="G6" s="7">
        <f>IF(D6="Positive",'04_THRESHOLDS_WEIGHTS'!G6*(1-'01_CONTROL'!$B$10),'04_THRESHOLDS_WEIGHTS'!G6*(1+'01_CONTROL'!$B$10))</f>
        <v>14.399999999999999</v>
      </c>
      <c r="H6" s="7">
        <f>IF(D6="Positive",'04_THRESHOLDS_WEIGHTS'!H6*(1-'01_CONTROL'!$B$10),'04_THRESHOLDS_WEIGHTS'!H6*(1+'01_CONTROL'!$B$10))</f>
        <v>7.1999999999999993</v>
      </c>
      <c r="I6" s="7">
        <f>IF(D6="Positive",'04_THRESHOLDS_WEIGHTS'!I6*(1-'01_CONTROL'!$B$10),'04_THRESHOLDS_WEIGHTS'!I6*(1+'01_CONTROL'!$B$10))</f>
        <v>3.5999999999999996</v>
      </c>
      <c r="J6" s="7">
        <f>IF(D6="Positive",'04_THRESHOLDS_WEIGHTS'!J6*(1-'01_CONTROL'!$B$10),'04_THRESHOLDS_WEIGHTS'!J6*(1+'01_CONTROL'!$B$10))</f>
        <v>0</v>
      </c>
      <c r="K6" s="6">
        <f t="shared" si="0"/>
        <v>0.6875</v>
      </c>
      <c r="L6" s="7">
        <f>IF(D6="Positive",'04_THRESHOLDS_WEIGHTS'!G6*(1+'01_CONTROL'!$B$10),'04_THRESHOLDS_WEIGHTS'!G6*(1-'01_CONTROL'!$B$10))</f>
        <v>9.6000000000000014</v>
      </c>
      <c r="M6" s="7">
        <f>IF(D6="Positive",'04_THRESHOLDS_WEIGHTS'!H6*(1+'01_CONTROL'!$B$10),'04_THRESHOLDS_WEIGHTS'!H6*(1-'01_CONTROL'!$B$10))</f>
        <v>4.8000000000000007</v>
      </c>
      <c r="N6" s="7">
        <f>IF(D6="Positive",'04_THRESHOLDS_WEIGHTS'!I6*(1+'01_CONTROL'!$B$10),'04_THRESHOLDS_WEIGHTS'!I6*(1-'01_CONTROL'!$B$10))</f>
        <v>2.4000000000000004</v>
      </c>
      <c r="O6" s="7">
        <f>IF(D6="Positive",'04_THRESHOLDS_WEIGHTS'!J6*(1+'01_CONTROL'!$B$10),'04_THRESHOLDS_WEIGHTS'!J6*(1-'01_CONTROL'!$B$10))</f>
        <v>0</v>
      </c>
      <c r="P6" s="6">
        <f t="shared" si="1"/>
        <v>0.53125000000000011</v>
      </c>
      <c r="Q6" s="6">
        <f>'04_THRESHOLDS_WEIGHTS'!L6</f>
        <v>0.25</v>
      </c>
    </row>
    <row r="7" spans="1:17" ht="15" customHeight="1" x14ac:dyDescent="0.25">
      <c r="A7" s="3" t="s">
        <v>67</v>
      </c>
      <c r="B7" s="3" t="s">
        <v>147</v>
      </c>
      <c r="C7" s="3" t="s">
        <v>148</v>
      </c>
      <c r="D7" s="3" t="s">
        <v>141</v>
      </c>
      <c r="E7" s="7">
        <f>'05_IMPORT_BASELINE'!D7</f>
        <v>0.87666571724298115</v>
      </c>
      <c r="F7" s="6">
        <f>'08_NORMALISATION'!L7</f>
        <v>0.5145839267231368</v>
      </c>
      <c r="G7" s="7">
        <f>IF(D7="Positive",'04_THRESHOLDS_WEIGHTS'!G7*(1-'01_CONTROL'!$B$10),'04_THRESHOLDS_WEIGHTS'!G7*(1+'01_CONTROL'!$B$10))</f>
        <v>1.32</v>
      </c>
      <c r="H7" s="7">
        <f>IF(D7="Positive",'04_THRESHOLDS_WEIGHTS'!H7*(1-'01_CONTROL'!$B$10),'04_THRESHOLDS_WEIGHTS'!H7*(1+'01_CONTROL'!$B$10))</f>
        <v>1.08</v>
      </c>
      <c r="I7" s="7">
        <f>IF(D7="Positive",'04_THRESHOLDS_WEIGHTS'!I7*(1-'01_CONTROL'!$B$10),'04_THRESHOLDS_WEIGHTS'!I7*(1+'01_CONTROL'!$B$10))</f>
        <v>0.6</v>
      </c>
      <c r="J7" s="7">
        <f>IF(D7="Positive",'04_THRESHOLDS_WEIGHTS'!J7*(1-'01_CONTROL'!$B$10),'04_THRESHOLDS_WEIGHTS'!J7*(1+'01_CONTROL'!$B$10))</f>
        <v>0</v>
      </c>
      <c r="K7" s="6">
        <f t="shared" si="0"/>
        <v>0.60590327226928065</v>
      </c>
      <c r="L7" s="7">
        <f>IF(D7="Positive",'04_THRESHOLDS_WEIGHTS'!G7*(1+'01_CONTROL'!$B$10),'04_THRESHOLDS_WEIGHTS'!G7*(1-'01_CONTROL'!$B$10))</f>
        <v>0.88000000000000012</v>
      </c>
      <c r="M7" s="7">
        <f>IF(D7="Positive",'04_THRESHOLDS_WEIGHTS'!H7*(1+'01_CONTROL'!$B$10),'04_THRESHOLDS_WEIGHTS'!H7*(1-'01_CONTROL'!$B$10))</f>
        <v>0.72000000000000008</v>
      </c>
      <c r="N7" s="7">
        <f>IF(D7="Positive",'04_THRESHOLDS_WEIGHTS'!I7*(1+'01_CONTROL'!$B$10),'04_THRESHOLDS_WEIGHTS'!I7*(1-'01_CONTROL'!$B$10))</f>
        <v>0.4</v>
      </c>
      <c r="O7" s="7">
        <f>IF(D7="Positive",'04_THRESHOLDS_WEIGHTS'!J7*(1+'01_CONTROL'!$B$10),'04_THRESHOLDS_WEIGHTS'!J7*(1-'01_CONTROL'!$B$10))</f>
        <v>0</v>
      </c>
      <c r="P7" s="6">
        <f t="shared" si="1"/>
        <v>0.25520981680784216</v>
      </c>
      <c r="Q7" s="6">
        <f>'04_THRESHOLDS_WEIGHTS'!L7</f>
        <v>0.25</v>
      </c>
    </row>
    <row r="8" spans="1:17" ht="15" customHeight="1" x14ac:dyDescent="0.25">
      <c r="A8" s="3" t="s">
        <v>67</v>
      </c>
      <c r="B8" s="3" t="s">
        <v>156</v>
      </c>
      <c r="C8" s="3" t="s">
        <v>157</v>
      </c>
      <c r="D8" s="3" t="s">
        <v>124</v>
      </c>
      <c r="E8" s="7">
        <f>'05_IMPORT_BASELINE'!D8</f>
        <v>7.0450965952559681</v>
      </c>
      <c r="F8" s="6">
        <f>'08_NORMALISATION'!L8</f>
        <v>0.76151387200362486</v>
      </c>
      <c r="G8" s="7">
        <f>IF(D8="Positive",'04_THRESHOLDS_WEIGHTS'!G8*(1-'01_CONTROL'!$B$10),'04_THRESHOLDS_WEIGHTS'!G8*(1+'01_CONTROL'!$B$10))</f>
        <v>0.60000000000000009</v>
      </c>
      <c r="H8" s="7">
        <f>IF(D8="Positive",'04_THRESHOLDS_WEIGHTS'!H8*(1-'01_CONTROL'!$B$10),'04_THRESHOLDS_WEIGHTS'!H8*(1+'01_CONTROL'!$B$10))</f>
        <v>1.2000000000000002</v>
      </c>
      <c r="I8" s="7">
        <f>IF(D8="Positive",'04_THRESHOLDS_WEIGHTS'!I8*(1-'01_CONTROL'!$B$10),'04_THRESHOLDS_WEIGHTS'!I8*(1+'01_CONTROL'!$B$10))</f>
        <v>2.4000000000000004</v>
      </c>
      <c r="J8" s="7">
        <f>IF(D8="Positive",'04_THRESHOLDS_WEIGHTS'!J8*(1-'01_CONTROL'!$B$10),'04_THRESHOLDS_WEIGHTS'!J8*(1+'01_CONTROL'!$B$10))</f>
        <v>72.664748365840495</v>
      </c>
      <c r="K8" s="6">
        <f t="shared" si="0"/>
        <v>0.76652712314242843</v>
      </c>
      <c r="L8" s="7">
        <f>IF(D8="Positive",'04_THRESHOLDS_WEIGHTS'!G8*(1+'01_CONTROL'!$B$10),'04_THRESHOLDS_WEIGHTS'!G8*(1-'01_CONTROL'!$B$10))</f>
        <v>0.89999999999999991</v>
      </c>
      <c r="M8" s="7">
        <f>IF(D8="Positive",'04_THRESHOLDS_WEIGHTS'!H8*(1+'01_CONTROL'!$B$10),'04_THRESHOLDS_WEIGHTS'!H8*(1-'01_CONTROL'!$B$10))</f>
        <v>1.7999999999999998</v>
      </c>
      <c r="N8" s="7">
        <f>IF(D8="Positive",'04_THRESHOLDS_WEIGHTS'!I8*(1+'01_CONTROL'!$B$10),'04_THRESHOLDS_WEIGHTS'!I8*(1-'01_CONTROL'!$B$10))</f>
        <v>3.5999999999999996</v>
      </c>
      <c r="O8" s="7">
        <f>IF(D8="Positive",'04_THRESHOLDS_WEIGHTS'!J8*(1+'01_CONTROL'!$B$10),'04_THRESHOLDS_WEIGHTS'!J8*(1-'01_CONTROL'!$B$10))</f>
        <v>108.99712254876073</v>
      </c>
      <c r="P8" s="6">
        <f t="shared" si="1"/>
        <v>0.75817170457775573</v>
      </c>
      <c r="Q8" s="6">
        <f>'04_THRESHOLDS_WEIGHTS'!L8</f>
        <v>0.125</v>
      </c>
    </row>
    <row r="9" spans="1:17" ht="15" customHeight="1" x14ac:dyDescent="0.25">
      <c r="A9" s="3" t="s">
        <v>67</v>
      </c>
      <c r="B9" s="3" t="s">
        <v>165</v>
      </c>
      <c r="C9" s="3" t="s">
        <v>166</v>
      </c>
      <c r="D9" s="3" t="s">
        <v>141</v>
      </c>
      <c r="E9" s="7">
        <f>'05_IMPORT_BASELINE'!D9</f>
        <v>1.8398792409504849</v>
      </c>
      <c r="F9" s="6">
        <f>'08_NORMALISATION'!L9</f>
        <v>0.33006037952475753</v>
      </c>
      <c r="G9" s="7">
        <f>IF(D9="Positive",'04_THRESHOLDS_WEIGHTS'!G9*(1-'01_CONTROL'!$B$10),'04_THRESHOLDS_WEIGHTS'!G9*(1+'01_CONTROL'!$B$10))</f>
        <v>2.4</v>
      </c>
      <c r="H9" s="7">
        <f>IF(D9="Positive",'04_THRESHOLDS_WEIGHTS'!H9*(1-'01_CONTROL'!$B$10),'04_THRESHOLDS_WEIGHTS'!H9*(1+'01_CONTROL'!$B$10))</f>
        <v>1.7999999999999998</v>
      </c>
      <c r="I9" s="7">
        <f>IF(D9="Positive",'04_THRESHOLDS_WEIGHTS'!I9*(1-'01_CONTROL'!$B$10),'04_THRESHOLDS_WEIGHTS'!I9*(1+'01_CONTROL'!$B$10))</f>
        <v>1.26</v>
      </c>
      <c r="J9" s="7">
        <f>IF(D9="Positive",'04_THRESHOLDS_WEIGHTS'!J9*(1-'01_CONTROL'!$B$10),'04_THRESHOLDS_WEIGHTS'!J9*(1+'01_CONTROL'!$B$10))</f>
        <v>1.2</v>
      </c>
      <c r="K9" s="6">
        <f t="shared" si="0"/>
        <v>0.48338364960396452</v>
      </c>
      <c r="L9" s="7">
        <f>IF(D9="Positive",'04_THRESHOLDS_WEIGHTS'!G9*(1+'01_CONTROL'!$B$10),'04_THRESHOLDS_WEIGHTS'!G9*(1-'01_CONTROL'!$B$10))</f>
        <v>1.6</v>
      </c>
      <c r="M9" s="7">
        <f>IF(D9="Positive",'04_THRESHOLDS_WEIGHTS'!H9*(1+'01_CONTROL'!$B$10),'04_THRESHOLDS_WEIGHTS'!H9*(1-'01_CONTROL'!$B$10))</f>
        <v>1.2000000000000002</v>
      </c>
      <c r="N9" s="7">
        <f>IF(D9="Positive",'04_THRESHOLDS_WEIGHTS'!I9*(1+'01_CONTROL'!$B$10),'04_THRESHOLDS_WEIGHTS'!I9*(1-'01_CONTROL'!$B$10))</f>
        <v>0.84000000000000008</v>
      </c>
      <c r="O9" s="7">
        <f>IF(D9="Positive",'04_THRESHOLDS_WEIGHTS'!J9*(1+'01_CONTROL'!$B$10),'04_THRESHOLDS_WEIGHTS'!J9*(1-'01_CONTROL'!$B$10))</f>
        <v>0.8</v>
      </c>
      <c r="P9" s="6">
        <f t="shared" si="1"/>
        <v>0</v>
      </c>
      <c r="Q9" s="6">
        <f>'04_THRESHOLDS_WEIGHTS'!L9</f>
        <v>0.125</v>
      </c>
    </row>
    <row r="10" spans="1:17" ht="15" customHeight="1" x14ac:dyDescent="0.25">
      <c r="A10" s="3" t="s">
        <v>76</v>
      </c>
      <c r="B10" s="3" t="s">
        <v>171</v>
      </c>
      <c r="C10" s="3" t="s">
        <v>172</v>
      </c>
      <c r="D10" s="3" t="s">
        <v>124</v>
      </c>
      <c r="E10" s="7">
        <f>'05_IMPORT_BASELINE'!D10</f>
        <v>0.99375000000000002</v>
      </c>
      <c r="F10" s="6">
        <f>'08_NORMALISATION'!L10</f>
        <v>0.9921875</v>
      </c>
      <c r="G10" s="7">
        <f>IF(D10="Positive",'04_THRESHOLDS_WEIGHTS'!G10*(1-'01_CONTROL'!$B$10),'04_THRESHOLDS_WEIGHTS'!G10*(1+'01_CONTROL'!$B$10))</f>
        <v>0.4</v>
      </c>
      <c r="H10" s="7">
        <f>IF(D10="Positive",'04_THRESHOLDS_WEIGHTS'!H10*(1-'01_CONTROL'!$B$10),'04_THRESHOLDS_WEIGHTS'!H10*(1+'01_CONTROL'!$B$10))</f>
        <v>0.48</v>
      </c>
      <c r="I10" s="7">
        <f>IF(D10="Positive",'04_THRESHOLDS_WEIGHTS'!I10*(1-'01_CONTROL'!$B$10),'04_THRESHOLDS_WEIGHTS'!I10*(1+'01_CONTROL'!$B$10))</f>
        <v>0.64000000000000012</v>
      </c>
      <c r="J10" s="7">
        <f>IF(D10="Positive",'04_THRESHOLDS_WEIGHTS'!J10*(1-'01_CONTROL'!$B$10),'04_THRESHOLDS_WEIGHTS'!J10*(1+'01_CONTROL'!$B$10))</f>
        <v>0.8</v>
      </c>
      <c r="K10" s="6">
        <f t="shared" si="0"/>
        <v>1</v>
      </c>
      <c r="L10" s="7">
        <f>IF(D10="Positive",'04_THRESHOLDS_WEIGHTS'!G10*(1+'01_CONTROL'!$B$10),'04_THRESHOLDS_WEIGHTS'!G10*(1-'01_CONTROL'!$B$10))</f>
        <v>0.6</v>
      </c>
      <c r="M10" s="7">
        <f>IF(D10="Positive",'04_THRESHOLDS_WEIGHTS'!H10*(1+'01_CONTROL'!$B$10),'04_THRESHOLDS_WEIGHTS'!H10*(1-'01_CONTROL'!$B$10))</f>
        <v>0.72</v>
      </c>
      <c r="N10" s="7">
        <f>IF(D10="Positive",'04_THRESHOLDS_WEIGHTS'!I10*(1+'01_CONTROL'!$B$10),'04_THRESHOLDS_WEIGHTS'!I10*(1-'01_CONTROL'!$B$10))</f>
        <v>0.96</v>
      </c>
      <c r="O10" s="7">
        <f>IF(D10="Positive",'04_THRESHOLDS_WEIGHTS'!J10*(1+'01_CONTROL'!$B$10),'04_THRESHOLDS_WEIGHTS'!J10*(1-'01_CONTROL'!$B$10))</f>
        <v>1.2</v>
      </c>
      <c r="P10" s="6">
        <f t="shared" si="1"/>
        <v>0.78515625000000011</v>
      </c>
      <c r="Q10" s="6">
        <f>'04_THRESHOLDS_WEIGHTS'!L10</f>
        <v>0.125</v>
      </c>
    </row>
    <row r="11" spans="1:17" ht="15" customHeight="1" x14ac:dyDescent="0.25">
      <c r="A11" s="3" t="s">
        <v>76</v>
      </c>
      <c r="B11" s="3" t="s">
        <v>179</v>
      </c>
      <c r="C11" s="3" t="s">
        <v>180</v>
      </c>
      <c r="D11" s="3" t="s">
        <v>124</v>
      </c>
      <c r="E11" s="7">
        <f>'05_IMPORT_BASELINE'!D11</f>
        <v>0.99046393325311666</v>
      </c>
      <c r="F11" s="6">
        <f>'08_NORMALISATION'!L11</f>
        <v>0.98807991656639582</v>
      </c>
      <c r="G11" s="7">
        <f>IF(D11="Positive",'04_THRESHOLDS_WEIGHTS'!G11*(1-'01_CONTROL'!$B$10),'04_THRESHOLDS_WEIGHTS'!G11*(1+'01_CONTROL'!$B$10))</f>
        <v>0.4</v>
      </c>
      <c r="H11" s="7">
        <f>IF(D11="Positive",'04_THRESHOLDS_WEIGHTS'!H11*(1-'01_CONTROL'!$B$10),'04_THRESHOLDS_WEIGHTS'!H11*(1+'01_CONTROL'!$B$10))</f>
        <v>0.48</v>
      </c>
      <c r="I11" s="7">
        <f>IF(D11="Positive",'04_THRESHOLDS_WEIGHTS'!I11*(1-'01_CONTROL'!$B$10),'04_THRESHOLDS_WEIGHTS'!I11*(1+'01_CONTROL'!$B$10))</f>
        <v>0.64000000000000012</v>
      </c>
      <c r="J11" s="7">
        <f>IF(D11="Positive",'04_THRESHOLDS_WEIGHTS'!J11*(1-'01_CONTROL'!$B$10),'04_THRESHOLDS_WEIGHTS'!J11*(1+'01_CONTROL'!$B$10))</f>
        <v>0.8</v>
      </c>
      <c r="K11" s="6">
        <f t="shared" si="0"/>
        <v>1</v>
      </c>
      <c r="L11" s="7">
        <f>IF(D11="Positive",'04_THRESHOLDS_WEIGHTS'!G11*(1+'01_CONTROL'!$B$10),'04_THRESHOLDS_WEIGHTS'!G11*(1-'01_CONTROL'!$B$10))</f>
        <v>0.6</v>
      </c>
      <c r="M11" s="7">
        <f>IF(D11="Positive",'04_THRESHOLDS_WEIGHTS'!H11*(1+'01_CONTROL'!$B$10),'04_THRESHOLDS_WEIGHTS'!H11*(1-'01_CONTROL'!$B$10))</f>
        <v>0.72</v>
      </c>
      <c r="N11" s="7">
        <f>IF(D11="Positive",'04_THRESHOLDS_WEIGHTS'!I11*(1+'01_CONTROL'!$B$10),'04_THRESHOLDS_WEIGHTS'!I11*(1-'01_CONTROL'!$B$10))</f>
        <v>0.96</v>
      </c>
      <c r="O11" s="7">
        <f>IF(D11="Positive",'04_THRESHOLDS_WEIGHTS'!J11*(1+'01_CONTROL'!$B$10),'04_THRESHOLDS_WEIGHTS'!J11*(1-'01_CONTROL'!$B$10))</f>
        <v>1.2</v>
      </c>
      <c r="P11" s="6">
        <f t="shared" si="1"/>
        <v>0.78173326380532993</v>
      </c>
      <c r="Q11" s="6">
        <f>'04_THRESHOLDS_WEIGHTS'!L11</f>
        <v>0.125</v>
      </c>
    </row>
    <row r="12" spans="1:17" ht="15" customHeight="1" x14ac:dyDescent="0.25">
      <c r="A12" s="3" t="s">
        <v>76</v>
      </c>
      <c r="B12" s="3" t="s">
        <v>184</v>
      </c>
      <c r="C12" s="3" t="s">
        <v>185</v>
      </c>
      <c r="D12" s="3" t="s">
        <v>124</v>
      </c>
      <c r="E12" s="7">
        <f>'05_IMPORT_BASELINE'!D12</f>
        <v>0.77155359092303755</v>
      </c>
      <c r="F12" s="6">
        <f>'08_NORMALISATION'!L12</f>
        <v>0.60776795461518762</v>
      </c>
      <c r="G12" s="7">
        <f>IF(D12="Positive",'04_THRESHOLDS_WEIGHTS'!G12*(1-'01_CONTROL'!$B$10),'04_THRESHOLDS_WEIGHTS'!G12*(1+'01_CONTROL'!$B$10))</f>
        <v>0.55999999999999994</v>
      </c>
      <c r="H12" s="7">
        <f>IF(D12="Positive",'04_THRESHOLDS_WEIGHTS'!H12*(1-'01_CONTROL'!$B$10),'04_THRESHOLDS_WEIGHTS'!H12*(1+'01_CONTROL'!$B$10))</f>
        <v>0.60000000000000009</v>
      </c>
      <c r="I12" s="7">
        <f>IF(D12="Positive",'04_THRESHOLDS_WEIGHTS'!I12*(1-'01_CONTROL'!$B$10),'04_THRESHOLDS_WEIGHTS'!I12*(1+'01_CONTROL'!$B$10))</f>
        <v>0.64000000000000012</v>
      </c>
      <c r="J12" s="7">
        <f>IF(D12="Positive",'04_THRESHOLDS_WEIGHTS'!J12*(1-'01_CONTROL'!$B$10),'04_THRESHOLDS_WEIGHTS'!J12*(1+'01_CONTROL'!$B$10))</f>
        <v>0.8</v>
      </c>
      <c r="K12" s="6">
        <f t="shared" si="0"/>
        <v>0.95555248581724606</v>
      </c>
      <c r="L12" s="7">
        <f>IF(D12="Positive",'04_THRESHOLDS_WEIGHTS'!G12*(1+'01_CONTROL'!$B$10),'04_THRESHOLDS_WEIGHTS'!G12*(1-'01_CONTROL'!$B$10))</f>
        <v>0.84</v>
      </c>
      <c r="M12" s="7">
        <f>IF(D12="Positive",'04_THRESHOLDS_WEIGHTS'!H12*(1+'01_CONTROL'!$B$10),'04_THRESHOLDS_WEIGHTS'!H12*(1-'01_CONTROL'!$B$10))</f>
        <v>0.89999999999999991</v>
      </c>
      <c r="N12" s="7">
        <f>IF(D12="Positive",'04_THRESHOLDS_WEIGHTS'!I12*(1+'01_CONTROL'!$B$10),'04_THRESHOLDS_WEIGHTS'!I12*(1-'01_CONTROL'!$B$10))</f>
        <v>0.96</v>
      </c>
      <c r="O12" s="7">
        <f>IF(D12="Positive",'04_THRESHOLDS_WEIGHTS'!J12*(1+'01_CONTROL'!$B$10),'04_THRESHOLDS_WEIGHTS'!J12*(1-'01_CONTROL'!$B$10))</f>
        <v>1.2</v>
      </c>
      <c r="P12" s="6">
        <f t="shared" si="1"/>
        <v>0</v>
      </c>
      <c r="Q12" s="6">
        <f>'04_THRESHOLDS_WEIGHTS'!L12</f>
        <v>0.25</v>
      </c>
    </row>
    <row r="13" spans="1:17" ht="15" customHeight="1" x14ac:dyDescent="0.25">
      <c r="A13" s="3" t="s">
        <v>76</v>
      </c>
      <c r="B13" s="3" t="s">
        <v>190</v>
      </c>
      <c r="C13" s="3" t="s">
        <v>191</v>
      </c>
      <c r="D13" s="3" t="s">
        <v>124</v>
      </c>
      <c r="E13" s="7">
        <f>'05_IMPORT_BASELINE'!D13</f>
        <v>0.83333333333333326</v>
      </c>
      <c r="F13" s="6">
        <f>'08_NORMALISATION'!L13</f>
        <v>0.83333333333333326</v>
      </c>
      <c r="G13" s="7">
        <f>IF(D13="Positive",'04_THRESHOLDS_WEIGHTS'!G13*(1-'01_CONTROL'!$B$10),'04_THRESHOLDS_WEIGHTS'!G13*(1+'01_CONTROL'!$B$10))</f>
        <v>0.2</v>
      </c>
      <c r="H13" s="7">
        <f>IF(D13="Positive",'04_THRESHOLDS_WEIGHTS'!H13*(1-'01_CONTROL'!$B$10),'04_THRESHOLDS_WEIGHTS'!H13*(1+'01_CONTROL'!$B$10))</f>
        <v>0.4</v>
      </c>
      <c r="I13" s="7">
        <f>IF(D13="Positive",'04_THRESHOLDS_WEIGHTS'!I13*(1-'01_CONTROL'!$B$10),'04_THRESHOLDS_WEIGHTS'!I13*(1+'01_CONTROL'!$B$10))</f>
        <v>0.60000000000000009</v>
      </c>
      <c r="J13" s="7">
        <f>IF(D13="Positive",'04_THRESHOLDS_WEIGHTS'!J13*(1-'01_CONTROL'!$B$10),'04_THRESHOLDS_WEIGHTS'!J13*(1+'01_CONTROL'!$B$10))</f>
        <v>0.8</v>
      </c>
      <c r="K13" s="6">
        <f t="shared" si="0"/>
        <v>1</v>
      </c>
      <c r="L13" s="7">
        <f>IF(D13="Positive",'04_THRESHOLDS_WEIGHTS'!G13*(1+'01_CONTROL'!$B$10),'04_THRESHOLDS_WEIGHTS'!G13*(1-'01_CONTROL'!$B$10))</f>
        <v>0.3</v>
      </c>
      <c r="M13" s="7">
        <f>IF(D13="Positive",'04_THRESHOLDS_WEIGHTS'!H13*(1+'01_CONTROL'!$B$10),'04_THRESHOLDS_WEIGHTS'!H13*(1-'01_CONTROL'!$B$10))</f>
        <v>0.6</v>
      </c>
      <c r="N13" s="7">
        <f>IF(D13="Positive",'04_THRESHOLDS_WEIGHTS'!I13*(1+'01_CONTROL'!$B$10),'04_THRESHOLDS_WEIGHTS'!I13*(1-'01_CONTROL'!$B$10))</f>
        <v>0.89999999999999991</v>
      </c>
      <c r="O13" s="7">
        <f>IF(D13="Positive",'04_THRESHOLDS_WEIGHTS'!J13*(1+'01_CONTROL'!$B$10),'04_THRESHOLDS_WEIGHTS'!J13*(1-'01_CONTROL'!$B$10))</f>
        <v>1.2</v>
      </c>
      <c r="P13" s="6">
        <f t="shared" si="1"/>
        <v>0.69444444444444442</v>
      </c>
      <c r="Q13" s="6">
        <f>'04_THRESHOLDS_WEIGHTS'!L13</f>
        <v>0.25</v>
      </c>
    </row>
    <row r="14" spans="1:17" ht="15" customHeight="1" x14ac:dyDescent="0.25">
      <c r="A14" s="3" t="s">
        <v>76</v>
      </c>
      <c r="B14" s="3" t="s">
        <v>196</v>
      </c>
      <c r="C14" s="3" t="s">
        <v>197</v>
      </c>
      <c r="D14" s="3" t="s">
        <v>141</v>
      </c>
      <c r="E14" s="7">
        <f>'05_IMPORT_BASELINE'!D14</f>
        <v>0</v>
      </c>
      <c r="F14" s="6">
        <f>'08_NORMALISATION'!L14</f>
        <v>1</v>
      </c>
      <c r="G14" s="7">
        <f>IF(D14="Positive",'04_THRESHOLDS_WEIGHTS'!G14*(1-'01_CONTROL'!$B$10),'04_THRESHOLDS_WEIGHTS'!G14*(1+'01_CONTROL'!$B$10))</f>
        <v>0.36</v>
      </c>
      <c r="H14" s="7">
        <f>IF(D14="Positive",'04_THRESHOLDS_WEIGHTS'!H14*(1-'01_CONTROL'!$B$10),'04_THRESHOLDS_WEIGHTS'!H14*(1+'01_CONTROL'!$B$10))</f>
        <v>0.12</v>
      </c>
      <c r="I14" s="7">
        <f>IF(D14="Positive",'04_THRESHOLDS_WEIGHTS'!I14*(1-'01_CONTROL'!$B$10),'04_THRESHOLDS_WEIGHTS'!I14*(1+'01_CONTROL'!$B$10))</f>
        <v>1.2E-2</v>
      </c>
      <c r="J14" s="7">
        <f>IF(D14="Positive",'04_THRESHOLDS_WEIGHTS'!J14*(1-'01_CONTROL'!$B$10),'04_THRESHOLDS_WEIGHTS'!J14*(1+'01_CONTROL'!$B$10))</f>
        <v>0</v>
      </c>
      <c r="K14" s="6">
        <f t="shared" si="0"/>
        <v>1</v>
      </c>
      <c r="L14" s="7">
        <f>IF(D14="Positive",'04_THRESHOLDS_WEIGHTS'!G14*(1+'01_CONTROL'!$B$10),'04_THRESHOLDS_WEIGHTS'!G14*(1-'01_CONTROL'!$B$10))</f>
        <v>0.24</v>
      </c>
      <c r="M14" s="7">
        <f>IF(D14="Positive",'04_THRESHOLDS_WEIGHTS'!H14*(1+'01_CONTROL'!$B$10),'04_THRESHOLDS_WEIGHTS'!H14*(1-'01_CONTROL'!$B$10))</f>
        <v>8.0000000000000016E-2</v>
      </c>
      <c r="N14" s="7">
        <f>IF(D14="Positive",'04_THRESHOLDS_WEIGHTS'!I14*(1+'01_CONTROL'!$B$10),'04_THRESHOLDS_WEIGHTS'!I14*(1-'01_CONTROL'!$B$10))</f>
        <v>8.0000000000000002E-3</v>
      </c>
      <c r="O14" s="7">
        <f>IF(D14="Positive",'04_THRESHOLDS_WEIGHTS'!J14*(1+'01_CONTROL'!$B$10),'04_THRESHOLDS_WEIGHTS'!J14*(1-'01_CONTROL'!$B$10))</f>
        <v>0</v>
      </c>
      <c r="P14" s="6">
        <f t="shared" si="1"/>
        <v>1</v>
      </c>
      <c r="Q14" s="6">
        <f>'04_THRESHOLDS_WEIGHTS'!L14</f>
        <v>0.25</v>
      </c>
    </row>
    <row r="15" spans="1:17" ht="15" customHeight="1" x14ac:dyDescent="0.25">
      <c r="A15" s="3" t="s">
        <v>82</v>
      </c>
      <c r="B15" s="3" t="s">
        <v>202</v>
      </c>
      <c r="C15" s="3" t="s">
        <v>203</v>
      </c>
      <c r="D15" s="3" t="s">
        <v>124</v>
      </c>
      <c r="E15" s="7">
        <f>'05_IMPORT_BASELINE'!D15</f>
        <v>0.9819737926182841</v>
      </c>
      <c r="F15" s="6">
        <f>'08_NORMALISATION'!L15</f>
        <v>0.96995632103047347</v>
      </c>
      <c r="G15" s="7">
        <f>IF(D15="Positive",'04_THRESHOLDS_WEIGHTS'!G15*(1-'01_CONTROL'!$B$10),'04_THRESHOLDS_WEIGHTS'!G15*(1+'01_CONTROL'!$B$10))</f>
        <v>0.4</v>
      </c>
      <c r="H15" s="7">
        <f>IF(D15="Positive",'04_THRESHOLDS_WEIGHTS'!H15*(1-'01_CONTROL'!$B$10),'04_THRESHOLDS_WEIGHTS'!H15*(1+'01_CONTROL'!$B$10))</f>
        <v>0.60000000000000009</v>
      </c>
      <c r="I15" s="7">
        <f>IF(D15="Positive",'04_THRESHOLDS_WEIGHTS'!I15*(1-'01_CONTROL'!$B$10),'04_THRESHOLDS_WEIGHTS'!I15*(1+'01_CONTROL'!$B$10))</f>
        <v>0.68</v>
      </c>
      <c r="J15" s="7">
        <f>IF(D15="Positive",'04_THRESHOLDS_WEIGHTS'!J15*(1-'01_CONTROL'!$B$10),'04_THRESHOLDS_WEIGHTS'!J15*(1+'01_CONTROL'!$B$10))</f>
        <v>0.8</v>
      </c>
      <c r="K15" s="6">
        <f t="shared" si="0"/>
        <v>1</v>
      </c>
      <c r="L15" s="7">
        <f>IF(D15="Positive",'04_THRESHOLDS_WEIGHTS'!G15*(1+'01_CONTROL'!$B$10),'04_THRESHOLDS_WEIGHTS'!G15*(1-'01_CONTROL'!$B$10))</f>
        <v>0.6</v>
      </c>
      <c r="M15" s="7">
        <f>IF(D15="Positive",'04_THRESHOLDS_WEIGHTS'!H15*(1+'01_CONTROL'!$B$10),'04_THRESHOLDS_WEIGHTS'!H15*(1-'01_CONTROL'!$B$10))</f>
        <v>0.89999999999999991</v>
      </c>
      <c r="N15" s="7">
        <f>IF(D15="Positive",'04_THRESHOLDS_WEIGHTS'!I15*(1+'01_CONTROL'!$B$10),'04_THRESHOLDS_WEIGHTS'!I15*(1-'01_CONTROL'!$B$10))</f>
        <v>1.02</v>
      </c>
      <c r="O15" s="7">
        <f>IF(D15="Positive",'04_THRESHOLDS_WEIGHTS'!J15*(1+'01_CONTROL'!$B$10),'04_THRESHOLDS_WEIGHTS'!J15*(1-'01_CONTROL'!$B$10))</f>
        <v>1.2</v>
      </c>
      <c r="P15" s="6">
        <f t="shared" si="1"/>
        <v>0.67077873462142523</v>
      </c>
      <c r="Q15" s="6">
        <f>'04_THRESHOLDS_WEIGHTS'!L15</f>
        <v>0.25</v>
      </c>
    </row>
    <row r="16" spans="1:17" ht="15" customHeight="1" x14ac:dyDescent="0.25">
      <c r="A16" s="3" t="s">
        <v>82</v>
      </c>
      <c r="B16" s="3" t="s">
        <v>210</v>
      </c>
      <c r="C16" s="3" t="s">
        <v>211</v>
      </c>
      <c r="D16" s="3" t="s">
        <v>124</v>
      </c>
      <c r="E16" s="7">
        <f>'05_IMPORT_BASELINE'!D16</f>
        <v>0.95861352848101267</v>
      </c>
      <c r="F16" s="6">
        <f>'08_NORMALISATION'!L16</f>
        <v>0.93102254746835444</v>
      </c>
      <c r="G16" s="7">
        <f>IF(D16="Positive",'04_THRESHOLDS_WEIGHTS'!G16*(1-'01_CONTROL'!$B$10),'04_THRESHOLDS_WEIGHTS'!G16*(1+'01_CONTROL'!$B$10))</f>
        <v>0.4</v>
      </c>
      <c r="H16" s="7">
        <f>IF(D16="Positive",'04_THRESHOLDS_WEIGHTS'!H16*(1-'01_CONTROL'!$B$10),'04_THRESHOLDS_WEIGHTS'!H16*(1+'01_CONTROL'!$B$10))</f>
        <v>0.60000000000000009</v>
      </c>
      <c r="I16" s="7">
        <f>IF(D16="Positive",'04_THRESHOLDS_WEIGHTS'!I16*(1-'01_CONTROL'!$B$10),'04_THRESHOLDS_WEIGHTS'!I16*(1+'01_CONTROL'!$B$10))</f>
        <v>0.68</v>
      </c>
      <c r="J16" s="7">
        <f>IF(D16="Positive",'04_THRESHOLDS_WEIGHTS'!J16*(1-'01_CONTROL'!$B$10),'04_THRESHOLDS_WEIGHTS'!J16*(1+'01_CONTROL'!$B$10))</f>
        <v>0.8</v>
      </c>
      <c r="K16" s="6">
        <f t="shared" si="0"/>
        <v>1</v>
      </c>
      <c r="L16" s="7">
        <f>IF(D16="Positive",'04_THRESHOLDS_WEIGHTS'!G16*(1+'01_CONTROL'!$B$10),'04_THRESHOLDS_WEIGHTS'!G16*(1-'01_CONTROL'!$B$10))</f>
        <v>0.6</v>
      </c>
      <c r="M16" s="7">
        <f>IF(D16="Positive",'04_THRESHOLDS_WEIGHTS'!H16*(1+'01_CONTROL'!$B$10),'04_THRESHOLDS_WEIGHTS'!H16*(1-'01_CONTROL'!$B$10))</f>
        <v>0.89999999999999991</v>
      </c>
      <c r="N16" s="7">
        <f>IF(D16="Positive",'04_THRESHOLDS_WEIGHTS'!I16*(1+'01_CONTROL'!$B$10),'04_THRESHOLDS_WEIGHTS'!I16*(1-'01_CONTROL'!$B$10))</f>
        <v>1.02</v>
      </c>
      <c r="O16" s="7">
        <f>IF(D16="Positive",'04_THRESHOLDS_WEIGHTS'!J16*(1+'01_CONTROL'!$B$10),'04_THRESHOLDS_WEIGHTS'!J16*(1-'01_CONTROL'!$B$10))</f>
        <v>1.2</v>
      </c>
      <c r="P16" s="6">
        <f t="shared" si="1"/>
        <v>0.62211151766877648</v>
      </c>
      <c r="Q16" s="6">
        <f>'04_THRESHOLDS_WEIGHTS'!L16</f>
        <v>0.25</v>
      </c>
    </row>
    <row r="17" spans="1:17" ht="15" customHeight="1" x14ac:dyDescent="0.25">
      <c r="A17" s="3" t="s">
        <v>82</v>
      </c>
      <c r="B17" s="3" t="s">
        <v>215</v>
      </c>
      <c r="C17" s="3" t="s">
        <v>216</v>
      </c>
      <c r="D17" s="3" t="s">
        <v>141</v>
      </c>
      <c r="E17" s="7">
        <f>'05_IMPORT_BASELINE'!D17</f>
        <v>0.39790148373247952</v>
      </c>
      <c r="F17" s="6">
        <f>'08_NORMALISATION'!L17</f>
        <v>0.62762314533440056</v>
      </c>
      <c r="G17" s="7">
        <f>IF(D17="Positive",'04_THRESHOLDS_WEIGHTS'!G17*(1-'01_CONTROL'!$B$10),'04_THRESHOLDS_WEIGHTS'!G17*(1+'01_CONTROL'!$B$10))</f>
        <v>1.2</v>
      </c>
      <c r="H17" s="7">
        <f>IF(D17="Positive",'04_THRESHOLDS_WEIGHTS'!H17*(1-'01_CONTROL'!$B$10),'04_THRESHOLDS_WEIGHTS'!H17*(1+'01_CONTROL'!$B$10))</f>
        <v>0.6</v>
      </c>
      <c r="I17" s="7">
        <f>IF(D17="Positive",'04_THRESHOLDS_WEIGHTS'!I17*(1-'01_CONTROL'!$B$10),'04_THRESHOLDS_WEIGHTS'!I17*(1+'01_CONTROL'!$B$10))</f>
        <v>0.36</v>
      </c>
      <c r="J17" s="7">
        <f>IF(D17="Positive",'04_THRESHOLDS_WEIGHTS'!J17*(1-'01_CONTROL'!$B$10),'04_THRESHOLDS_WEIGHTS'!J17*(1+'01_CONTROL'!$B$10))</f>
        <v>0.06</v>
      </c>
      <c r="K17" s="6">
        <f t="shared" si="0"/>
        <v>0.71051928777866713</v>
      </c>
      <c r="L17" s="7">
        <f>IF(D17="Positive",'04_THRESHOLDS_WEIGHTS'!G17*(1+'01_CONTROL'!$B$10),'04_THRESHOLDS_WEIGHTS'!G17*(1-'01_CONTROL'!$B$10))</f>
        <v>0.8</v>
      </c>
      <c r="M17" s="7">
        <f>IF(D17="Positive",'04_THRESHOLDS_WEIGHTS'!H17*(1+'01_CONTROL'!$B$10),'04_THRESHOLDS_WEIGHTS'!H17*(1-'01_CONTROL'!$B$10))</f>
        <v>0.4</v>
      </c>
      <c r="N17" s="7">
        <f>IF(D17="Positive",'04_THRESHOLDS_WEIGHTS'!I17*(1+'01_CONTROL'!$B$10),'04_THRESHOLDS_WEIGHTS'!I17*(1-'01_CONTROL'!$B$10))</f>
        <v>0.24</v>
      </c>
      <c r="O17" s="7">
        <f>IF(D17="Positive",'04_THRESHOLDS_WEIGHTS'!J17*(1+'01_CONTROL'!$B$10),'04_THRESHOLDS_WEIGHTS'!J17*(1-'01_CONTROL'!$B$10))</f>
        <v>4.0000000000000008E-2</v>
      </c>
      <c r="P17" s="6">
        <f t="shared" si="1"/>
        <v>0.50327893166800075</v>
      </c>
      <c r="Q17" s="6">
        <f>'04_THRESHOLDS_WEIGHTS'!L17</f>
        <v>0.16666666666666666</v>
      </c>
    </row>
    <row r="18" spans="1:17" ht="15" customHeight="1" x14ac:dyDescent="0.25">
      <c r="A18" s="3" t="s">
        <v>82</v>
      </c>
      <c r="B18" s="3" t="s">
        <v>222</v>
      </c>
      <c r="C18" s="3" t="s">
        <v>223</v>
      </c>
      <c r="D18" s="3" t="s">
        <v>141</v>
      </c>
      <c r="E18" s="7">
        <f>'05_IMPORT_BASELINE'!D18</f>
        <v>0.3442534490523983</v>
      </c>
      <c r="F18" s="6">
        <f>'08_NORMALISATION'!L18</f>
        <v>0.69468318868450218</v>
      </c>
      <c r="G18" s="7">
        <f>IF(D18="Positive",'04_THRESHOLDS_WEIGHTS'!G18*(1-'01_CONTROL'!$B$10),'04_THRESHOLDS_WEIGHTS'!G18*(1+'01_CONTROL'!$B$10))</f>
        <v>1.2</v>
      </c>
      <c r="H18" s="7">
        <f>IF(D18="Positive",'04_THRESHOLDS_WEIGHTS'!H18*(1-'01_CONTROL'!$B$10),'04_THRESHOLDS_WEIGHTS'!H18*(1+'01_CONTROL'!$B$10))</f>
        <v>0.6</v>
      </c>
      <c r="I18" s="7">
        <f>IF(D18="Positive",'04_THRESHOLDS_WEIGHTS'!I18*(1-'01_CONTROL'!$B$10),'04_THRESHOLDS_WEIGHTS'!I18*(1+'01_CONTROL'!$B$10))</f>
        <v>0.36</v>
      </c>
      <c r="J18" s="7">
        <f>IF(D18="Positive",'04_THRESHOLDS_WEIGHTS'!J18*(1-'01_CONTROL'!$B$10),'04_THRESHOLDS_WEIGHTS'!J18*(1+'01_CONTROL'!$B$10))</f>
        <v>0.06</v>
      </c>
      <c r="K18" s="6">
        <f t="shared" si="0"/>
        <v>0.76312212578966809</v>
      </c>
      <c r="L18" s="7">
        <f>IF(D18="Positive",'04_THRESHOLDS_WEIGHTS'!G18*(1+'01_CONTROL'!$B$10),'04_THRESHOLDS_WEIGHTS'!G18*(1-'01_CONTROL'!$B$10))</f>
        <v>0.8</v>
      </c>
      <c r="M18" s="7">
        <f>IF(D18="Positive",'04_THRESHOLDS_WEIGHTS'!H18*(1+'01_CONTROL'!$B$10),'04_THRESHOLDS_WEIGHTS'!H18*(1-'01_CONTROL'!$B$10))</f>
        <v>0.4</v>
      </c>
      <c r="N18" s="7">
        <f>IF(D18="Positive",'04_THRESHOLDS_WEIGHTS'!I18*(1+'01_CONTROL'!$B$10),'04_THRESHOLDS_WEIGHTS'!I18*(1-'01_CONTROL'!$B$10))</f>
        <v>0.24</v>
      </c>
      <c r="O18" s="7">
        <f>IF(D18="Positive",'04_THRESHOLDS_WEIGHTS'!J18*(1+'01_CONTROL'!$B$10),'04_THRESHOLDS_WEIGHTS'!J18*(1-'01_CONTROL'!$B$10))</f>
        <v>4.0000000000000008E-2</v>
      </c>
      <c r="P18" s="6">
        <f t="shared" si="1"/>
        <v>0.58710398585562773</v>
      </c>
      <c r="Q18" s="6">
        <f>'04_THRESHOLDS_WEIGHTS'!L18</f>
        <v>0.16666666666666666</v>
      </c>
    </row>
    <row r="19" spans="1:17" ht="15" customHeight="1" x14ac:dyDescent="0.25">
      <c r="A19" s="3" t="s">
        <v>82</v>
      </c>
      <c r="B19" s="3" t="s">
        <v>227</v>
      </c>
      <c r="C19" s="3" t="s">
        <v>228</v>
      </c>
      <c r="D19" s="3" t="s">
        <v>141</v>
      </c>
      <c r="E19" s="7">
        <f>'05_IMPORT_BASELINE'!D19</f>
        <v>0.43260758789703413</v>
      </c>
      <c r="F19" s="6">
        <f>'08_NORMALISATION'!L19</f>
        <v>0.58424051512870734</v>
      </c>
      <c r="G19" s="7">
        <f>IF(D19="Positive",'04_THRESHOLDS_WEIGHTS'!G19*(1-'01_CONTROL'!$B$10),'04_THRESHOLDS_WEIGHTS'!G19*(1+'01_CONTROL'!$B$10))</f>
        <v>1.2</v>
      </c>
      <c r="H19" s="7">
        <f>IF(D19="Positive",'04_THRESHOLDS_WEIGHTS'!H19*(1-'01_CONTROL'!$B$10),'04_THRESHOLDS_WEIGHTS'!H19*(1+'01_CONTROL'!$B$10))</f>
        <v>0.6</v>
      </c>
      <c r="I19" s="7">
        <f>IF(D19="Positive",'04_THRESHOLDS_WEIGHTS'!I19*(1-'01_CONTROL'!$B$10),'04_THRESHOLDS_WEIGHTS'!I19*(1+'01_CONTROL'!$B$10))</f>
        <v>0.36</v>
      </c>
      <c r="J19" s="7">
        <f>IF(D19="Positive",'04_THRESHOLDS_WEIGHTS'!J19*(1-'01_CONTROL'!$B$10),'04_THRESHOLDS_WEIGHTS'!J19*(1+'01_CONTROL'!$B$10))</f>
        <v>0.06</v>
      </c>
      <c r="K19" s="6">
        <f t="shared" si="0"/>
        <v>0.67436709594058941</v>
      </c>
      <c r="L19" s="7">
        <f>IF(D19="Positive",'04_THRESHOLDS_WEIGHTS'!G19*(1+'01_CONTROL'!$B$10),'04_THRESHOLDS_WEIGHTS'!G19*(1-'01_CONTROL'!$B$10))</f>
        <v>0.8</v>
      </c>
      <c r="M19" s="7">
        <f>IF(D19="Positive",'04_THRESHOLDS_WEIGHTS'!H19*(1+'01_CONTROL'!$B$10),'04_THRESHOLDS_WEIGHTS'!H19*(1-'01_CONTROL'!$B$10))</f>
        <v>0.4</v>
      </c>
      <c r="N19" s="7">
        <f>IF(D19="Positive",'04_THRESHOLDS_WEIGHTS'!I19*(1+'01_CONTROL'!$B$10),'04_THRESHOLDS_WEIGHTS'!I19*(1-'01_CONTROL'!$B$10))</f>
        <v>0.24</v>
      </c>
      <c r="O19" s="7">
        <f>IF(D19="Positive",'04_THRESHOLDS_WEIGHTS'!J19*(1+'01_CONTROL'!$B$10),'04_THRESHOLDS_WEIGHTS'!J19*(1-'01_CONTROL'!$B$10))</f>
        <v>4.0000000000000008E-2</v>
      </c>
      <c r="P19" s="6">
        <f t="shared" si="1"/>
        <v>0.47962025756435367</v>
      </c>
      <c r="Q19" s="6">
        <f>'04_THRESHOLDS_WEIGHTS'!L19</f>
        <v>0.16666666666666666</v>
      </c>
    </row>
    <row r="20" spans="1:17" ht="15" customHeight="1" x14ac:dyDescent="0.25">
      <c r="A20" s="3" t="s">
        <v>87</v>
      </c>
      <c r="B20" s="3" t="s">
        <v>232</v>
      </c>
      <c r="C20" s="3" t="s">
        <v>233</v>
      </c>
      <c r="D20" s="3" t="s">
        <v>141</v>
      </c>
      <c r="E20" s="7">
        <f>'05_IMPORT_BASELINE'!D20</f>
        <v>1041.7706584759974</v>
      </c>
      <c r="F20" s="6">
        <f>'08_NORMALISATION'!L20</f>
        <v>0.72911467076200132</v>
      </c>
      <c r="G20" s="7">
        <f>IF(D20="Positive",'04_THRESHOLDS_WEIGHTS'!G20*(1-'01_CONTROL'!$B$10),'04_THRESHOLDS_WEIGHTS'!G20*(1+'01_CONTROL'!$B$10))</f>
        <v>2400</v>
      </c>
      <c r="H20" s="7">
        <f>IF(D20="Positive",'04_THRESHOLDS_WEIGHTS'!H20*(1-'01_CONTROL'!$B$10),'04_THRESHOLDS_WEIGHTS'!H20*(1+'01_CONTROL'!$B$10))</f>
        <v>1800</v>
      </c>
      <c r="I20" s="7">
        <f>IF(D20="Positive",'04_THRESHOLDS_WEIGHTS'!I20*(1-'01_CONTROL'!$B$10),'04_THRESHOLDS_WEIGHTS'!I20*(1+'01_CONTROL'!$B$10))</f>
        <v>1200</v>
      </c>
      <c r="J20" s="7">
        <f>IF(D20="Positive",'04_THRESHOLDS_WEIGHTS'!J20*(1-'01_CONTROL'!$B$10),'04_THRESHOLDS_WEIGHTS'!J20*(1+'01_CONTROL'!$B$10))</f>
        <v>600</v>
      </c>
      <c r="K20" s="6">
        <f t="shared" si="0"/>
        <v>0.81592889230166776</v>
      </c>
      <c r="L20" s="7">
        <f>IF(D20="Positive",'04_THRESHOLDS_WEIGHTS'!G20*(1+'01_CONTROL'!$B$10),'04_THRESHOLDS_WEIGHTS'!G20*(1-'01_CONTROL'!$B$10))</f>
        <v>1600</v>
      </c>
      <c r="M20" s="7">
        <f>IF(D20="Positive",'04_THRESHOLDS_WEIGHTS'!H20*(1+'01_CONTROL'!$B$10),'04_THRESHOLDS_WEIGHTS'!H20*(1-'01_CONTROL'!$B$10))</f>
        <v>1200</v>
      </c>
      <c r="N20" s="7">
        <f>IF(D20="Positive",'04_THRESHOLDS_WEIGHTS'!I20*(1+'01_CONTROL'!$B$10),'04_THRESHOLDS_WEIGHTS'!I20*(1-'01_CONTROL'!$B$10))</f>
        <v>800</v>
      </c>
      <c r="O20" s="7">
        <f>IF(D20="Positive",'04_THRESHOLDS_WEIGHTS'!J20*(1+'01_CONTROL'!$B$10),'04_THRESHOLDS_WEIGHTS'!J20*(1-'01_CONTROL'!$B$10))</f>
        <v>400</v>
      </c>
      <c r="P20" s="6">
        <f t="shared" si="1"/>
        <v>0.5988933384525017</v>
      </c>
      <c r="Q20" s="6">
        <f>'04_THRESHOLDS_WEIGHTS'!L20</f>
        <v>8.3333333333333329E-2</v>
      </c>
    </row>
    <row r="21" spans="1:17" ht="15" customHeight="1" x14ac:dyDescent="0.25">
      <c r="A21" s="3" t="s">
        <v>87</v>
      </c>
      <c r="B21" s="3" t="s">
        <v>241</v>
      </c>
      <c r="C21" s="3" t="s">
        <v>242</v>
      </c>
      <c r="D21" s="3" t="s">
        <v>141</v>
      </c>
      <c r="E21" s="7">
        <f>'05_IMPORT_BASELINE'!D21</f>
        <v>0.22960575375370904</v>
      </c>
      <c r="F21" s="6">
        <f>'08_NORMALISATION'!L21</f>
        <v>0.67598561561572745</v>
      </c>
      <c r="G21" s="7">
        <f>IF(D21="Positive",'04_THRESHOLDS_WEIGHTS'!G21*(1-'01_CONTROL'!$B$10),'04_THRESHOLDS_WEIGHTS'!G21*(1+'01_CONTROL'!$B$10))</f>
        <v>0.48</v>
      </c>
      <c r="H21" s="7">
        <f>IF(D21="Positive",'04_THRESHOLDS_WEIGHTS'!H21*(1-'01_CONTROL'!$B$10),'04_THRESHOLDS_WEIGHTS'!H21*(1+'01_CONTROL'!$B$10))</f>
        <v>0.36</v>
      </c>
      <c r="I21" s="7">
        <f>IF(D21="Positive",'04_THRESHOLDS_WEIGHTS'!I21*(1-'01_CONTROL'!$B$10),'04_THRESHOLDS_WEIGHTS'!I21*(1+'01_CONTROL'!$B$10))</f>
        <v>0.24</v>
      </c>
      <c r="J21" s="7">
        <f>IF(D21="Positive",'04_THRESHOLDS_WEIGHTS'!J21*(1-'01_CONTROL'!$B$10),'04_THRESHOLDS_WEIGHTS'!J21*(1+'01_CONTROL'!$B$10))</f>
        <v>0.12</v>
      </c>
      <c r="K21" s="6">
        <f t="shared" si="0"/>
        <v>0.77165467967977286</v>
      </c>
      <c r="L21" s="7">
        <f>IF(D21="Positive",'04_THRESHOLDS_WEIGHTS'!G21*(1+'01_CONTROL'!$B$10),'04_THRESHOLDS_WEIGHTS'!G21*(1-'01_CONTROL'!$B$10))</f>
        <v>0.32000000000000006</v>
      </c>
      <c r="M21" s="7">
        <f>IF(D21="Positive",'04_THRESHOLDS_WEIGHTS'!H21*(1+'01_CONTROL'!$B$10),'04_THRESHOLDS_WEIGHTS'!H21*(1-'01_CONTROL'!$B$10))</f>
        <v>0.24</v>
      </c>
      <c r="N21" s="7">
        <f>IF(D21="Positive",'04_THRESHOLDS_WEIGHTS'!I21*(1+'01_CONTROL'!$B$10),'04_THRESHOLDS_WEIGHTS'!I21*(1-'01_CONTROL'!$B$10))</f>
        <v>0.16000000000000003</v>
      </c>
      <c r="O21" s="7">
        <f>IF(D21="Positive",'04_THRESHOLDS_WEIGHTS'!J21*(1+'01_CONTROL'!$B$10),'04_THRESHOLDS_WEIGHTS'!J21*(1-'01_CONTROL'!$B$10))</f>
        <v>8.0000000000000016E-2</v>
      </c>
      <c r="P21" s="6">
        <f t="shared" si="1"/>
        <v>0.53248201951965923</v>
      </c>
      <c r="Q21" s="6">
        <f>'04_THRESHOLDS_WEIGHTS'!L21</f>
        <v>8.3333333333333329E-2</v>
      </c>
    </row>
    <row r="22" spans="1:17" ht="15" customHeight="1" x14ac:dyDescent="0.25">
      <c r="A22" s="3" t="s">
        <v>87</v>
      </c>
      <c r="B22" s="3" t="s">
        <v>247</v>
      </c>
      <c r="C22" s="3" t="s">
        <v>248</v>
      </c>
      <c r="D22" s="3" t="s">
        <v>141</v>
      </c>
      <c r="E22" s="7">
        <f>'05_IMPORT_BASELINE'!D22</f>
        <v>0.21587532967923723</v>
      </c>
      <c r="F22" s="6">
        <f>'08_NORMALISATION'!L22</f>
        <v>0.58531167580190691</v>
      </c>
      <c r="G22" s="7">
        <f>IF(D22="Positive",'04_THRESHOLDS_WEIGHTS'!G22*(1-'01_CONTROL'!$B$10),'04_THRESHOLDS_WEIGHTS'!G22*(1+'01_CONTROL'!$B$10))</f>
        <v>0.42</v>
      </c>
      <c r="H22" s="7">
        <f>IF(D22="Positive",'04_THRESHOLDS_WEIGHTS'!H22*(1-'01_CONTROL'!$B$10),'04_THRESHOLDS_WEIGHTS'!H22*(1+'01_CONTROL'!$B$10))</f>
        <v>0.3</v>
      </c>
      <c r="I22" s="7">
        <f>IF(D22="Positive",'04_THRESHOLDS_WEIGHTS'!I22*(1-'01_CONTROL'!$B$10),'04_THRESHOLDS_WEIGHTS'!I22*(1+'01_CONTROL'!$B$10))</f>
        <v>0.18</v>
      </c>
      <c r="J22" s="7">
        <f>IF(D22="Positive",'04_THRESHOLDS_WEIGHTS'!J22*(1-'01_CONTROL'!$B$10),'04_THRESHOLDS_WEIGHTS'!J22*(1+'01_CONTROL'!$B$10))</f>
        <v>0.12</v>
      </c>
      <c r="K22" s="6">
        <f t="shared" si="0"/>
        <v>0.67525972983492244</v>
      </c>
      <c r="L22" s="7">
        <f>IF(D22="Positive",'04_THRESHOLDS_WEIGHTS'!G22*(1+'01_CONTROL'!$B$10),'04_THRESHOLDS_WEIGHTS'!G22*(1-'01_CONTROL'!$B$10))</f>
        <v>0.27999999999999997</v>
      </c>
      <c r="M22" s="7">
        <f>IF(D22="Positive",'04_THRESHOLDS_WEIGHTS'!H22*(1+'01_CONTROL'!$B$10),'04_THRESHOLDS_WEIGHTS'!H22*(1-'01_CONTROL'!$B$10))</f>
        <v>0.2</v>
      </c>
      <c r="N22" s="7">
        <f>IF(D22="Positive",'04_THRESHOLDS_WEIGHTS'!I22*(1+'01_CONTROL'!$B$10),'04_THRESHOLDS_WEIGHTS'!I22*(1-'01_CONTROL'!$B$10))</f>
        <v>0.12</v>
      </c>
      <c r="O22" s="7">
        <f>IF(D22="Positive",'04_THRESHOLDS_WEIGHTS'!J22*(1+'01_CONTROL'!$B$10),'04_THRESHOLDS_WEIGHTS'!J22*(1-'01_CONTROL'!$B$10))</f>
        <v>8.0000000000000016E-2</v>
      </c>
      <c r="P22" s="6">
        <f t="shared" si="1"/>
        <v>0.45038959475238372</v>
      </c>
      <c r="Q22" s="6">
        <f>'04_THRESHOLDS_WEIGHTS'!L22</f>
        <v>8.3333333333333329E-2</v>
      </c>
    </row>
    <row r="23" spans="1:17" ht="15" customHeight="1" x14ac:dyDescent="0.25">
      <c r="A23" s="3" t="s">
        <v>87</v>
      </c>
      <c r="B23" s="3" t="s">
        <v>253</v>
      </c>
      <c r="C23" s="3" t="s">
        <v>254</v>
      </c>
      <c r="D23" s="3" t="s">
        <v>141</v>
      </c>
      <c r="E23" s="7">
        <f>'05_IMPORT_BASELINE'!D23</f>
        <v>125.02781052037633</v>
      </c>
      <c r="F23" s="6">
        <f>'08_NORMALISATION'!L23</f>
        <v>0.62486094739811837</v>
      </c>
      <c r="G23" s="7">
        <f>IF(D23="Positive",'04_THRESHOLDS_WEIGHTS'!G23*(1-'01_CONTROL'!$B$10),'04_THRESHOLDS_WEIGHTS'!G23*(1+'01_CONTROL'!$B$10))</f>
        <v>240</v>
      </c>
      <c r="H23" s="7">
        <f>IF(D23="Positive",'04_THRESHOLDS_WEIGHTS'!H23*(1-'01_CONTROL'!$B$10),'04_THRESHOLDS_WEIGHTS'!H23*(1+'01_CONTROL'!$B$10))</f>
        <v>180</v>
      </c>
      <c r="I23" s="7">
        <f>IF(D23="Positive",'04_THRESHOLDS_WEIGHTS'!I23*(1-'01_CONTROL'!$B$10),'04_THRESHOLDS_WEIGHTS'!I23*(1+'01_CONTROL'!$B$10))</f>
        <v>120</v>
      </c>
      <c r="J23" s="7">
        <f>IF(D23="Positive",'04_THRESHOLDS_WEIGHTS'!J23*(1-'01_CONTROL'!$B$10),'04_THRESHOLDS_WEIGHTS'!J23*(1+'01_CONTROL'!$B$10))</f>
        <v>60</v>
      </c>
      <c r="K23" s="6">
        <f t="shared" si="0"/>
        <v>0.72905078949843194</v>
      </c>
      <c r="L23" s="7">
        <f>IF(D23="Positive",'04_THRESHOLDS_WEIGHTS'!G23*(1+'01_CONTROL'!$B$10),'04_THRESHOLDS_WEIGHTS'!G23*(1-'01_CONTROL'!$B$10))</f>
        <v>160</v>
      </c>
      <c r="M23" s="7">
        <f>IF(D23="Positive",'04_THRESHOLDS_WEIGHTS'!H23*(1+'01_CONTROL'!$B$10),'04_THRESHOLDS_WEIGHTS'!H23*(1-'01_CONTROL'!$B$10))</f>
        <v>120</v>
      </c>
      <c r="N23" s="7">
        <f>IF(D23="Positive",'04_THRESHOLDS_WEIGHTS'!I23*(1+'01_CONTROL'!$B$10),'04_THRESHOLDS_WEIGHTS'!I23*(1-'01_CONTROL'!$B$10))</f>
        <v>80</v>
      </c>
      <c r="O23" s="7">
        <f>IF(D23="Positive",'04_THRESHOLDS_WEIGHTS'!J23*(1+'01_CONTROL'!$B$10),'04_THRESHOLDS_WEIGHTS'!J23*(1-'01_CONTROL'!$B$10))</f>
        <v>40</v>
      </c>
      <c r="P23" s="6">
        <f t="shared" si="1"/>
        <v>0.46857618424764791</v>
      </c>
      <c r="Q23" s="6">
        <f>'04_THRESHOLDS_WEIGHTS'!L23</f>
        <v>8.3333333333333329E-2</v>
      </c>
    </row>
    <row r="24" spans="1:17" ht="15" customHeight="1" x14ac:dyDescent="0.25">
      <c r="A24" s="3" t="s">
        <v>87</v>
      </c>
      <c r="B24" s="3" t="s">
        <v>261</v>
      </c>
      <c r="C24" s="3" t="s">
        <v>262</v>
      </c>
      <c r="D24" s="3" t="s">
        <v>141</v>
      </c>
      <c r="E24" s="7">
        <f>'05_IMPORT_BASELINE'!D24</f>
        <v>2.7269710024471028E-2</v>
      </c>
      <c r="F24" s="6">
        <f>'08_NORMALISATION'!L24</f>
        <v>0.65912862469411215</v>
      </c>
      <c r="G24" s="7">
        <f>IF(D24="Positive",'04_THRESHOLDS_WEIGHTS'!G24*(1-'01_CONTROL'!$B$10),'04_THRESHOLDS_WEIGHTS'!G24*(1+'01_CONTROL'!$B$10))</f>
        <v>7.1999999999999995E-2</v>
      </c>
      <c r="H24" s="7">
        <f>IF(D24="Positive",'04_THRESHOLDS_WEIGHTS'!H24*(1-'01_CONTROL'!$B$10),'04_THRESHOLDS_WEIGHTS'!H24*(1+'01_CONTROL'!$B$10))</f>
        <v>4.8000000000000001E-2</v>
      </c>
      <c r="I24" s="7">
        <f>IF(D24="Positive",'04_THRESHOLDS_WEIGHTS'!I24*(1-'01_CONTROL'!$B$10),'04_THRESHOLDS_WEIGHTS'!I24*(1+'01_CONTROL'!$B$10))</f>
        <v>2.4E-2</v>
      </c>
      <c r="J24" s="7">
        <f>IF(D24="Positive",'04_THRESHOLDS_WEIGHTS'!J24*(1-'01_CONTROL'!$B$10),'04_THRESHOLDS_WEIGHTS'!J24*(1+'01_CONTROL'!$B$10))</f>
        <v>1.2E-2</v>
      </c>
      <c r="K24" s="6">
        <f t="shared" si="0"/>
        <v>0.71594052057842683</v>
      </c>
      <c r="L24" s="7">
        <f>IF(D24="Positive",'04_THRESHOLDS_WEIGHTS'!G24*(1+'01_CONTROL'!$B$10),'04_THRESHOLDS_WEIGHTS'!G24*(1-'01_CONTROL'!$B$10))</f>
        <v>4.8000000000000001E-2</v>
      </c>
      <c r="M24" s="7">
        <f>IF(D24="Positive",'04_THRESHOLDS_WEIGHTS'!H24*(1+'01_CONTROL'!$B$10),'04_THRESHOLDS_WEIGHTS'!H24*(1-'01_CONTROL'!$B$10))</f>
        <v>3.2000000000000001E-2</v>
      </c>
      <c r="N24" s="7">
        <f>IF(D24="Positive",'04_THRESHOLDS_WEIGHTS'!I24*(1+'01_CONTROL'!$B$10),'04_THRESHOLDS_WEIGHTS'!I24*(1-'01_CONTROL'!$B$10))</f>
        <v>1.6E-2</v>
      </c>
      <c r="O24" s="7">
        <f>IF(D24="Positive",'04_THRESHOLDS_WEIGHTS'!J24*(1+'01_CONTROL'!$B$10),'04_THRESHOLDS_WEIGHTS'!J24*(1-'01_CONTROL'!$B$10))</f>
        <v>8.0000000000000002E-3</v>
      </c>
      <c r="P24" s="6">
        <f t="shared" si="1"/>
        <v>0.57391078086764025</v>
      </c>
      <c r="Q24" s="6">
        <f>'04_THRESHOLDS_WEIGHTS'!L24</f>
        <v>8.3333333333333329E-2</v>
      </c>
    </row>
    <row r="25" spans="1:17" ht="15" customHeight="1" x14ac:dyDescent="0.25">
      <c r="A25" s="3" t="s">
        <v>87</v>
      </c>
      <c r="B25" s="3" t="s">
        <v>267</v>
      </c>
      <c r="C25" s="3" t="s">
        <v>268</v>
      </c>
      <c r="D25" s="3" t="s">
        <v>141</v>
      </c>
      <c r="E25" s="7">
        <f>'05_IMPORT_BASELINE'!D25</f>
        <v>2.5638981365007658E-2</v>
      </c>
      <c r="F25" s="6">
        <f>'08_NORMALISATION'!L25</f>
        <v>0.67951273293740422</v>
      </c>
      <c r="G25" s="7">
        <f>IF(D25="Positive",'04_THRESHOLDS_WEIGHTS'!G25*(1-'01_CONTROL'!$B$10),'04_THRESHOLDS_WEIGHTS'!G25*(1+'01_CONTROL'!$B$10))</f>
        <v>7.1999999999999995E-2</v>
      </c>
      <c r="H25" s="7">
        <f>IF(D25="Positive",'04_THRESHOLDS_WEIGHTS'!H25*(1-'01_CONTROL'!$B$10),'04_THRESHOLDS_WEIGHTS'!H25*(1+'01_CONTROL'!$B$10))</f>
        <v>4.8000000000000001E-2</v>
      </c>
      <c r="I25" s="7">
        <f>IF(D25="Positive",'04_THRESHOLDS_WEIGHTS'!I25*(1-'01_CONTROL'!$B$10),'04_THRESHOLDS_WEIGHTS'!I25*(1+'01_CONTROL'!$B$10))</f>
        <v>2.4E-2</v>
      </c>
      <c r="J25" s="7">
        <f>IF(D25="Positive",'04_THRESHOLDS_WEIGHTS'!J25*(1-'01_CONTROL'!$B$10),'04_THRESHOLDS_WEIGHTS'!J25*(1+'01_CONTROL'!$B$10))</f>
        <v>1.2E-2</v>
      </c>
      <c r="K25" s="6">
        <f t="shared" si="0"/>
        <v>0.73292727744783692</v>
      </c>
      <c r="L25" s="7">
        <f>IF(D25="Positive",'04_THRESHOLDS_WEIGHTS'!G25*(1+'01_CONTROL'!$B$10),'04_THRESHOLDS_WEIGHTS'!G25*(1-'01_CONTROL'!$B$10))</f>
        <v>4.8000000000000001E-2</v>
      </c>
      <c r="M25" s="7">
        <f>IF(D25="Positive",'04_THRESHOLDS_WEIGHTS'!H25*(1+'01_CONTROL'!$B$10),'04_THRESHOLDS_WEIGHTS'!H25*(1-'01_CONTROL'!$B$10))</f>
        <v>3.2000000000000001E-2</v>
      </c>
      <c r="N25" s="7">
        <f>IF(D25="Positive",'04_THRESHOLDS_WEIGHTS'!I25*(1+'01_CONTROL'!$B$10),'04_THRESHOLDS_WEIGHTS'!I25*(1-'01_CONTROL'!$B$10))</f>
        <v>1.6E-2</v>
      </c>
      <c r="O25" s="7">
        <f>IF(D25="Positive",'04_THRESHOLDS_WEIGHTS'!J25*(1+'01_CONTROL'!$B$10),'04_THRESHOLDS_WEIGHTS'!J25*(1-'01_CONTROL'!$B$10))</f>
        <v>8.0000000000000002E-3</v>
      </c>
      <c r="P25" s="6">
        <f t="shared" si="1"/>
        <v>0.59939091617175533</v>
      </c>
      <c r="Q25" s="6">
        <f>'04_THRESHOLDS_WEIGHTS'!L25</f>
        <v>8.3333333333333329E-2</v>
      </c>
    </row>
    <row r="26" spans="1:17" ht="15" customHeight="1" x14ac:dyDescent="0.25">
      <c r="A26" s="3" t="s">
        <v>87</v>
      </c>
      <c r="B26" s="3" t="s">
        <v>272</v>
      </c>
      <c r="C26" s="3" t="s">
        <v>273</v>
      </c>
      <c r="D26" s="3" t="s">
        <v>124</v>
      </c>
      <c r="E26" s="7">
        <f>'05_IMPORT_BASELINE'!D26</f>
        <v>9.2583037616575589E-2</v>
      </c>
      <c r="F26" s="6">
        <f>'08_NORMALISATION'!L26</f>
        <v>0.4629151880828779</v>
      </c>
      <c r="G26" s="7">
        <f>IF(D26="Positive",'04_THRESHOLDS_WEIGHTS'!G26*(1-'01_CONTROL'!$B$10),'04_THRESHOLDS_WEIGHTS'!G26*(1+'01_CONTROL'!$B$10))</f>
        <v>4.0000000000000008E-2</v>
      </c>
      <c r="H26" s="7">
        <f>IF(D26="Positive",'04_THRESHOLDS_WEIGHTS'!H26*(1-'01_CONTROL'!$B$10),'04_THRESHOLDS_WEIGHTS'!H26*(1+'01_CONTROL'!$B$10))</f>
        <v>8.0000000000000016E-2</v>
      </c>
      <c r="I26" s="7">
        <f>IF(D26="Positive",'04_THRESHOLDS_WEIGHTS'!I26*(1-'01_CONTROL'!$B$10),'04_THRESHOLDS_WEIGHTS'!I26*(1+'01_CONTROL'!$B$10))</f>
        <v>0.16000000000000003</v>
      </c>
      <c r="J26" s="7">
        <f>IF(D26="Positive",'04_THRESHOLDS_WEIGHTS'!J26*(1-'01_CONTROL'!$B$10),'04_THRESHOLDS_WEIGHTS'!J26*(1+'01_CONTROL'!$B$10))</f>
        <v>0.32000000000000006</v>
      </c>
      <c r="K26" s="6">
        <f t="shared" si="0"/>
        <v>0.53932199255179869</v>
      </c>
      <c r="L26" s="7">
        <f>IF(D26="Positive",'04_THRESHOLDS_WEIGHTS'!G26*(1+'01_CONTROL'!$B$10),'04_THRESHOLDS_WEIGHTS'!G26*(1-'01_CONTROL'!$B$10))</f>
        <v>0.06</v>
      </c>
      <c r="M26" s="7">
        <f>IF(D26="Positive",'04_THRESHOLDS_WEIGHTS'!H26*(1+'01_CONTROL'!$B$10),'04_THRESHOLDS_WEIGHTS'!H26*(1-'01_CONTROL'!$B$10))</f>
        <v>0.12</v>
      </c>
      <c r="N26" s="7">
        <f>IF(D26="Positive",'04_THRESHOLDS_WEIGHTS'!I26*(1+'01_CONTROL'!$B$10),'04_THRESHOLDS_WEIGHTS'!I26*(1-'01_CONTROL'!$B$10))</f>
        <v>0.24</v>
      </c>
      <c r="O26" s="7">
        <f>IF(D26="Positive",'04_THRESHOLDS_WEIGHTS'!J26*(1+'01_CONTROL'!$B$10),'04_THRESHOLDS_WEIGHTS'!J26*(1-'01_CONTROL'!$B$10))</f>
        <v>0.48</v>
      </c>
      <c r="P26" s="6">
        <f t="shared" si="1"/>
        <v>0.38576265673573162</v>
      </c>
      <c r="Q26" s="6">
        <f>'04_THRESHOLDS_WEIGHTS'!L26</f>
        <v>0.25</v>
      </c>
    </row>
    <row r="27" spans="1:17" ht="15" customHeight="1" x14ac:dyDescent="0.25">
      <c r="A27" s="3" t="s">
        <v>87</v>
      </c>
      <c r="B27" s="3" t="s">
        <v>281</v>
      </c>
      <c r="C27" s="3" t="s">
        <v>282</v>
      </c>
      <c r="D27" s="3" t="s">
        <v>124</v>
      </c>
      <c r="E27" s="7">
        <f>'05_IMPORT_BASELINE'!D27</f>
        <v>0.80611897953339418</v>
      </c>
      <c r="F27" s="6">
        <f>'08_NORMALISATION'!L27</f>
        <v>0.90305948976669703</v>
      </c>
      <c r="G27" s="7">
        <f>IF(D27="Positive",'04_THRESHOLDS_WEIGHTS'!G27*(1-'01_CONTROL'!$B$10),'04_THRESHOLDS_WEIGHTS'!G27*(1+'01_CONTROL'!$B$10))</f>
        <v>0</v>
      </c>
      <c r="H27" s="7">
        <f>IF(D27="Positive",'04_THRESHOLDS_WEIGHTS'!H27*(1-'01_CONTROL'!$B$10),'04_THRESHOLDS_WEIGHTS'!H27*(1+'01_CONTROL'!$B$10))</f>
        <v>0.2</v>
      </c>
      <c r="I27" s="7">
        <f>IF(D27="Positive",'04_THRESHOLDS_WEIGHTS'!I27*(1-'01_CONTROL'!$B$10),'04_THRESHOLDS_WEIGHTS'!I27*(1+'01_CONTROL'!$B$10))</f>
        <v>0.4</v>
      </c>
      <c r="J27" s="7">
        <f>IF(D27="Positive",'04_THRESHOLDS_WEIGHTS'!J27*(1-'01_CONTROL'!$B$10),'04_THRESHOLDS_WEIGHTS'!J27*(1+'01_CONTROL'!$B$10))</f>
        <v>0.8</v>
      </c>
      <c r="K27" s="6">
        <f t="shared" si="0"/>
        <v>1</v>
      </c>
      <c r="L27" s="7">
        <f>IF(D27="Positive",'04_THRESHOLDS_WEIGHTS'!G27*(1+'01_CONTROL'!$B$10),'04_THRESHOLDS_WEIGHTS'!G27*(1-'01_CONTROL'!$B$10))</f>
        <v>0</v>
      </c>
      <c r="M27" s="7">
        <f>IF(D27="Positive",'04_THRESHOLDS_WEIGHTS'!H27*(1+'01_CONTROL'!$B$10),'04_THRESHOLDS_WEIGHTS'!H27*(1-'01_CONTROL'!$B$10))</f>
        <v>0.3</v>
      </c>
      <c r="N27" s="7">
        <f>IF(D27="Positive",'04_THRESHOLDS_WEIGHTS'!I27*(1+'01_CONTROL'!$B$10),'04_THRESHOLDS_WEIGHTS'!I27*(1-'01_CONTROL'!$B$10))</f>
        <v>0.6</v>
      </c>
      <c r="O27" s="7">
        <f>IF(D27="Positive",'04_THRESHOLDS_WEIGHTS'!J27*(1+'01_CONTROL'!$B$10),'04_THRESHOLDS_WEIGHTS'!J27*(1-'01_CONTROL'!$B$10))</f>
        <v>1.2</v>
      </c>
      <c r="P27" s="6">
        <f t="shared" si="1"/>
        <v>0.8358829081389143</v>
      </c>
      <c r="Q27" s="6">
        <f>'04_THRESHOLDS_WEIGHTS'!L27</f>
        <v>0.25</v>
      </c>
    </row>
    <row r="28" spans="1:17" ht="15" customHeight="1" x14ac:dyDescent="0.25">
      <c r="A28" s="3" t="s">
        <v>93</v>
      </c>
      <c r="B28" s="3" t="s">
        <v>287</v>
      </c>
      <c r="C28" s="3" t="s">
        <v>288</v>
      </c>
      <c r="D28" s="3" t="s">
        <v>141</v>
      </c>
      <c r="E28" s="7">
        <f>'05_IMPORT_BASELINE'!D28</f>
        <v>454.87965603945833</v>
      </c>
      <c r="F28" s="6">
        <f>'08_NORMALISATION'!L28</f>
        <v>0.61280085990135413</v>
      </c>
      <c r="G28" s="7">
        <f>IF(D28="Positive",'04_THRESHOLDS_WEIGHTS'!G28*(1-'01_CONTROL'!$B$10),'04_THRESHOLDS_WEIGHTS'!G28*(1+'01_CONTROL'!$B$10))</f>
        <v>720</v>
      </c>
      <c r="H28" s="7">
        <f>IF(D28="Positive",'04_THRESHOLDS_WEIGHTS'!H28*(1-'01_CONTROL'!$B$10),'04_THRESHOLDS_WEIGHTS'!H28*(1+'01_CONTROL'!$B$10))</f>
        <v>600</v>
      </c>
      <c r="I28" s="7">
        <f>IF(D28="Positive",'04_THRESHOLDS_WEIGHTS'!I28*(1-'01_CONTROL'!$B$10),'04_THRESHOLDS_WEIGHTS'!I28*(1+'01_CONTROL'!$B$10))</f>
        <v>480</v>
      </c>
      <c r="J28" s="7">
        <f>IF(D28="Positive",'04_THRESHOLDS_WEIGHTS'!J28*(1-'01_CONTROL'!$B$10),'04_THRESHOLDS_WEIGHTS'!J28*(1+'01_CONTROL'!$B$10))</f>
        <v>360</v>
      </c>
      <c r="K28" s="6">
        <f t="shared" si="0"/>
        <v>0.80233404991779511</v>
      </c>
      <c r="L28" s="7">
        <f>IF(D28="Positive",'04_THRESHOLDS_WEIGHTS'!G28*(1+'01_CONTROL'!$B$10),'04_THRESHOLDS_WEIGHTS'!G28*(1-'01_CONTROL'!$B$10))</f>
        <v>480</v>
      </c>
      <c r="M28" s="7">
        <f>IF(D28="Positive",'04_THRESHOLDS_WEIGHTS'!H28*(1+'01_CONTROL'!$B$10),'04_THRESHOLDS_WEIGHTS'!H28*(1-'01_CONTROL'!$B$10))</f>
        <v>400</v>
      </c>
      <c r="N28" s="7">
        <f>IF(D28="Positive",'04_THRESHOLDS_WEIGHTS'!I28*(1+'01_CONTROL'!$B$10),'04_THRESHOLDS_WEIGHTS'!I28*(1-'01_CONTROL'!$B$10))</f>
        <v>320</v>
      </c>
      <c r="O28" s="7">
        <f>IF(D28="Positive",'04_THRESHOLDS_WEIGHTS'!J28*(1+'01_CONTROL'!$B$10),'04_THRESHOLDS_WEIGHTS'!J28*(1-'01_CONTROL'!$B$10))</f>
        <v>240</v>
      </c>
      <c r="P28" s="6">
        <f t="shared" si="1"/>
        <v>0.32850107487669272</v>
      </c>
      <c r="Q28" s="6">
        <f>'04_THRESHOLDS_WEIGHTS'!L28</f>
        <v>8.3333333333333329E-2</v>
      </c>
    </row>
    <row r="29" spans="1:17" ht="15" customHeight="1" x14ac:dyDescent="0.25">
      <c r="A29" s="3" t="s">
        <v>93</v>
      </c>
      <c r="B29" s="3" t="s">
        <v>294</v>
      </c>
      <c r="C29" s="3" t="s">
        <v>295</v>
      </c>
      <c r="D29" s="3" t="s">
        <v>141</v>
      </c>
      <c r="E29" s="7">
        <f>'05_IMPORT_BASELINE'!D29</f>
        <v>0.34659797262552594</v>
      </c>
      <c r="F29" s="6">
        <f>'08_NORMALISATION'!L29</f>
        <v>0.50850506843618515</v>
      </c>
      <c r="G29" s="7">
        <f>IF(D29="Positive",'04_THRESHOLDS_WEIGHTS'!G29*(1-'01_CONTROL'!$B$10),'04_THRESHOLDS_WEIGHTS'!G29*(1+'01_CONTROL'!$B$10))</f>
        <v>0.54</v>
      </c>
      <c r="H29" s="7">
        <f>IF(D29="Positive",'04_THRESHOLDS_WEIGHTS'!H29*(1-'01_CONTROL'!$B$10),'04_THRESHOLDS_WEIGHTS'!H29*(1+'01_CONTROL'!$B$10))</f>
        <v>0.42</v>
      </c>
      <c r="I29" s="7">
        <f>IF(D29="Positive",'04_THRESHOLDS_WEIGHTS'!I29*(1-'01_CONTROL'!$B$10),'04_THRESHOLDS_WEIGHTS'!I29*(1+'01_CONTROL'!$B$10))</f>
        <v>0.3</v>
      </c>
      <c r="J29" s="7">
        <f>IF(D29="Positive",'04_THRESHOLDS_WEIGHTS'!J29*(1-'01_CONTROL'!$B$10),'04_THRESHOLDS_WEIGHTS'!J29*(1+'01_CONTROL'!$B$10))</f>
        <v>0.24</v>
      </c>
      <c r="K29" s="6">
        <f t="shared" si="0"/>
        <v>0.65292089036348755</v>
      </c>
      <c r="L29" s="7">
        <f>IF(D29="Positive",'04_THRESHOLDS_WEIGHTS'!G29*(1+'01_CONTROL'!$B$10),'04_THRESHOLDS_WEIGHTS'!G29*(1-'01_CONTROL'!$B$10))</f>
        <v>0.36000000000000004</v>
      </c>
      <c r="M29" s="7">
        <f>IF(D29="Positive",'04_THRESHOLDS_WEIGHTS'!H29*(1+'01_CONTROL'!$B$10),'04_THRESHOLDS_WEIGHTS'!H29*(1-'01_CONTROL'!$B$10))</f>
        <v>0.27999999999999997</v>
      </c>
      <c r="N29" s="7">
        <f>IF(D29="Positive",'04_THRESHOLDS_WEIGHTS'!I29*(1+'01_CONTROL'!$B$10),'04_THRESHOLDS_WEIGHTS'!I29*(1-'01_CONTROL'!$B$10))</f>
        <v>0.2</v>
      </c>
      <c r="O29" s="7">
        <f>IF(D29="Positive",'04_THRESHOLDS_WEIGHTS'!J29*(1+'01_CONTROL'!$B$10),'04_THRESHOLDS_WEIGHTS'!J29*(1-'01_CONTROL'!$B$10))</f>
        <v>0.16000000000000003</v>
      </c>
      <c r="P29" s="6">
        <f t="shared" si="1"/>
        <v>0.29188133554523155</v>
      </c>
      <c r="Q29" s="6">
        <f>'04_THRESHOLDS_WEIGHTS'!L29</f>
        <v>8.3333333333333329E-2</v>
      </c>
    </row>
    <row r="30" spans="1:17" ht="15" customHeight="1" x14ac:dyDescent="0.25">
      <c r="A30" s="3" t="s">
        <v>93</v>
      </c>
      <c r="B30" s="3" t="s">
        <v>299</v>
      </c>
      <c r="C30" s="3" t="s">
        <v>300</v>
      </c>
      <c r="D30" s="3" t="s">
        <v>124</v>
      </c>
      <c r="E30" s="7">
        <f>'05_IMPORT_BASELINE'!D30</f>
        <v>9.0615316337890578E-2</v>
      </c>
      <c r="F30" s="6">
        <f>'08_NORMALISATION'!L30</f>
        <v>0</v>
      </c>
      <c r="G30" s="7">
        <f>IF(D30="Positive",'04_THRESHOLDS_WEIGHTS'!G30*(1-'01_CONTROL'!$B$10),'04_THRESHOLDS_WEIGHTS'!G30*(1+'01_CONTROL'!$B$10))</f>
        <v>0.2</v>
      </c>
      <c r="H30" s="7">
        <f>IF(D30="Positive",'04_THRESHOLDS_WEIGHTS'!H30*(1-'01_CONTROL'!$B$10),'04_THRESHOLDS_WEIGHTS'!H30*(1+'01_CONTROL'!$B$10))</f>
        <v>0.4</v>
      </c>
      <c r="I30" s="7">
        <f>IF(D30="Positive",'04_THRESHOLDS_WEIGHTS'!I30*(1-'01_CONTROL'!$B$10),'04_THRESHOLDS_WEIGHTS'!I30*(1+'01_CONTROL'!$B$10))</f>
        <v>0.60000000000000009</v>
      </c>
      <c r="J30" s="7">
        <f>IF(D30="Positive",'04_THRESHOLDS_WEIGHTS'!J30*(1-'01_CONTROL'!$B$10),'04_THRESHOLDS_WEIGHTS'!J30*(1+'01_CONTROL'!$B$10))</f>
        <v>0.64000000000000012</v>
      </c>
      <c r="K30" s="6">
        <f t="shared" si="0"/>
        <v>0</v>
      </c>
      <c r="L30" s="7">
        <f>IF(D30="Positive",'04_THRESHOLDS_WEIGHTS'!G30*(1+'01_CONTROL'!$B$10),'04_THRESHOLDS_WEIGHTS'!G30*(1-'01_CONTROL'!$B$10))</f>
        <v>0.3</v>
      </c>
      <c r="M30" s="7">
        <f>IF(D30="Positive",'04_THRESHOLDS_WEIGHTS'!H30*(1+'01_CONTROL'!$B$10),'04_THRESHOLDS_WEIGHTS'!H30*(1-'01_CONTROL'!$B$10))</f>
        <v>0.6</v>
      </c>
      <c r="N30" s="7">
        <f>IF(D30="Positive",'04_THRESHOLDS_WEIGHTS'!I30*(1+'01_CONTROL'!$B$10),'04_THRESHOLDS_WEIGHTS'!I30*(1-'01_CONTROL'!$B$10))</f>
        <v>0.89999999999999991</v>
      </c>
      <c r="O30" s="7">
        <f>IF(D30="Positive",'04_THRESHOLDS_WEIGHTS'!J30*(1+'01_CONTROL'!$B$10),'04_THRESHOLDS_WEIGHTS'!J30*(1-'01_CONTROL'!$B$10))</f>
        <v>0.96</v>
      </c>
      <c r="P30" s="6">
        <f t="shared" si="1"/>
        <v>0</v>
      </c>
      <c r="Q30" s="6">
        <f>'04_THRESHOLDS_WEIGHTS'!L30</f>
        <v>8.3333333333333329E-2</v>
      </c>
    </row>
    <row r="31" spans="1:17" ht="15" customHeight="1" x14ac:dyDescent="0.25">
      <c r="A31" s="3" t="s">
        <v>93</v>
      </c>
      <c r="B31" s="3" t="s">
        <v>304</v>
      </c>
      <c r="C31" s="3" t="s">
        <v>305</v>
      </c>
      <c r="D31" s="3" t="s">
        <v>141</v>
      </c>
      <c r="E31" s="7">
        <f>'05_IMPORT_BASELINE'!D31</f>
        <v>1.0071750145918217</v>
      </c>
      <c r="F31" s="6">
        <f>'08_NORMALISATION'!L31</f>
        <v>0.53568748784014864</v>
      </c>
      <c r="G31" s="7">
        <f>IF(D31="Positive",'04_THRESHOLDS_WEIGHTS'!G31*(1-'01_CONTROL'!$B$10),'04_THRESHOLDS_WEIGHTS'!G31*(1+'01_CONTROL'!$B$10))</f>
        <v>1.5</v>
      </c>
      <c r="H31" s="7">
        <f>IF(D31="Positive",'04_THRESHOLDS_WEIGHTS'!H31*(1-'01_CONTROL'!$B$10),'04_THRESHOLDS_WEIGHTS'!H31*(1+'01_CONTROL'!$B$10))</f>
        <v>1.26</v>
      </c>
      <c r="I31" s="7">
        <f>IF(D31="Positive",'04_THRESHOLDS_WEIGHTS'!I31*(1-'01_CONTROL'!$B$10),'04_THRESHOLDS_WEIGHTS'!I31*(1+'01_CONTROL'!$B$10))</f>
        <v>0.89999999999999991</v>
      </c>
      <c r="J31" s="7">
        <f>IF(D31="Positive",'04_THRESHOLDS_WEIGHTS'!J31*(1-'01_CONTROL'!$B$10),'04_THRESHOLDS_WEIGHTS'!J31*(1+'01_CONTROL'!$B$10))</f>
        <v>0.6</v>
      </c>
      <c r="K31" s="6">
        <f t="shared" si="0"/>
        <v>0.67557290653345714</v>
      </c>
      <c r="L31" s="7">
        <f>IF(D31="Positive",'04_THRESHOLDS_WEIGHTS'!G31*(1+'01_CONTROL'!$B$10),'04_THRESHOLDS_WEIGHTS'!G31*(1-'01_CONTROL'!$B$10))</f>
        <v>1</v>
      </c>
      <c r="M31" s="7">
        <f>IF(D31="Positive",'04_THRESHOLDS_WEIGHTS'!H31*(1+'01_CONTROL'!$B$10),'04_THRESHOLDS_WEIGHTS'!H31*(1-'01_CONTROL'!$B$10))</f>
        <v>0.84000000000000008</v>
      </c>
      <c r="N31" s="7">
        <f>IF(D31="Positive",'04_THRESHOLDS_WEIGHTS'!I31*(1+'01_CONTROL'!$B$10),'04_THRESHOLDS_WEIGHTS'!I31*(1-'01_CONTROL'!$B$10))</f>
        <v>0.60000000000000009</v>
      </c>
      <c r="O31" s="7">
        <f>IF(D31="Positive",'04_THRESHOLDS_WEIGHTS'!J31*(1+'01_CONTROL'!$B$10),'04_THRESHOLDS_WEIGHTS'!J31*(1-'01_CONTROL'!$B$10))</f>
        <v>0.4</v>
      </c>
      <c r="P31" s="6">
        <f t="shared" si="1"/>
        <v>0</v>
      </c>
      <c r="Q31" s="6">
        <f>'04_THRESHOLDS_WEIGHTS'!L31</f>
        <v>0.125</v>
      </c>
    </row>
    <row r="32" spans="1:17" ht="15" customHeight="1" x14ac:dyDescent="0.25">
      <c r="A32" s="3" t="s">
        <v>93</v>
      </c>
      <c r="B32" s="3" t="s">
        <v>312</v>
      </c>
      <c r="C32" s="3" t="s">
        <v>313</v>
      </c>
      <c r="D32" s="3" t="s">
        <v>124</v>
      </c>
      <c r="E32" s="7">
        <f>'05_IMPORT_BASELINE'!D32</f>
        <v>0.56628899075120642</v>
      </c>
      <c r="F32" s="6">
        <f>'08_NORMALISATION'!L32</f>
        <v>0.56628899075120642</v>
      </c>
      <c r="G32" s="7">
        <f>IF(D32="Positive",'04_THRESHOLDS_WEIGHTS'!G32*(1-'01_CONTROL'!$B$10),'04_THRESHOLDS_WEIGHTS'!G32*(1+'01_CONTROL'!$B$10))</f>
        <v>0.2</v>
      </c>
      <c r="H32" s="7">
        <f>IF(D32="Positive",'04_THRESHOLDS_WEIGHTS'!H32*(1-'01_CONTROL'!$B$10),'04_THRESHOLDS_WEIGHTS'!H32*(1+'01_CONTROL'!$B$10))</f>
        <v>0.4</v>
      </c>
      <c r="I32" s="7">
        <f>IF(D32="Positive",'04_THRESHOLDS_WEIGHTS'!I32*(1-'01_CONTROL'!$B$10),'04_THRESHOLDS_WEIGHTS'!I32*(1+'01_CONTROL'!$B$10))</f>
        <v>0.60000000000000009</v>
      </c>
      <c r="J32" s="7">
        <f>IF(D32="Positive",'04_THRESHOLDS_WEIGHTS'!J32*(1-'01_CONTROL'!$B$10),'04_THRESHOLDS_WEIGHTS'!J32*(1+'01_CONTROL'!$B$10))</f>
        <v>0.8</v>
      </c>
      <c r="K32" s="6">
        <f t="shared" si="0"/>
        <v>0.70786123843900794</v>
      </c>
      <c r="L32" s="7">
        <f>IF(D32="Positive",'04_THRESHOLDS_WEIGHTS'!G32*(1+'01_CONTROL'!$B$10),'04_THRESHOLDS_WEIGHTS'!G32*(1-'01_CONTROL'!$B$10))</f>
        <v>0.3</v>
      </c>
      <c r="M32" s="7">
        <f>IF(D32="Positive",'04_THRESHOLDS_WEIGHTS'!H32*(1+'01_CONTROL'!$B$10),'04_THRESHOLDS_WEIGHTS'!H32*(1-'01_CONTROL'!$B$10))</f>
        <v>0.6</v>
      </c>
      <c r="N32" s="7">
        <f>IF(D32="Positive",'04_THRESHOLDS_WEIGHTS'!I32*(1+'01_CONTROL'!$B$10),'04_THRESHOLDS_WEIGHTS'!I32*(1-'01_CONTROL'!$B$10))</f>
        <v>0.89999999999999991</v>
      </c>
      <c r="O32" s="7">
        <f>IF(D32="Positive",'04_THRESHOLDS_WEIGHTS'!J32*(1+'01_CONTROL'!$B$10),'04_THRESHOLDS_WEIGHTS'!J32*(1-'01_CONTROL'!$B$10))</f>
        <v>1.2</v>
      </c>
      <c r="P32" s="6">
        <f t="shared" si="1"/>
        <v>0.47190749229267204</v>
      </c>
      <c r="Q32" s="6">
        <f>'04_THRESHOLDS_WEIGHTS'!L32</f>
        <v>0.125</v>
      </c>
    </row>
    <row r="33" spans="1:17" ht="15" customHeight="1" x14ac:dyDescent="0.25">
      <c r="A33" s="3" t="s">
        <v>93</v>
      </c>
      <c r="B33" s="3" t="s">
        <v>317</v>
      </c>
      <c r="C33" s="3" t="s">
        <v>318</v>
      </c>
      <c r="D33" s="3" t="s">
        <v>124</v>
      </c>
      <c r="E33" s="7">
        <f>'05_IMPORT_BASELINE'!D33</f>
        <v>0.54884268983162765</v>
      </c>
      <c r="F33" s="6">
        <f>'08_NORMALISATION'!L33</f>
        <v>1</v>
      </c>
      <c r="G33" s="7">
        <f>IF(D33="Positive",'04_THRESHOLDS_WEIGHTS'!G33*(1-'01_CONTROL'!$B$10),'04_THRESHOLDS_WEIGHTS'!G33*(1+'01_CONTROL'!$B$10))</f>
        <v>0</v>
      </c>
      <c r="H33" s="7">
        <f>IF(D33="Positive",'04_THRESHOLDS_WEIGHTS'!H33*(1-'01_CONTROL'!$B$10),'04_THRESHOLDS_WEIGHTS'!H33*(1+'01_CONTROL'!$B$10))</f>
        <v>0.16000000000000003</v>
      </c>
      <c r="I33" s="7">
        <f>IF(D33="Positive",'04_THRESHOLDS_WEIGHTS'!I33*(1-'01_CONTROL'!$B$10),'04_THRESHOLDS_WEIGHTS'!I33*(1+'01_CONTROL'!$B$10))</f>
        <v>0.2</v>
      </c>
      <c r="J33" s="7">
        <f>IF(D33="Positive",'04_THRESHOLDS_WEIGHTS'!J33*(1-'01_CONTROL'!$B$10),'04_THRESHOLDS_WEIGHTS'!J33*(1+'01_CONTROL'!$B$10))</f>
        <v>0.24</v>
      </c>
      <c r="K33" s="6">
        <f t="shared" si="0"/>
        <v>1</v>
      </c>
      <c r="L33" s="7">
        <f>IF(D33="Positive",'04_THRESHOLDS_WEIGHTS'!G33*(1+'01_CONTROL'!$B$10),'04_THRESHOLDS_WEIGHTS'!G33*(1-'01_CONTROL'!$B$10))</f>
        <v>0</v>
      </c>
      <c r="M33" s="7">
        <f>IF(D33="Positive",'04_THRESHOLDS_WEIGHTS'!H33*(1+'01_CONTROL'!$B$10),'04_THRESHOLDS_WEIGHTS'!H33*(1-'01_CONTROL'!$B$10))</f>
        <v>0.24</v>
      </c>
      <c r="N33" s="7">
        <f>IF(D33="Positive",'04_THRESHOLDS_WEIGHTS'!I33*(1+'01_CONTROL'!$B$10),'04_THRESHOLDS_WEIGHTS'!I33*(1-'01_CONTROL'!$B$10))</f>
        <v>0.3</v>
      </c>
      <c r="O33" s="7">
        <f>IF(D33="Positive",'04_THRESHOLDS_WEIGHTS'!J33*(1+'01_CONTROL'!$B$10),'04_THRESHOLDS_WEIGHTS'!J33*(1-'01_CONTROL'!$B$10))</f>
        <v>0.36</v>
      </c>
      <c r="P33" s="6">
        <f t="shared" si="1"/>
        <v>1</v>
      </c>
      <c r="Q33" s="6">
        <f>'04_THRESHOLDS_WEIGHTS'!L33</f>
        <v>8.3333333333333329E-2</v>
      </c>
    </row>
    <row r="34" spans="1:17" ht="15" customHeight="1" x14ac:dyDescent="0.25">
      <c r="A34" s="3" t="s">
        <v>93</v>
      </c>
      <c r="B34" s="3" t="s">
        <v>323</v>
      </c>
      <c r="C34" s="3" t="s">
        <v>324</v>
      </c>
      <c r="D34" s="3" t="s">
        <v>141</v>
      </c>
      <c r="E34" s="7">
        <f>'05_IMPORT_BASELINE'!D34</f>
        <v>0.19744236000046361</v>
      </c>
      <c r="F34" s="6">
        <f>'08_NORMALISATION'!L34</f>
        <v>1</v>
      </c>
      <c r="G34" s="7">
        <f>IF(D34="Positive",'04_THRESHOLDS_WEIGHTS'!G34*(1-'01_CONTROL'!$B$10),'04_THRESHOLDS_WEIGHTS'!G34*(1+'01_CONTROL'!$B$10))</f>
        <v>0.72</v>
      </c>
      <c r="H34" s="7">
        <f>IF(D34="Positive",'04_THRESHOLDS_WEIGHTS'!H34*(1-'01_CONTROL'!$B$10),'04_THRESHOLDS_WEIGHTS'!H34*(1+'01_CONTROL'!$B$10))</f>
        <v>0.48</v>
      </c>
      <c r="I34" s="7">
        <f>IF(D34="Positive",'04_THRESHOLDS_WEIGHTS'!I34*(1-'01_CONTROL'!$B$10),'04_THRESHOLDS_WEIGHTS'!I34*(1+'01_CONTROL'!$B$10))</f>
        <v>0.36</v>
      </c>
      <c r="J34" s="7">
        <f>IF(D34="Positive",'04_THRESHOLDS_WEIGHTS'!J34*(1-'01_CONTROL'!$B$10),'04_THRESHOLDS_WEIGHTS'!J34*(1+'01_CONTROL'!$B$10))</f>
        <v>0.24</v>
      </c>
      <c r="K34" s="6">
        <f t="shared" si="0"/>
        <v>1</v>
      </c>
      <c r="L34" s="7">
        <f>IF(D34="Positive",'04_THRESHOLDS_WEIGHTS'!G34*(1+'01_CONTROL'!$B$10),'04_THRESHOLDS_WEIGHTS'!G34*(1-'01_CONTROL'!$B$10))</f>
        <v>0.48</v>
      </c>
      <c r="M34" s="7">
        <f>IF(D34="Positive",'04_THRESHOLDS_WEIGHTS'!H34*(1+'01_CONTROL'!$B$10),'04_THRESHOLDS_WEIGHTS'!H34*(1-'01_CONTROL'!$B$10))</f>
        <v>0.32000000000000006</v>
      </c>
      <c r="N34" s="7">
        <f>IF(D34="Positive",'04_THRESHOLDS_WEIGHTS'!I34*(1+'01_CONTROL'!$B$10),'04_THRESHOLDS_WEIGHTS'!I34*(1-'01_CONTROL'!$B$10))</f>
        <v>0.24</v>
      </c>
      <c r="O34" s="7">
        <f>IF(D34="Positive",'04_THRESHOLDS_WEIGHTS'!J34*(1+'01_CONTROL'!$B$10),'04_THRESHOLDS_WEIGHTS'!J34*(1-'01_CONTROL'!$B$10))</f>
        <v>0.16000000000000003</v>
      </c>
      <c r="P34" s="6">
        <f t="shared" si="1"/>
        <v>0.88299262499855125</v>
      </c>
      <c r="Q34" s="6">
        <f>'04_THRESHOLDS_WEIGHTS'!L34</f>
        <v>8.3333333333333329E-2</v>
      </c>
    </row>
    <row r="35" spans="1:17" ht="15" customHeight="1" x14ac:dyDescent="0.25">
      <c r="A35" s="3" t="s">
        <v>93</v>
      </c>
      <c r="B35" s="3" t="s">
        <v>328</v>
      </c>
      <c r="C35" s="3" t="s">
        <v>329</v>
      </c>
      <c r="D35" s="3" t="s">
        <v>124</v>
      </c>
      <c r="E35" s="7">
        <f>'05_IMPORT_BASELINE'!D35</f>
        <v>67.9146412605797</v>
      </c>
      <c r="F35" s="6">
        <f>'08_NORMALISATION'!L35</f>
        <v>0.59893301575724622</v>
      </c>
      <c r="G35" s="7">
        <f>IF(D35="Positive",'04_THRESHOLDS_WEIGHTS'!G35*(1-'01_CONTROL'!$B$10),'04_THRESHOLDS_WEIGHTS'!G35*(1+'01_CONTROL'!$B$10))</f>
        <v>32</v>
      </c>
      <c r="H35" s="7">
        <f>IF(D35="Positive",'04_THRESHOLDS_WEIGHTS'!H35*(1-'01_CONTROL'!$B$10),'04_THRESHOLDS_WEIGHTS'!H35*(1+'01_CONTROL'!$B$10))</f>
        <v>48</v>
      </c>
      <c r="I35" s="7">
        <f>IF(D35="Positive",'04_THRESHOLDS_WEIGHTS'!I35*(1-'01_CONTROL'!$B$10),'04_THRESHOLDS_WEIGHTS'!I35*(1+'01_CONTROL'!$B$10))</f>
        <v>64</v>
      </c>
      <c r="J35" s="7">
        <f>IF(D35="Positive",'04_THRESHOLDS_WEIGHTS'!J35*(1-'01_CONTROL'!$B$10),'04_THRESHOLDS_WEIGHTS'!J35*(1+'01_CONTROL'!$B$10))</f>
        <v>80</v>
      </c>
      <c r="K35" s="6">
        <f t="shared" si="0"/>
        <v>0.81116626969655781</v>
      </c>
      <c r="L35" s="7">
        <f>IF(D35="Positive",'04_THRESHOLDS_WEIGHTS'!G35*(1+'01_CONTROL'!$B$10),'04_THRESHOLDS_WEIGHTS'!G35*(1-'01_CONTROL'!$B$10))</f>
        <v>48</v>
      </c>
      <c r="M35" s="7">
        <f>IF(D35="Positive",'04_THRESHOLDS_WEIGHTS'!H35*(1+'01_CONTROL'!$B$10),'04_THRESHOLDS_WEIGHTS'!H35*(1-'01_CONTROL'!$B$10))</f>
        <v>72</v>
      </c>
      <c r="N35" s="7">
        <f>IF(D35="Positive",'04_THRESHOLDS_WEIGHTS'!I35*(1+'01_CONTROL'!$B$10),'04_THRESHOLDS_WEIGHTS'!I35*(1-'01_CONTROL'!$B$10))</f>
        <v>96</v>
      </c>
      <c r="O35" s="7">
        <f>IF(D35="Positive",'04_THRESHOLDS_WEIGHTS'!J35*(1+'01_CONTROL'!$B$10),'04_THRESHOLDS_WEIGHTS'!J35*(1-'01_CONTROL'!$B$10))</f>
        <v>120</v>
      </c>
      <c r="P35" s="6">
        <f t="shared" si="1"/>
        <v>0.45744417979770524</v>
      </c>
      <c r="Q35" s="6">
        <f>'04_THRESHOLDS_WEIGHTS'!L35</f>
        <v>0.125</v>
      </c>
    </row>
    <row r="36" spans="1:17" ht="15" customHeight="1" x14ac:dyDescent="0.25">
      <c r="A36" s="3" t="s">
        <v>93</v>
      </c>
      <c r="B36" s="3" t="s">
        <v>335</v>
      </c>
      <c r="C36" s="3" t="s">
        <v>336</v>
      </c>
      <c r="D36" s="3" t="s">
        <v>124</v>
      </c>
      <c r="E36" s="7">
        <f>'05_IMPORT_BASELINE'!D36</f>
        <v>0.41686880937942183</v>
      </c>
      <c r="F36" s="6">
        <f>'08_NORMALISATION'!L36</f>
        <v>0.41686880937942183</v>
      </c>
      <c r="G36" s="7">
        <f>IF(D36="Positive",'04_THRESHOLDS_WEIGHTS'!G36*(1-'01_CONTROL'!$B$10),'04_THRESHOLDS_WEIGHTS'!G36*(1+'01_CONTROL'!$B$10))</f>
        <v>0.2</v>
      </c>
      <c r="H36" s="7">
        <f>IF(D36="Positive",'04_THRESHOLDS_WEIGHTS'!H36*(1-'01_CONTROL'!$B$10),'04_THRESHOLDS_WEIGHTS'!H36*(1+'01_CONTROL'!$B$10))</f>
        <v>0.4</v>
      </c>
      <c r="I36" s="7">
        <f>IF(D36="Positive",'04_THRESHOLDS_WEIGHTS'!I36*(1-'01_CONTROL'!$B$10),'04_THRESHOLDS_WEIGHTS'!I36*(1+'01_CONTROL'!$B$10))</f>
        <v>0.60000000000000009</v>
      </c>
      <c r="J36" s="7">
        <f>IF(D36="Positive",'04_THRESHOLDS_WEIGHTS'!J36*(1-'01_CONTROL'!$B$10),'04_THRESHOLDS_WEIGHTS'!J36*(1+'01_CONTROL'!$B$10))</f>
        <v>0.8</v>
      </c>
      <c r="K36" s="6">
        <f t="shared" si="0"/>
        <v>0.52108601172427726</v>
      </c>
      <c r="L36" s="7">
        <f>IF(D36="Positive",'04_THRESHOLDS_WEIGHTS'!G36*(1+'01_CONTROL'!$B$10),'04_THRESHOLDS_WEIGHTS'!G36*(1-'01_CONTROL'!$B$10))</f>
        <v>0.3</v>
      </c>
      <c r="M36" s="7">
        <f>IF(D36="Positive",'04_THRESHOLDS_WEIGHTS'!H36*(1+'01_CONTROL'!$B$10),'04_THRESHOLDS_WEIGHTS'!H36*(1-'01_CONTROL'!$B$10))</f>
        <v>0.6</v>
      </c>
      <c r="N36" s="7">
        <f>IF(D36="Positive",'04_THRESHOLDS_WEIGHTS'!I36*(1+'01_CONTROL'!$B$10),'04_THRESHOLDS_WEIGHTS'!I36*(1-'01_CONTROL'!$B$10))</f>
        <v>0.89999999999999991</v>
      </c>
      <c r="O36" s="7">
        <f>IF(D36="Positive",'04_THRESHOLDS_WEIGHTS'!J36*(1+'01_CONTROL'!$B$10),'04_THRESHOLDS_WEIGHTS'!J36*(1-'01_CONTROL'!$B$10))</f>
        <v>1.2</v>
      </c>
      <c r="P36" s="6">
        <f t="shared" si="1"/>
        <v>0.34739067448285155</v>
      </c>
      <c r="Q36" s="6">
        <f>'04_THRESHOLDS_WEIGHTS'!L36</f>
        <v>0.125</v>
      </c>
    </row>
    <row r="37" spans="1:17" ht="15" customHeight="1" x14ac:dyDescent="0.25">
      <c r="A37" s="3" t="s">
        <v>93</v>
      </c>
      <c r="B37" s="3" t="s">
        <v>342</v>
      </c>
      <c r="C37" s="3" t="s">
        <v>343</v>
      </c>
      <c r="D37" s="3" t="s">
        <v>124</v>
      </c>
      <c r="E37" s="7">
        <f>'05_IMPORT_BASELINE'!D37</f>
        <v>0.9681647521388449</v>
      </c>
      <c r="F37" s="6">
        <f>'08_NORMALISATION'!L37</f>
        <v>0.8408237606942246</v>
      </c>
      <c r="G37" s="7">
        <f>IF(D37="Positive",'04_THRESHOLDS_WEIGHTS'!G37*(1-'01_CONTROL'!$B$10),'04_THRESHOLDS_WEIGHTS'!G37*(1+'01_CONTROL'!$B$10))</f>
        <v>0.55999999999999994</v>
      </c>
      <c r="H37" s="7">
        <f>IF(D37="Positive",'04_THRESHOLDS_WEIGHTS'!H37*(1-'01_CONTROL'!$B$10),'04_THRESHOLDS_WEIGHTS'!H37*(1+'01_CONTROL'!$B$10))</f>
        <v>0.68</v>
      </c>
      <c r="I37" s="7">
        <f>IF(D37="Positive",'04_THRESHOLDS_WEIGHTS'!I37*(1-'01_CONTROL'!$B$10),'04_THRESHOLDS_WEIGHTS'!I37*(1+'01_CONTROL'!$B$10))</f>
        <v>0.76</v>
      </c>
      <c r="J37" s="7">
        <f>IF(D37="Positive",'04_THRESHOLDS_WEIGHTS'!J37*(1-'01_CONTROL'!$B$10),'04_THRESHOLDS_WEIGHTS'!J37*(1+'01_CONTROL'!$B$10))</f>
        <v>0.8</v>
      </c>
      <c r="K37" s="6">
        <f t="shared" si="0"/>
        <v>1</v>
      </c>
      <c r="L37" s="7">
        <f>IF(D37="Positive",'04_THRESHOLDS_WEIGHTS'!G37*(1+'01_CONTROL'!$B$10),'04_THRESHOLDS_WEIGHTS'!G37*(1-'01_CONTROL'!$B$10))</f>
        <v>0.84</v>
      </c>
      <c r="M37" s="7">
        <f>IF(D37="Positive",'04_THRESHOLDS_WEIGHTS'!H37*(1+'01_CONTROL'!$B$10),'04_THRESHOLDS_WEIGHTS'!H37*(1-'01_CONTROL'!$B$10))</f>
        <v>1.02</v>
      </c>
      <c r="N37" s="7">
        <f>IF(D37="Positive",'04_THRESHOLDS_WEIGHTS'!I37*(1+'01_CONTROL'!$B$10),'04_THRESHOLDS_WEIGHTS'!I37*(1-'01_CONTROL'!$B$10))</f>
        <v>1.1399999999999999</v>
      </c>
      <c r="O37" s="7">
        <f>IF(D37="Positive",'04_THRESHOLDS_WEIGHTS'!J37*(1+'01_CONTROL'!$B$10),'04_THRESHOLDS_WEIGHTS'!J37*(1-'01_CONTROL'!$B$10))</f>
        <v>1.2</v>
      </c>
      <c r="P37" s="6">
        <f t="shared" si="1"/>
        <v>0.42800660019284009</v>
      </c>
      <c r="Q37" s="6">
        <f>'04_THRESHOLDS_WEIGHTS'!L37</f>
        <v>8.3333333333333329E-2</v>
      </c>
    </row>
    <row r="38" spans="1:17" ht="15" customHeight="1" x14ac:dyDescent="0.25">
      <c r="A38" s="3" t="s">
        <v>99</v>
      </c>
      <c r="B38" s="3" t="s">
        <v>347</v>
      </c>
      <c r="C38" s="3" t="s">
        <v>348</v>
      </c>
      <c r="D38" s="3" t="s">
        <v>124</v>
      </c>
      <c r="E38" s="7">
        <f>'05_IMPORT_BASELINE'!D38</f>
        <v>0.8125</v>
      </c>
      <c r="F38" s="6">
        <f>'08_NORMALISATION'!L38</f>
        <v>0.8125</v>
      </c>
      <c r="G38" s="7">
        <f>IF(D38="Positive",'04_THRESHOLDS_WEIGHTS'!G38*(1-'01_CONTROL'!$B$10),'04_THRESHOLDS_WEIGHTS'!G38*(1+'01_CONTROL'!$B$10))</f>
        <v>0.2</v>
      </c>
      <c r="H38" s="7">
        <f>IF(D38="Positive",'04_THRESHOLDS_WEIGHTS'!H38*(1-'01_CONTROL'!$B$10),'04_THRESHOLDS_WEIGHTS'!H38*(1+'01_CONTROL'!$B$10))</f>
        <v>0.4</v>
      </c>
      <c r="I38" s="7">
        <f>IF(D38="Positive",'04_THRESHOLDS_WEIGHTS'!I38*(1-'01_CONTROL'!$B$10),'04_THRESHOLDS_WEIGHTS'!I38*(1+'01_CONTROL'!$B$10))</f>
        <v>0.60000000000000009</v>
      </c>
      <c r="J38" s="7">
        <f>IF(D38="Positive",'04_THRESHOLDS_WEIGHTS'!J38*(1-'01_CONTROL'!$B$10),'04_THRESHOLDS_WEIGHTS'!J38*(1+'01_CONTROL'!$B$10))</f>
        <v>0.8</v>
      </c>
      <c r="K38" s="6">
        <f t="shared" si="0"/>
        <v>1</v>
      </c>
      <c r="L38" s="7">
        <f>IF(D38="Positive",'04_THRESHOLDS_WEIGHTS'!G38*(1+'01_CONTROL'!$B$10),'04_THRESHOLDS_WEIGHTS'!G38*(1-'01_CONTROL'!$B$10))</f>
        <v>0.3</v>
      </c>
      <c r="M38" s="7">
        <f>IF(D38="Positive",'04_THRESHOLDS_WEIGHTS'!H38*(1+'01_CONTROL'!$B$10),'04_THRESHOLDS_WEIGHTS'!H38*(1-'01_CONTROL'!$B$10))</f>
        <v>0.6</v>
      </c>
      <c r="N38" s="7">
        <f>IF(D38="Positive",'04_THRESHOLDS_WEIGHTS'!I38*(1+'01_CONTROL'!$B$10),'04_THRESHOLDS_WEIGHTS'!I38*(1-'01_CONTROL'!$B$10))</f>
        <v>0.89999999999999991</v>
      </c>
      <c r="O38" s="7">
        <f>IF(D38="Positive",'04_THRESHOLDS_WEIGHTS'!J38*(1+'01_CONTROL'!$B$10),'04_THRESHOLDS_WEIGHTS'!J38*(1-'01_CONTROL'!$B$10))</f>
        <v>1.2</v>
      </c>
      <c r="P38" s="6">
        <f t="shared" si="1"/>
        <v>0.67708333333333337</v>
      </c>
      <c r="Q38" s="6">
        <f>'04_THRESHOLDS_WEIGHTS'!L38</f>
        <v>0.25</v>
      </c>
    </row>
    <row r="39" spans="1:17" ht="15" customHeight="1" x14ac:dyDescent="0.25">
      <c r="A39" s="3" t="s">
        <v>99</v>
      </c>
      <c r="B39" s="3" t="s">
        <v>356</v>
      </c>
      <c r="C39" s="3" t="s">
        <v>357</v>
      </c>
      <c r="D39" s="3" t="s">
        <v>124</v>
      </c>
      <c r="E39" s="7">
        <f>'05_IMPORT_BASELINE'!D39</f>
        <v>0.625</v>
      </c>
      <c r="F39" s="6">
        <f>'08_NORMALISATION'!L39</f>
        <v>0.625</v>
      </c>
      <c r="G39" s="7">
        <f>IF(D39="Positive",'04_THRESHOLDS_WEIGHTS'!G39*(1-'01_CONTROL'!$B$10),'04_THRESHOLDS_WEIGHTS'!G39*(1+'01_CONTROL'!$B$10))</f>
        <v>0.2</v>
      </c>
      <c r="H39" s="7">
        <f>IF(D39="Positive",'04_THRESHOLDS_WEIGHTS'!H39*(1-'01_CONTROL'!$B$10),'04_THRESHOLDS_WEIGHTS'!H39*(1+'01_CONTROL'!$B$10))</f>
        <v>0.4</v>
      </c>
      <c r="I39" s="7">
        <f>IF(D39="Positive",'04_THRESHOLDS_WEIGHTS'!I39*(1-'01_CONTROL'!$B$10),'04_THRESHOLDS_WEIGHTS'!I39*(1+'01_CONTROL'!$B$10))</f>
        <v>0.60000000000000009</v>
      </c>
      <c r="J39" s="7">
        <f>IF(D39="Positive",'04_THRESHOLDS_WEIGHTS'!J39*(1-'01_CONTROL'!$B$10),'04_THRESHOLDS_WEIGHTS'!J39*(1+'01_CONTROL'!$B$10))</f>
        <v>0.8</v>
      </c>
      <c r="K39" s="6">
        <f t="shared" si="0"/>
        <v>0.78124999999999989</v>
      </c>
      <c r="L39" s="7">
        <f>IF(D39="Positive",'04_THRESHOLDS_WEIGHTS'!G39*(1+'01_CONTROL'!$B$10),'04_THRESHOLDS_WEIGHTS'!G39*(1-'01_CONTROL'!$B$10))</f>
        <v>0.3</v>
      </c>
      <c r="M39" s="7">
        <f>IF(D39="Positive",'04_THRESHOLDS_WEIGHTS'!H39*(1+'01_CONTROL'!$B$10),'04_THRESHOLDS_WEIGHTS'!H39*(1-'01_CONTROL'!$B$10))</f>
        <v>0.6</v>
      </c>
      <c r="N39" s="7">
        <f>IF(D39="Positive",'04_THRESHOLDS_WEIGHTS'!I39*(1+'01_CONTROL'!$B$10),'04_THRESHOLDS_WEIGHTS'!I39*(1-'01_CONTROL'!$B$10))</f>
        <v>0.89999999999999991</v>
      </c>
      <c r="O39" s="7">
        <f>IF(D39="Positive",'04_THRESHOLDS_WEIGHTS'!J39*(1+'01_CONTROL'!$B$10),'04_THRESHOLDS_WEIGHTS'!J39*(1-'01_CONTROL'!$B$10))</f>
        <v>1.2</v>
      </c>
      <c r="P39" s="6">
        <f t="shared" si="1"/>
        <v>0.52083333333333337</v>
      </c>
      <c r="Q39" s="6">
        <f>'04_THRESHOLDS_WEIGHTS'!L39</f>
        <v>0.25</v>
      </c>
    </row>
    <row r="40" spans="1:17" ht="15" customHeight="1" x14ac:dyDescent="0.25">
      <c r="A40" s="3" t="s">
        <v>99</v>
      </c>
      <c r="B40" s="3" t="s">
        <v>362</v>
      </c>
      <c r="C40" s="3" t="s">
        <v>363</v>
      </c>
      <c r="D40" s="3" t="s">
        <v>124</v>
      </c>
      <c r="E40" s="7">
        <f>'05_IMPORT_BASELINE'!D40</f>
        <v>0.5</v>
      </c>
      <c r="F40" s="6">
        <f>'08_NORMALISATION'!L40</f>
        <v>0.5</v>
      </c>
      <c r="G40" s="7">
        <f>IF(D40="Positive",'04_THRESHOLDS_WEIGHTS'!G40*(1-'01_CONTROL'!$B$10),'04_THRESHOLDS_WEIGHTS'!G40*(1+'01_CONTROL'!$B$10))</f>
        <v>0.2</v>
      </c>
      <c r="H40" s="7">
        <f>IF(D40="Positive",'04_THRESHOLDS_WEIGHTS'!H40*(1-'01_CONTROL'!$B$10),'04_THRESHOLDS_WEIGHTS'!H40*(1+'01_CONTROL'!$B$10))</f>
        <v>0.4</v>
      </c>
      <c r="I40" s="7">
        <f>IF(D40="Positive",'04_THRESHOLDS_WEIGHTS'!I40*(1-'01_CONTROL'!$B$10),'04_THRESHOLDS_WEIGHTS'!I40*(1+'01_CONTROL'!$B$10))</f>
        <v>0.60000000000000009</v>
      </c>
      <c r="J40" s="7">
        <f>IF(D40="Positive",'04_THRESHOLDS_WEIGHTS'!J40*(1-'01_CONTROL'!$B$10),'04_THRESHOLDS_WEIGHTS'!J40*(1+'01_CONTROL'!$B$10))</f>
        <v>0.8</v>
      </c>
      <c r="K40" s="6">
        <f t="shared" si="0"/>
        <v>0.62499999999999989</v>
      </c>
      <c r="L40" s="7">
        <f>IF(D40="Positive",'04_THRESHOLDS_WEIGHTS'!G40*(1+'01_CONTROL'!$B$10),'04_THRESHOLDS_WEIGHTS'!G40*(1-'01_CONTROL'!$B$10))</f>
        <v>0.3</v>
      </c>
      <c r="M40" s="7">
        <f>IF(D40="Positive",'04_THRESHOLDS_WEIGHTS'!H40*(1+'01_CONTROL'!$B$10),'04_THRESHOLDS_WEIGHTS'!H40*(1-'01_CONTROL'!$B$10))</f>
        <v>0.6</v>
      </c>
      <c r="N40" s="7">
        <f>IF(D40="Positive",'04_THRESHOLDS_WEIGHTS'!I40*(1+'01_CONTROL'!$B$10),'04_THRESHOLDS_WEIGHTS'!I40*(1-'01_CONTROL'!$B$10))</f>
        <v>0.89999999999999991</v>
      </c>
      <c r="O40" s="7">
        <f>IF(D40="Positive",'04_THRESHOLDS_WEIGHTS'!J40*(1+'01_CONTROL'!$B$10),'04_THRESHOLDS_WEIGHTS'!J40*(1-'01_CONTROL'!$B$10))</f>
        <v>1.2</v>
      </c>
      <c r="P40" s="6">
        <f t="shared" si="1"/>
        <v>0.41666666666666669</v>
      </c>
      <c r="Q40" s="6">
        <f>'04_THRESHOLDS_WEIGHTS'!L40</f>
        <v>0.25</v>
      </c>
    </row>
    <row r="41" spans="1:17" ht="15" customHeight="1" x14ac:dyDescent="0.25">
      <c r="A41" s="3" t="s">
        <v>99</v>
      </c>
      <c r="B41" s="3" t="s">
        <v>368</v>
      </c>
      <c r="C41" s="3" t="s">
        <v>369</v>
      </c>
      <c r="D41" s="3" t="s">
        <v>124</v>
      </c>
      <c r="E41" s="7">
        <f>'05_IMPORT_BASELINE'!D41</f>
        <v>0.4375</v>
      </c>
      <c r="F41" s="6">
        <f>'08_NORMALISATION'!L41</f>
        <v>0.4375</v>
      </c>
      <c r="G41" s="7">
        <f>IF(D41="Positive",'04_THRESHOLDS_WEIGHTS'!G41*(1-'01_CONTROL'!$B$10),'04_THRESHOLDS_WEIGHTS'!G41*(1+'01_CONTROL'!$B$10))</f>
        <v>0.2</v>
      </c>
      <c r="H41" s="7">
        <f>IF(D41="Positive",'04_THRESHOLDS_WEIGHTS'!H41*(1-'01_CONTROL'!$B$10),'04_THRESHOLDS_WEIGHTS'!H41*(1+'01_CONTROL'!$B$10))</f>
        <v>0.4</v>
      </c>
      <c r="I41" s="7">
        <f>IF(D41="Positive",'04_THRESHOLDS_WEIGHTS'!I41*(1-'01_CONTROL'!$B$10),'04_THRESHOLDS_WEIGHTS'!I41*(1+'01_CONTROL'!$B$10))</f>
        <v>0.60000000000000009</v>
      </c>
      <c r="J41" s="7">
        <f>IF(D41="Positive",'04_THRESHOLDS_WEIGHTS'!J41*(1-'01_CONTROL'!$B$10),'04_THRESHOLDS_WEIGHTS'!J41*(1+'01_CONTROL'!$B$10))</f>
        <v>0.8</v>
      </c>
      <c r="K41" s="6">
        <f t="shared" si="0"/>
        <v>0.546875</v>
      </c>
      <c r="L41" s="7">
        <f>IF(D41="Positive",'04_THRESHOLDS_WEIGHTS'!G41*(1+'01_CONTROL'!$B$10),'04_THRESHOLDS_WEIGHTS'!G41*(1-'01_CONTROL'!$B$10))</f>
        <v>0.3</v>
      </c>
      <c r="M41" s="7">
        <f>IF(D41="Positive",'04_THRESHOLDS_WEIGHTS'!H41*(1+'01_CONTROL'!$B$10),'04_THRESHOLDS_WEIGHTS'!H41*(1-'01_CONTROL'!$B$10))</f>
        <v>0.6</v>
      </c>
      <c r="N41" s="7">
        <f>IF(D41="Positive",'04_THRESHOLDS_WEIGHTS'!I41*(1+'01_CONTROL'!$B$10),'04_THRESHOLDS_WEIGHTS'!I41*(1-'01_CONTROL'!$B$10))</f>
        <v>0.89999999999999991</v>
      </c>
      <c r="O41" s="7">
        <f>IF(D41="Positive",'04_THRESHOLDS_WEIGHTS'!J41*(1+'01_CONTROL'!$B$10),'04_THRESHOLDS_WEIGHTS'!J41*(1-'01_CONTROL'!$B$10))</f>
        <v>1.2</v>
      </c>
      <c r="P41" s="6">
        <f t="shared" si="1"/>
        <v>0.36458333333333337</v>
      </c>
      <c r="Q41" s="6">
        <f>'04_THRESHOLDS_WEIGHTS'!L41</f>
        <v>0.25</v>
      </c>
    </row>
    <row r="45" spans="1:17" ht="30" x14ac:dyDescent="0.25">
      <c r="A45" s="1" t="s">
        <v>60</v>
      </c>
      <c r="B45" s="1" t="s">
        <v>702</v>
      </c>
      <c r="C45" s="1" t="s">
        <v>703</v>
      </c>
      <c r="D45" s="1" t="s">
        <v>704</v>
      </c>
      <c r="E45" s="1" t="s">
        <v>705</v>
      </c>
    </row>
    <row r="46" spans="1:17" x14ac:dyDescent="0.25">
      <c r="A46" s="3" t="s">
        <v>67</v>
      </c>
      <c r="B46" s="6">
        <f>'09_BASELINE_RESULTS'!C4</f>
        <v>0.59980884489797603</v>
      </c>
      <c r="C46" s="6">
        <f>AVERAGE(AVERAGE('13_THRESHOLD_SENSITIVITY'!K4,'13_THRESHOLD_SENSITIVITY'!K5),AVERAGE('13_THRESHOLD_SENSITIVITY'!K6),AVERAGE('13_THRESHOLD_SENSITIVITY'!K7),AVERAGE('13_THRESHOLD_SENSITIVITY'!K8,'13_THRESHOLD_SENSITIVITY'!K9))</f>
        <v>0.71494122716061925</v>
      </c>
      <c r="D46" s="6">
        <f>AVERAGE(AVERAGE('13_THRESHOLD_SENSITIVITY'!P4,'13_THRESHOLD_SENSITIVITY'!P5),AVERAGE('13_THRESHOLD_SENSITIVITY'!P6),AVERAGE('13_THRESHOLD_SENSITIVITY'!P7),AVERAGE('13_THRESHOLD_SENSITIVITY'!P8,'13_THRESHOLD_SENSITIVITY'!P9))</f>
        <v>0.42969148542096663</v>
      </c>
      <c r="E46" s="6">
        <f t="shared" ref="E46:E51" si="2">C46-D46</f>
        <v>0.28524974173965262</v>
      </c>
    </row>
    <row r="47" spans="1:17" x14ac:dyDescent="0.25">
      <c r="A47" s="3" t="s">
        <v>76</v>
      </c>
      <c r="B47" s="6">
        <f>'09_BASELINE_RESULTS'!C5</f>
        <v>0.8578087490579297</v>
      </c>
      <c r="C47" s="6">
        <f>AVERAGE(AVERAGE('13_THRESHOLD_SENSITIVITY'!K10,'13_THRESHOLD_SENSITIVITY'!K11),AVERAGE('13_THRESHOLD_SENSITIVITY'!K12),AVERAGE('13_THRESHOLD_SENSITIVITY'!K13),AVERAGE('13_THRESHOLD_SENSITIVITY'!K14))</f>
        <v>0.98888812145431149</v>
      </c>
      <c r="D47" s="6">
        <f>AVERAGE(AVERAGE('13_THRESHOLD_SENSITIVITY'!P10,'13_THRESHOLD_SENSITIVITY'!P11),AVERAGE('13_THRESHOLD_SENSITIVITY'!P12),AVERAGE('13_THRESHOLD_SENSITIVITY'!P13),AVERAGE('13_THRESHOLD_SENSITIVITY'!P14))</f>
        <v>0.61947230033677736</v>
      </c>
      <c r="E47" s="6">
        <f t="shared" si="2"/>
        <v>0.36941582111753413</v>
      </c>
    </row>
    <row r="48" spans="1:17" x14ac:dyDescent="0.25">
      <c r="A48" s="3" t="s">
        <v>82</v>
      </c>
      <c r="B48" s="6">
        <f>'09_BASELINE_RESULTS'!C6</f>
        <v>0.79300252531597537</v>
      </c>
      <c r="C48" s="6">
        <f>AVERAGE(AVERAGE('13_THRESHOLD_SENSITIVITY'!K15,'13_THRESHOLD_SENSITIVITY'!K16),AVERAGE('13_THRESHOLD_SENSITIVITY'!K17,'13_THRESHOLD_SENSITIVITY'!K18,'13_THRESHOLD_SENSITIVITY'!K19))</f>
        <v>0.85800141825148746</v>
      </c>
      <c r="D48" s="6">
        <f>AVERAGE(AVERAGE('13_THRESHOLD_SENSITIVITY'!P15,'13_THRESHOLD_SENSITIVITY'!P16),AVERAGE('13_THRESHOLD_SENSITIVITY'!P17,'13_THRESHOLD_SENSITIVITY'!P18,'13_THRESHOLD_SENSITIVITY'!P19))</f>
        <v>0.58488975892054751</v>
      </c>
      <c r="E48" s="6">
        <f t="shared" si="2"/>
        <v>0.27311165933093995</v>
      </c>
    </row>
    <row r="49" spans="1:11" x14ac:dyDescent="0.25">
      <c r="A49" s="3" t="s">
        <v>87</v>
      </c>
      <c r="B49" s="6">
        <f>'09_BASELINE_RESULTS'!C7</f>
        <v>0.67098652506316625</v>
      </c>
      <c r="C49" s="6">
        <f>AVERAGE(AVERAGE('13_THRESHOLD_SENSITIVITY'!K20,'13_THRESHOLD_SENSITIVITY'!K21,'13_THRESHOLD_SENSITIVITY'!K22),AVERAGE('13_THRESHOLD_SENSITIVITY'!K23,'13_THRESHOLD_SENSITIVITY'!K24,'13_THRESHOLD_SENSITIVITY'!K25),AVERAGE('13_THRESHOLD_SENSITIVITY'!K26),AVERAGE('13_THRESHOLD_SENSITIVITY'!K27))</f>
        <v>0.75489398891637127</v>
      </c>
      <c r="D49" s="6">
        <f>AVERAGE(AVERAGE('13_THRESHOLD_SENSITIVITY'!P20,'13_THRESHOLD_SENSITIVITY'!P21,'13_THRESHOLD_SENSITIVITY'!P22),AVERAGE('13_THRESHOLD_SENSITIVITY'!P23,'13_THRESHOLD_SENSITIVITY'!P24,'13_THRESHOLD_SENSITIVITY'!P25),AVERAGE('13_THRESHOLD_SENSITIVITY'!P26),AVERAGE('13_THRESHOLD_SENSITIVITY'!P27))</f>
        <v>0.57404829405296054</v>
      </c>
      <c r="E49" s="6">
        <f t="shared" si="2"/>
        <v>0.18084569486341073</v>
      </c>
    </row>
    <row r="50" spans="1:11" x14ac:dyDescent="0.25">
      <c r="A50" s="3" t="s">
        <v>93</v>
      </c>
      <c r="B50" s="6">
        <f>'09_BASELINE_RESULTS'!C8</f>
        <v>0.59489976205198325</v>
      </c>
      <c r="C50" s="6">
        <f>AVERAGE(AVERAGE('13_THRESHOLD_SENSITIVITY'!K28,'13_THRESHOLD_SENSITIVITY'!K29,'13_THRESHOLD_SENSITIVITY'!K30),AVERAGE('13_THRESHOLD_SENSITIVITY'!K31,'13_THRESHOLD_SENSITIVITY'!K32),AVERAGE('13_THRESHOLD_SENSITIVITY'!K33,'13_THRESHOLD_SENSITIVITY'!K34,'13_THRESHOLD_SENSITIVITY'!K37),AVERAGE('13_THRESHOLD_SENSITIVITY'!K35,'13_THRESHOLD_SENSITIVITY'!K36))</f>
        <v>0.71073204832260273</v>
      </c>
      <c r="D50" s="6">
        <f>AVERAGE(AVERAGE('13_THRESHOLD_SENSITIVITY'!P28,'13_THRESHOLD_SENSITIVITY'!P29,'13_THRESHOLD_SENSITIVITY'!P30),AVERAGE('13_THRESHOLD_SENSITIVITY'!P31,'13_THRESHOLD_SENSITIVITY'!P32),AVERAGE('13_THRESHOLD_SENSITIVITY'!P33,'13_THRESHOLD_SENSITIVITY'!P34,'13_THRESHOLD_SENSITIVITY'!P37),AVERAGE('13_THRESHOLD_SENSITIVITY'!P35,'13_THRESHOLD_SENSITIVITY'!P36))</f>
        <v>0.4038745962894299</v>
      </c>
      <c r="E50" s="6">
        <f t="shared" si="2"/>
        <v>0.30685745203317283</v>
      </c>
    </row>
    <row r="51" spans="1:11" x14ac:dyDescent="0.25">
      <c r="A51" s="3" t="s">
        <v>99</v>
      </c>
      <c r="B51" s="6">
        <f>'09_BASELINE_RESULTS'!C9</f>
        <v>0.59375</v>
      </c>
      <c r="C51" s="6">
        <f>AVERAGE(AVERAGE('13_THRESHOLD_SENSITIVITY'!K38),AVERAGE('13_THRESHOLD_SENSITIVITY'!K39),AVERAGE('13_THRESHOLD_SENSITIVITY'!K40),AVERAGE('13_THRESHOLD_SENSITIVITY'!K41))</f>
        <v>0.73828125</v>
      </c>
      <c r="D51" s="6">
        <f>AVERAGE(AVERAGE('13_THRESHOLD_SENSITIVITY'!P38),AVERAGE('13_THRESHOLD_SENSITIVITY'!P39),AVERAGE('13_THRESHOLD_SENSITIVITY'!P40),AVERAGE('13_THRESHOLD_SENSITIVITY'!P41))</f>
        <v>0.49479166666666674</v>
      </c>
      <c r="E51" s="6">
        <f t="shared" si="2"/>
        <v>0.24348958333333326</v>
      </c>
    </row>
    <row r="54" spans="1:11" ht="30" x14ac:dyDescent="0.25">
      <c r="A54" s="1" t="s">
        <v>706</v>
      </c>
      <c r="B54" s="1" t="s">
        <v>707</v>
      </c>
      <c r="C54" s="1" t="s">
        <v>605</v>
      </c>
      <c r="D54" s="1" t="s">
        <v>708</v>
      </c>
      <c r="E54" s="1" t="s">
        <v>709</v>
      </c>
      <c r="F54" s="1" t="s">
        <v>710</v>
      </c>
      <c r="G54" s="11" t="s">
        <v>616</v>
      </c>
      <c r="H54" s="11"/>
      <c r="I54" s="11"/>
      <c r="J54" s="11"/>
      <c r="K54" s="11"/>
    </row>
    <row r="55" spans="1:11" ht="15" customHeight="1" x14ac:dyDescent="0.25">
      <c r="A55" s="3" t="s">
        <v>711</v>
      </c>
      <c r="B55" s="6">
        <f>AVERAGE(B46:B51)</f>
        <v>0.68504273439783836</v>
      </c>
      <c r="C55" s="6" t="str">
        <f>IF(NOT(ISNUMBER(B55)),"",IF(B55&lt;0.25,"Low",IF(B55&lt;0.5,"Moderate",IF(B55&lt;0.75,"Good","Excellent"))))</f>
        <v>Good</v>
      </c>
      <c r="D55" s="6">
        <f>B55-B55</f>
        <v>0</v>
      </c>
      <c r="E55" s="6">
        <f>MIN(B46:B51)</f>
        <v>0.59375</v>
      </c>
      <c r="F55" s="6">
        <f>MAX(B46:B51)</f>
        <v>0.8578087490579297</v>
      </c>
      <c r="G55" s="12" t="s">
        <v>712</v>
      </c>
      <c r="H55" s="12"/>
      <c r="I55" s="12"/>
      <c r="J55" s="12"/>
      <c r="K55" s="12"/>
    </row>
    <row r="56" spans="1:11" ht="15" customHeight="1" x14ac:dyDescent="0.25">
      <c r="A56" s="3" t="s">
        <v>703</v>
      </c>
      <c r="B56" s="6">
        <f>AVERAGE(C46:C51)</f>
        <v>0.79428967568423203</v>
      </c>
      <c r="C56" s="6" t="str">
        <f>IF(NOT(ISNUMBER(B56)),"",IF(B56&lt;0.25,"Low",IF(B56&lt;0.5,"Moderate",IF(B56&lt;0.75,"Good","Excellent"))))</f>
        <v>Excellent</v>
      </c>
      <c r="D56" s="6">
        <f>B56-B55</f>
        <v>0.10924694128639367</v>
      </c>
      <c r="E56" s="6">
        <f>MIN(C46:C51)</f>
        <v>0.71073204832260273</v>
      </c>
      <c r="F56" s="6">
        <f>MAX(C46:C51)</f>
        <v>0.98888812145431149</v>
      </c>
      <c r="G56" s="12" t="s">
        <v>712</v>
      </c>
      <c r="H56" s="12"/>
      <c r="I56" s="12"/>
      <c r="J56" s="12"/>
      <c r="K56" s="12"/>
    </row>
    <row r="57" spans="1:11" ht="15" customHeight="1" x14ac:dyDescent="0.25">
      <c r="A57" s="3" t="s">
        <v>704</v>
      </c>
      <c r="B57" s="6">
        <f>AVERAGE(D46:D51)</f>
        <v>0.51779468361455816</v>
      </c>
      <c r="C57" s="6" t="str">
        <f>IF(NOT(ISNUMBER(B57)),"",IF(B57&lt;0.25,"Low",IF(B57&lt;0.5,"Moderate",IF(B57&lt;0.75,"Good","Excellent"))))</f>
        <v>Good</v>
      </c>
      <c r="D57" s="6">
        <f>B57-B55</f>
        <v>-0.1672480507832802</v>
      </c>
      <c r="E57" s="6">
        <f>MIN(D46:D51)</f>
        <v>0.4038745962894299</v>
      </c>
      <c r="F57" s="6">
        <f>MAX(D46:D51)</f>
        <v>0.61947230033677736</v>
      </c>
      <c r="G57" s="12" t="s">
        <v>712</v>
      </c>
      <c r="H57" s="12"/>
      <c r="I57" s="12"/>
      <c r="J57" s="12"/>
      <c r="K57" s="12"/>
    </row>
  </sheetData>
  <mergeCells count="5">
    <mergeCell ref="A1:Q1"/>
    <mergeCell ref="G54:K54"/>
    <mergeCell ref="G55:K55"/>
    <mergeCell ref="G56:K56"/>
    <mergeCell ref="G57:K5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1"/>
  <sheetViews>
    <sheetView showGridLines="0" topLeftCell="A22" workbookViewId="0">
      <selection activeCell="L53" sqref="L53"/>
    </sheetView>
  </sheetViews>
  <sheetFormatPr defaultRowHeight="15" x14ac:dyDescent="0.25"/>
  <cols>
    <col min="1" max="2" width="18" customWidth="1"/>
    <col min="3" max="3" width="36" customWidth="1"/>
    <col min="4" max="11" width="18" customWidth="1"/>
    <col min="12" max="12" width="52" customWidth="1"/>
  </cols>
  <sheetData>
    <row r="1" spans="1:12" ht="27" customHeight="1" x14ac:dyDescent="0.25">
      <c r="A1" s="10" t="s">
        <v>713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3" spans="1:12" ht="45" x14ac:dyDescent="0.25">
      <c r="A3" s="1" t="s">
        <v>714</v>
      </c>
      <c r="B3" s="1" t="s">
        <v>715</v>
      </c>
      <c r="C3" s="1" t="s">
        <v>106</v>
      </c>
      <c r="D3" s="1" t="s">
        <v>716</v>
      </c>
      <c r="E3" s="1" t="s">
        <v>717</v>
      </c>
      <c r="F3" s="1" t="s">
        <v>718</v>
      </c>
      <c r="G3" s="1" t="s">
        <v>719</v>
      </c>
      <c r="H3" s="1" t="s">
        <v>605</v>
      </c>
      <c r="I3" s="1" t="s">
        <v>720</v>
      </c>
      <c r="J3" s="1" t="s">
        <v>721</v>
      </c>
      <c r="K3" s="1" t="s">
        <v>722</v>
      </c>
      <c r="L3" s="1" t="s">
        <v>616</v>
      </c>
    </row>
    <row r="4" spans="1:12" ht="15" customHeight="1" x14ac:dyDescent="0.25">
      <c r="A4" s="3" t="s">
        <v>67</v>
      </c>
      <c r="B4" s="3" t="s">
        <v>121</v>
      </c>
      <c r="C4" s="3" t="s">
        <v>122</v>
      </c>
      <c r="D4" s="6">
        <f>'09_BASELINE_RESULTS'!C13</f>
        <v>0.68504273439783836</v>
      </c>
      <c r="E4" s="6">
        <f>AVERAGE(AVERAGE('08_NORMALISATION'!L5),AVERAGE('08_NORMALISATION'!L6),AVERAGE('08_NORMALISATION'!L7),AVERAGE('08_NORMALISATION'!L8,'08_NORMALISATION'!L9))</f>
        <v>0.61421242667412002</v>
      </c>
      <c r="F4" s="6">
        <f>AVERAGE(E4,'09_BASELINE_RESULTS'!C5,'09_BASELINE_RESULTS'!C6,'09_BASELINE_RESULTS'!C7,'09_BASELINE_RESULTS'!C8,'09_BASELINE_RESULTS'!C9)</f>
        <v>0.68744333136052915</v>
      </c>
      <c r="G4" s="6">
        <f t="shared" ref="G4:G41" si="0">F4-D4</f>
        <v>2.400596962690793E-3</v>
      </c>
      <c r="H4" s="6" t="str">
        <f t="shared" ref="H4:H41" si="1">IF(NOT(ISNUMBER(F4)),"",IF(F4&lt;0.25,"Low",IF(F4&lt;0.5,"Moderate",IF(F4&lt;0.75,"Good","Excellent"))))</f>
        <v>Good</v>
      </c>
      <c r="I4" s="6">
        <f>'09_BASELINE_RESULTS'!B13</f>
        <v>0.68705337898623065</v>
      </c>
      <c r="J4" s="6">
        <f>AVERAGE(AVERAGE('08_NORMALISATION'!L5,'08_NORMALISATION'!L6,'08_NORMALISATION'!L7,'08_NORMALISATION'!L8,'08_NORMALISATION'!L9),'09_BASELINE_RESULTS'!B5,'09_BASELINE_RESULTS'!B6,'09_BASELINE_RESULTS'!B7,'09_BASELINE_RESULTS'!B8,'09_BASELINE_RESULTS'!B9)</f>
        <v>0.68550552805545661</v>
      </c>
      <c r="K4" s="6">
        <f t="shared" ref="K4:K41" si="2">J4-I4</f>
        <v>-1.5478509307740307E-3</v>
      </c>
      <c r="L4" s="2" t="s">
        <v>723</v>
      </c>
    </row>
    <row r="5" spans="1:12" ht="15" customHeight="1" x14ac:dyDescent="0.25">
      <c r="A5" s="3" t="s">
        <v>67</v>
      </c>
      <c r="B5" s="3" t="s">
        <v>133</v>
      </c>
      <c r="C5" s="3" t="s">
        <v>134</v>
      </c>
      <c r="D5" s="6">
        <f>'09_BASELINE_RESULTS'!C13</f>
        <v>0.68504273439783836</v>
      </c>
      <c r="E5" s="6">
        <f>AVERAGE(AVERAGE('08_NORMALISATION'!L4),AVERAGE('08_NORMALISATION'!L6),AVERAGE('08_NORMALISATION'!L7),AVERAGE('08_NORMALISATION'!L8,'08_NORMALISATION'!L9))</f>
        <v>0.58540526312183205</v>
      </c>
      <c r="F5" s="6">
        <f>AVERAGE(E5,'09_BASELINE_RESULTS'!C5,'09_BASELINE_RESULTS'!C6,'09_BASELINE_RESULTS'!C7,'09_BASELINE_RESULTS'!C8,'09_BASELINE_RESULTS'!C9)</f>
        <v>0.68264213743514779</v>
      </c>
      <c r="G5" s="6">
        <f t="shared" si="0"/>
        <v>-2.400596962690571E-3</v>
      </c>
      <c r="H5" s="6" t="str">
        <f t="shared" si="1"/>
        <v>Good</v>
      </c>
      <c r="I5" s="6">
        <f>'09_BASELINE_RESULTS'!B13</f>
        <v>0.68705337898623065</v>
      </c>
      <c r="J5" s="6">
        <f>AVERAGE(AVERAGE('08_NORMALISATION'!L4,'08_NORMALISATION'!L6,'08_NORMALISATION'!L7,'08_NORMALISATION'!L8,'08_NORMALISATION'!L9),'09_BASELINE_RESULTS'!B5,'09_BASELINE_RESULTS'!B6,'09_BASELINE_RESULTS'!B7,'09_BASELINE_RESULTS'!B8,'09_BASELINE_RESULTS'!B9)</f>
        <v>0.6816645729151517</v>
      </c>
      <c r="K5" s="6">
        <f t="shared" si="2"/>
        <v>-5.3888060710789443E-3</v>
      </c>
      <c r="L5" s="2" t="s">
        <v>723</v>
      </c>
    </row>
    <row r="6" spans="1:12" ht="15" customHeight="1" x14ac:dyDescent="0.25">
      <c r="A6" s="3" t="s">
        <v>67</v>
      </c>
      <c r="B6" s="3" t="s">
        <v>138</v>
      </c>
      <c r="C6" s="3" t="s">
        <v>139</v>
      </c>
      <c r="D6" s="6">
        <f>'09_BASELINE_RESULTS'!C13</f>
        <v>0.68504273439783836</v>
      </c>
      <c r="E6" s="6">
        <f>AVERAGE(AVERAGE('08_NORMALISATION'!L4,'08_NORMALISATION'!L5),AVERAGE('08_NORMALISATION'!L7),AVERAGE('08_NORMALISATION'!L8,'08_NORMALISATION'!L9))</f>
        <v>0.59141179319730142</v>
      </c>
      <c r="F6" s="6">
        <f>AVERAGE(E6,'09_BASELINE_RESULTS'!C5,'09_BASELINE_RESULTS'!C6,'09_BASELINE_RESULTS'!C7,'09_BASELINE_RESULTS'!C8,'09_BASELINE_RESULTS'!C9)</f>
        <v>0.68364322578105929</v>
      </c>
      <c r="G6" s="6">
        <f t="shared" si="0"/>
        <v>-1.399508616779066E-3</v>
      </c>
      <c r="H6" s="6" t="str">
        <f t="shared" si="1"/>
        <v>Good</v>
      </c>
      <c r="I6" s="6">
        <f>'09_BASELINE_RESULTS'!B13</f>
        <v>0.68705337898623065</v>
      </c>
      <c r="J6" s="6">
        <f>AVERAGE(AVERAGE('08_NORMALISATION'!L4,'08_NORMALISATION'!L5,'08_NORMALISATION'!L7,'08_NORMALISATION'!L8,'08_NORMALISATION'!L9),'09_BASELINE_RESULTS'!B5,'09_BASELINE_RESULTS'!B6,'09_BASELINE_RESULTS'!B7,'09_BASELINE_RESULTS'!B8,'09_BASELINE_RESULTS'!B9)</f>
        <v>0.68654719472212322</v>
      </c>
      <c r="K6" s="6">
        <f t="shared" si="2"/>
        <v>-5.0618426410742323E-4</v>
      </c>
      <c r="L6" s="2" t="s">
        <v>723</v>
      </c>
    </row>
    <row r="7" spans="1:12" ht="15" customHeight="1" x14ac:dyDescent="0.25">
      <c r="A7" s="3" t="s">
        <v>67</v>
      </c>
      <c r="B7" s="3" t="s">
        <v>147</v>
      </c>
      <c r="C7" s="3" t="s">
        <v>148</v>
      </c>
      <c r="D7" s="6">
        <f>'09_BASELINE_RESULTS'!C13</f>
        <v>0.68504273439783836</v>
      </c>
      <c r="E7" s="6">
        <f>AVERAGE(AVERAGE('08_NORMALISATION'!L4,'08_NORMALISATION'!L5),AVERAGE('08_NORMALISATION'!L6),AVERAGE('08_NORMALISATION'!L8,'08_NORMALISATION'!L9))</f>
        <v>0.62821715095625574</v>
      </c>
      <c r="F7" s="6">
        <f>AVERAGE(E7,'09_BASELINE_RESULTS'!C5,'09_BASELINE_RESULTS'!C6,'09_BASELINE_RESULTS'!C7,'09_BASELINE_RESULTS'!C8,'09_BASELINE_RESULTS'!C9)</f>
        <v>0.68977745207421837</v>
      </c>
      <c r="G7" s="6">
        <f t="shared" si="0"/>
        <v>4.734717676380007E-3</v>
      </c>
      <c r="H7" s="6" t="str">
        <f t="shared" si="1"/>
        <v>Good</v>
      </c>
      <c r="I7" s="6">
        <f>'09_BASELINE_RESULTS'!B13</f>
        <v>0.68705337898623065</v>
      </c>
      <c r="J7" s="6">
        <f>AVERAGE(AVERAGE('08_NORMALISATION'!L4,'08_NORMALISATION'!L5,'08_NORMALISATION'!L6,'08_NORMALISATION'!L8,'08_NORMALISATION'!L9),'09_BASELINE_RESULTS'!B5,'09_BASELINE_RESULTS'!B6,'09_BASELINE_RESULTS'!B7,'09_BASELINE_RESULTS'!B8,'09_BASELINE_RESULTS'!B9)</f>
        <v>0.69022773049801867</v>
      </c>
      <c r="K7" s="6">
        <f t="shared" si="2"/>
        <v>3.1743515117880206E-3</v>
      </c>
      <c r="L7" s="2" t="s">
        <v>723</v>
      </c>
    </row>
    <row r="8" spans="1:12" ht="15" customHeight="1" x14ac:dyDescent="0.25">
      <c r="A8" s="3" t="s">
        <v>67</v>
      </c>
      <c r="B8" s="3" t="s">
        <v>156</v>
      </c>
      <c r="C8" s="3" t="s">
        <v>157</v>
      </c>
      <c r="D8" s="6">
        <f>'09_BASELINE_RESULTS'!C13</f>
        <v>0.68504273439783836</v>
      </c>
      <c r="E8" s="6">
        <f>AVERAGE(AVERAGE('08_NORMALISATION'!L4,'08_NORMALISATION'!L5),AVERAGE('08_NORMALISATION'!L6),AVERAGE('08_NORMALISATION'!L7),AVERAGE('08_NORMALISATION'!L9))</f>
        <v>0.54587715833811756</v>
      </c>
      <c r="F8" s="6">
        <f>AVERAGE(E8,'09_BASELINE_RESULTS'!C5,'09_BASELINE_RESULTS'!C6,'09_BASELINE_RESULTS'!C7,'09_BASELINE_RESULTS'!C8,'09_BASELINE_RESULTS'!C9)</f>
        <v>0.67605411997119536</v>
      </c>
      <c r="G8" s="6">
        <f t="shared" si="0"/>
        <v>-8.9886144266430046E-3</v>
      </c>
      <c r="H8" s="6" t="str">
        <f t="shared" si="1"/>
        <v>Good</v>
      </c>
      <c r="I8" s="6">
        <f>'09_BASELINE_RESULTS'!B13</f>
        <v>0.68705337898623065</v>
      </c>
      <c r="J8" s="6">
        <f>AVERAGE(AVERAGE('08_NORMALISATION'!L4,'08_NORMALISATION'!L5,'08_NORMALISATION'!L6,'08_NORMALISATION'!L7,'08_NORMALISATION'!L9),'09_BASELINE_RESULTS'!B5,'09_BASELINE_RESULTS'!B6,'09_BASELINE_RESULTS'!B7,'09_BASELINE_RESULTS'!B8,'09_BASELINE_RESULTS'!B9)</f>
        <v>0.68199673232200253</v>
      </c>
      <c r="K8" s="6">
        <f t="shared" si="2"/>
        <v>-5.0566466642281149E-3</v>
      </c>
      <c r="L8" s="2" t="s">
        <v>723</v>
      </c>
    </row>
    <row r="9" spans="1:12" ht="15" customHeight="1" x14ac:dyDescent="0.25">
      <c r="A9" s="3" t="s">
        <v>67</v>
      </c>
      <c r="B9" s="3" t="s">
        <v>165</v>
      </c>
      <c r="C9" s="3" t="s">
        <v>166</v>
      </c>
      <c r="D9" s="6">
        <f>'09_BASELINE_RESULTS'!C13</f>
        <v>0.68504273439783836</v>
      </c>
      <c r="E9" s="6">
        <f>AVERAGE(AVERAGE('08_NORMALISATION'!L4,'08_NORMALISATION'!L5),AVERAGE('08_NORMALISATION'!L6),AVERAGE('08_NORMALISATION'!L7),AVERAGE('08_NORMALISATION'!L8))</f>
        <v>0.6537405314578344</v>
      </c>
      <c r="F9" s="6">
        <f>AVERAGE(E9,'09_BASELINE_RESULTS'!C5,'09_BASELINE_RESULTS'!C6,'09_BASELINE_RESULTS'!C7,'09_BASELINE_RESULTS'!C8,'09_BASELINE_RESULTS'!C9)</f>
        <v>0.69403134882448148</v>
      </c>
      <c r="G9" s="6">
        <f t="shared" si="0"/>
        <v>8.9886144266431156E-3</v>
      </c>
      <c r="H9" s="6" t="str">
        <f t="shared" si="1"/>
        <v>Good</v>
      </c>
      <c r="I9" s="6">
        <f>'09_BASELINE_RESULTS'!B13</f>
        <v>0.68705337898623065</v>
      </c>
      <c r="J9" s="6">
        <f>AVERAGE(AVERAGE('08_NORMALISATION'!L4,'08_NORMALISATION'!L5,'08_NORMALISATION'!L6,'08_NORMALISATION'!L7,'08_NORMALISATION'!L8),'09_BASELINE_RESULTS'!B5,'09_BASELINE_RESULTS'!B6,'09_BASELINE_RESULTS'!B7,'09_BASELINE_RESULTS'!B8,'09_BASELINE_RESULTS'!B9)</f>
        <v>0.69637851540463147</v>
      </c>
      <c r="K9" s="6">
        <f t="shared" si="2"/>
        <v>9.3251364184008256E-3</v>
      </c>
      <c r="L9" s="2" t="s">
        <v>723</v>
      </c>
    </row>
    <row r="10" spans="1:12" ht="15" customHeight="1" x14ac:dyDescent="0.25">
      <c r="A10" s="3" t="s">
        <v>76</v>
      </c>
      <c r="B10" s="3" t="s">
        <v>171</v>
      </c>
      <c r="C10" s="3" t="s">
        <v>172</v>
      </c>
      <c r="D10" s="6">
        <f>'09_BASELINE_RESULTS'!C13</f>
        <v>0.68504273439783836</v>
      </c>
      <c r="E10" s="6">
        <f>AVERAGE(AVERAGE('08_NORMALISATION'!L11),AVERAGE('08_NORMALISATION'!L12),AVERAGE('08_NORMALISATION'!L13),AVERAGE('08_NORMALISATION'!L14))</f>
        <v>0.8572953011287292</v>
      </c>
      <c r="F10" s="6">
        <f>AVERAGE(E10,'09_BASELINE_RESULTS'!C4,'09_BASELINE_RESULTS'!C6,'09_BASELINE_RESULTS'!C7,'09_BASELINE_RESULTS'!C8,'09_BASELINE_RESULTS'!C9)</f>
        <v>0.68495715974297167</v>
      </c>
      <c r="G10" s="6">
        <f t="shared" si="0"/>
        <v>-8.5574654866693578E-5</v>
      </c>
      <c r="H10" s="6" t="str">
        <f t="shared" si="1"/>
        <v>Good</v>
      </c>
      <c r="I10" s="6">
        <f>'09_BASELINE_RESULTS'!B13</f>
        <v>0.68705337898623065</v>
      </c>
      <c r="J10" s="6">
        <f>AVERAGE(AVERAGE('08_NORMALISATION'!L11,'08_NORMALISATION'!L12,'08_NORMALISATION'!L13,'08_NORMALISATION'!L14),'09_BASELINE_RESULTS'!B4,'09_BASELINE_RESULTS'!B6,'09_BASELINE_RESULTS'!B7,'09_BASELINE_RESULTS'!B8,'09_BASELINE_RESULTS'!B9)</f>
        <v>0.68255697235718837</v>
      </c>
      <c r="K10" s="6">
        <f t="shared" si="2"/>
        <v>-4.4964066290422711E-3</v>
      </c>
      <c r="L10" s="2" t="s">
        <v>723</v>
      </c>
    </row>
    <row r="11" spans="1:12" ht="15" customHeight="1" x14ac:dyDescent="0.25">
      <c r="A11" s="3" t="s">
        <v>76</v>
      </c>
      <c r="B11" s="3" t="s">
        <v>179</v>
      </c>
      <c r="C11" s="3" t="s">
        <v>180</v>
      </c>
      <c r="D11" s="6">
        <f>'09_BASELINE_RESULTS'!C13</f>
        <v>0.68504273439783836</v>
      </c>
      <c r="E11" s="6">
        <f>AVERAGE(AVERAGE('08_NORMALISATION'!L10),AVERAGE('08_NORMALISATION'!L12),AVERAGE('08_NORMALISATION'!L13),AVERAGE('08_NORMALISATION'!L14))</f>
        <v>0.85832219698713019</v>
      </c>
      <c r="F11" s="6">
        <f>AVERAGE(E11,'09_BASELINE_RESULTS'!C4,'09_BASELINE_RESULTS'!C6,'09_BASELINE_RESULTS'!C7,'09_BASELINE_RESULTS'!C8,'09_BASELINE_RESULTS'!C9)</f>
        <v>0.68512830905270528</v>
      </c>
      <c r="G11" s="6">
        <f t="shared" si="0"/>
        <v>8.5574654866915623E-5</v>
      </c>
      <c r="H11" s="6" t="str">
        <f t="shared" si="1"/>
        <v>Good</v>
      </c>
      <c r="I11" s="6">
        <f>'09_BASELINE_RESULTS'!B13</f>
        <v>0.68705337898623065</v>
      </c>
      <c r="J11" s="6">
        <f>AVERAGE(AVERAGE('08_NORMALISATION'!L10,'08_NORMALISATION'!L12,'08_NORMALISATION'!L13,'08_NORMALISATION'!L14),'09_BASELINE_RESULTS'!B4,'09_BASELINE_RESULTS'!B6,'09_BASELINE_RESULTS'!B7,'09_BASELINE_RESULTS'!B8,'09_BASELINE_RESULTS'!B9)</f>
        <v>0.68272812166692187</v>
      </c>
      <c r="K11" s="6">
        <f t="shared" si="2"/>
        <v>-4.3252573193087729E-3</v>
      </c>
      <c r="L11" s="2" t="s">
        <v>723</v>
      </c>
    </row>
    <row r="12" spans="1:12" ht="15" customHeight="1" x14ac:dyDescent="0.25">
      <c r="A12" s="3" t="s">
        <v>76</v>
      </c>
      <c r="B12" s="3" t="s">
        <v>184</v>
      </c>
      <c r="C12" s="3" t="s">
        <v>185</v>
      </c>
      <c r="D12" s="6">
        <f>'09_BASELINE_RESULTS'!C13</f>
        <v>0.68504273439783836</v>
      </c>
      <c r="E12" s="6">
        <f>AVERAGE(AVERAGE('08_NORMALISATION'!L10,'08_NORMALISATION'!L11),AVERAGE('08_NORMALISATION'!L13),AVERAGE('08_NORMALISATION'!L14))</f>
        <v>0.94115568053884369</v>
      </c>
      <c r="F12" s="6">
        <f>AVERAGE(E12,'09_BASELINE_RESULTS'!C4,'09_BASELINE_RESULTS'!C6,'09_BASELINE_RESULTS'!C7,'09_BASELINE_RESULTS'!C8,'09_BASELINE_RESULTS'!C9)</f>
        <v>0.69893388964465741</v>
      </c>
      <c r="G12" s="6">
        <f t="shared" si="0"/>
        <v>1.3891155246819054E-2</v>
      </c>
      <c r="H12" s="6" t="str">
        <f t="shared" si="1"/>
        <v>Good</v>
      </c>
      <c r="I12" s="6">
        <f>'09_BASELINE_RESULTS'!B13</f>
        <v>0.68705337898623065</v>
      </c>
      <c r="J12" s="6">
        <f>AVERAGE(AVERAGE('08_NORMALISATION'!L10,'08_NORMALISATION'!L11,'08_NORMALISATION'!L13,'08_NORMALISATION'!L14),'09_BASELINE_RESULTS'!B4,'09_BASELINE_RESULTS'!B6,'09_BASELINE_RESULTS'!B7,'09_BASELINE_RESULTS'!B8,'09_BASELINE_RESULTS'!B9)</f>
        <v>0.69857445341488889</v>
      </c>
      <c r="K12" s="6">
        <f t="shared" si="2"/>
        <v>1.152107442865824E-2</v>
      </c>
      <c r="L12" s="2" t="s">
        <v>723</v>
      </c>
    </row>
    <row r="13" spans="1:12" ht="15" customHeight="1" x14ac:dyDescent="0.25">
      <c r="A13" s="3" t="s">
        <v>76</v>
      </c>
      <c r="B13" s="3" t="s">
        <v>190</v>
      </c>
      <c r="C13" s="3" t="s">
        <v>191</v>
      </c>
      <c r="D13" s="6">
        <f>'09_BASELINE_RESULTS'!C13</f>
        <v>0.68504273439783836</v>
      </c>
      <c r="E13" s="6">
        <f>AVERAGE(AVERAGE('08_NORMALISATION'!L10,'08_NORMALISATION'!L11),AVERAGE('08_NORMALISATION'!L12),AVERAGE('08_NORMALISATION'!L14))</f>
        <v>0.86596722096612844</v>
      </c>
      <c r="F13" s="6">
        <f>AVERAGE(E13,'09_BASELINE_RESULTS'!C4,'09_BASELINE_RESULTS'!C6,'09_BASELINE_RESULTS'!C7,'09_BASELINE_RESULTS'!C8,'09_BASELINE_RESULTS'!C9)</f>
        <v>0.68640247971587154</v>
      </c>
      <c r="G13" s="6">
        <f t="shared" si="0"/>
        <v>1.3597453180331787E-3</v>
      </c>
      <c r="H13" s="6" t="str">
        <f t="shared" si="1"/>
        <v>Good</v>
      </c>
      <c r="I13" s="6">
        <f>'09_BASELINE_RESULTS'!B13</f>
        <v>0.68705337898623065</v>
      </c>
      <c r="J13" s="6">
        <f>AVERAGE(AVERAGE('08_NORMALISATION'!L10,'08_NORMALISATION'!L11,'08_NORMALISATION'!L12,'08_NORMALISATION'!L14),'09_BASELINE_RESULTS'!B4,'09_BASELINE_RESULTS'!B6,'09_BASELINE_RESULTS'!B7,'09_BASELINE_RESULTS'!B8,'09_BASELINE_RESULTS'!B9)</f>
        <v>0.68917589596829953</v>
      </c>
      <c r="K13" s="6">
        <f t="shared" si="2"/>
        <v>2.1225169820688894E-3</v>
      </c>
      <c r="L13" s="2" t="s">
        <v>723</v>
      </c>
    </row>
    <row r="14" spans="1:12" ht="15" customHeight="1" x14ac:dyDescent="0.25">
      <c r="A14" s="3" t="s">
        <v>76</v>
      </c>
      <c r="B14" s="3" t="s">
        <v>196</v>
      </c>
      <c r="C14" s="3" t="s">
        <v>197</v>
      </c>
      <c r="D14" s="6">
        <f>'09_BASELINE_RESULTS'!C13</f>
        <v>0.68504273439783836</v>
      </c>
      <c r="E14" s="6">
        <f>AVERAGE(AVERAGE('08_NORMALISATION'!L10,'08_NORMALISATION'!L11),AVERAGE('08_NORMALISATION'!L12),AVERAGE('08_NORMALISATION'!L13))</f>
        <v>0.81041166541057297</v>
      </c>
      <c r="F14" s="6">
        <f>AVERAGE(E14,'09_BASELINE_RESULTS'!C4,'09_BASELINE_RESULTS'!C6,'09_BASELINE_RESULTS'!C7,'09_BASELINE_RESULTS'!C8,'09_BASELINE_RESULTS'!C9)</f>
        <v>0.67714322045661224</v>
      </c>
      <c r="G14" s="6">
        <f t="shared" si="0"/>
        <v>-7.8995139412261217E-3</v>
      </c>
      <c r="H14" s="6" t="str">
        <f t="shared" si="1"/>
        <v>Good</v>
      </c>
      <c r="I14" s="6">
        <f>'09_BASELINE_RESULTS'!B13</f>
        <v>0.68705337898623065</v>
      </c>
      <c r="J14" s="6">
        <f>AVERAGE(AVERAGE('08_NORMALISATION'!L10,'08_NORMALISATION'!L11,'08_NORMALISATION'!L12,'08_NORMALISATION'!L13),'09_BASELINE_RESULTS'!B4,'09_BASELINE_RESULTS'!B6,'09_BASELINE_RESULTS'!B7,'09_BASELINE_RESULTS'!B8,'09_BASELINE_RESULTS'!B9)</f>
        <v>0.682231451523855</v>
      </c>
      <c r="K14" s="6">
        <f t="shared" si="2"/>
        <v>-4.8219274623756414E-3</v>
      </c>
      <c r="L14" s="2" t="s">
        <v>723</v>
      </c>
    </row>
    <row r="15" spans="1:12" ht="15" customHeight="1" x14ac:dyDescent="0.25">
      <c r="A15" s="3" t="s">
        <v>82</v>
      </c>
      <c r="B15" s="3" t="s">
        <v>202</v>
      </c>
      <c r="C15" s="3" t="s">
        <v>203</v>
      </c>
      <c r="D15" s="6">
        <f>'09_BASELINE_RESULTS'!C13</f>
        <v>0.68504273439783836</v>
      </c>
      <c r="E15" s="6">
        <f>AVERAGE(AVERAGE('08_NORMALISATION'!L16),AVERAGE('08_NORMALISATION'!L17,'08_NORMALISATION'!L18,'08_NORMALISATION'!L19))</f>
        <v>0.78326908192544553</v>
      </c>
      <c r="F15" s="6">
        <f>AVERAGE(E15,'09_BASELINE_RESULTS'!C4,'09_BASELINE_RESULTS'!C5,'09_BASELINE_RESULTS'!C7,'09_BASELINE_RESULTS'!C8,'09_BASELINE_RESULTS'!C9)</f>
        <v>0.68342049383275016</v>
      </c>
      <c r="G15" s="6">
        <f t="shared" si="0"/>
        <v>-1.6222405650881955E-3</v>
      </c>
      <c r="H15" s="6" t="str">
        <f t="shared" si="1"/>
        <v>Good</v>
      </c>
      <c r="I15" s="6">
        <f>'09_BASELINE_RESULTS'!B13</f>
        <v>0.68705337898623065</v>
      </c>
      <c r="J15" s="6">
        <f>AVERAGE(AVERAGE('08_NORMALISATION'!L16,'08_NORMALISATION'!L17,'08_NORMALISATION'!L18,'08_NORMALISATION'!L19),'09_BASELINE_RESULTS'!B4,'09_BASELINE_RESULTS'!B5,'09_BASELINE_RESULTS'!B7,'09_BASELINE_RESULTS'!B8,'09_BASELINE_RESULTS'!B9)</f>
        <v>0.67836791325701462</v>
      </c>
      <c r="K15" s="6">
        <f t="shared" si="2"/>
        <v>-8.6854657292160242E-3</v>
      </c>
      <c r="L15" s="2" t="s">
        <v>723</v>
      </c>
    </row>
    <row r="16" spans="1:12" ht="15" customHeight="1" x14ac:dyDescent="0.25">
      <c r="A16" s="3" t="s">
        <v>82</v>
      </c>
      <c r="B16" s="3" t="s">
        <v>210</v>
      </c>
      <c r="C16" s="3" t="s">
        <v>211</v>
      </c>
      <c r="D16" s="6">
        <f>'09_BASELINE_RESULTS'!C13</f>
        <v>0.68504273439783836</v>
      </c>
      <c r="E16" s="6">
        <f>AVERAGE(AVERAGE('08_NORMALISATION'!L15),AVERAGE('08_NORMALISATION'!L17,'08_NORMALISATION'!L18,'08_NORMALISATION'!L19))</f>
        <v>0.8027359687065051</v>
      </c>
      <c r="F16" s="6">
        <f>AVERAGE(E16,'09_BASELINE_RESULTS'!C4,'09_BASELINE_RESULTS'!C5,'09_BASELINE_RESULTS'!C7,'09_BASELINE_RESULTS'!C8,'09_BASELINE_RESULTS'!C9)</f>
        <v>0.68666497496292678</v>
      </c>
      <c r="G16" s="6">
        <f t="shared" si="0"/>
        <v>1.6222405650884175E-3</v>
      </c>
      <c r="H16" s="6" t="str">
        <f t="shared" si="1"/>
        <v>Good</v>
      </c>
      <c r="I16" s="6">
        <f>'09_BASELINE_RESULTS'!B13</f>
        <v>0.68705337898623065</v>
      </c>
      <c r="J16" s="6">
        <f>AVERAGE(AVERAGE('08_NORMALISATION'!L15,'08_NORMALISATION'!L17,'08_NORMALISATION'!L18,'08_NORMALISATION'!L19),'09_BASELINE_RESULTS'!B4,'09_BASELINE_RESULTS'!B5,'09_BASELINE_RESULTS'!B7,'09_BASELINE_RESULTS'!B8,'09_BASELINE_RESULTS'!B9)</f>
        <v>0.67999015382210282</v>
      </c>
      <c r="K16" s="6">
        <f t="shared" si="2"/>
        <v>-7.0632251641278287E-3</v>
      </c>
      <c r="L16" s="2" t="s">
        <v>723</v>
      </c>
    </row>
    <row r="17" spans="1:12" ht="15" customHeight="1" x14ac:dyDescent="0.25">
      <c r="A17" s="3" t="s">
        <v>82</v>
      </c>
      <c r="B17" s="3" t="s">
        <v>215</v>
      </c>
      <c r="C17" s="3" t="s">
        <v>216</v>
      </c>
      <c r="D17" s="6">
        <f>'09_BASELINE_RESULTS'!C13</f>
        <v>0.68504273439783836</v>
      </c>
      <c r="E17" s="6">
        <f>AVERAGE(AVERAGE('08_NORMALISATION'!L15,'08_NORMALISATION'!L16),AVERAGE('08_NORMALISATION'!L18,'08_NORMALISATION'!L19))</f>
        <v>0.79497564307800928</v>
      </c>
      <c r="F17" s="6">
        <f>AVERAGE(E17,'09_BASELINE_RESULTS'!C4,'09_BASELINE_RESULTS'!C5,'09_BASELINE_RESULTS'!C7,'09_BASELINE_RESULTS'!C8,'09_BASELINE_RESULTS'!C9)</f>
        <v>0.68537158735817749</v>
      </c>
      <c r="G17" s="6">
        <f t="shared" si="0"/>
        <v>3.2885296033913214E-4</v>
      </c>
      <c r="H17" s="6" t="str">
        <f t="shared" si="1"/>
        <v>Good</v>
      </c>
      <c r="I17" s="6">
        <f>'09_BASELINE_RESULTS'!B13</f>
        <v>0.68705337898623065</v>
      </c>
      <c r="J17" s="6">
        <f>AVERAGE(AVERAGE('08_NORMALISATION'!L15,'08_NORMALISATION'!L16,'08_NORMALISATION'!L18,'08_NORMALISATION'!L19),'09_BASELINE_RESULTS'!B4,'09_BASELINE_RESULTS'!B5,'09_BASELINE_RESULTS'!B7,'09_BASELINE_RESULTS'!B8,'09_BASELINE_RESULTS'!B9)</f>
        <v>0.69263179557768417</v>
      </c>
      <c r="K17" s="6">
        <f t="shared" si="2"/>
        <v>5.5784165914535278E-3</v>
      </c>
      <c r="L17" s="2" t="s">
        <v>723</v>
      </c>
    </row>
    <row r="18" spans="1:12" ht="15" customHeight="1" x14ac:dyDescent="0.25">
      <c r="A18" s="3" t="s">
        <v>82</v>
      </c>
      <c r="B18" s="3" t="s">
        <v>222</v>
      </c>
      <c r="C18" s="3" t="s">
        <v>223</v>
      </c>
      <c r="D18" s="6">
        <f>'09_BASELINE_RESULTS'!C13</f>
        <v>0.68504273439783836</v>
      </c>
      <c r="E18" s="6">
        <f>AVERAGE(AVERAGE('08_NORMALISATION'!L15,'08_NORMALISATION'!L16),AVERAGE('08_NORMALISATION'!L17,'08_NORMALISATION'!L19))</f>
        <v>0.77821063224048392</v>
      </c>
      <c r="F18" s="6">
        <f>AVERAGE(E18,'09_BASELINE_RESULTS'!C4,'09_BASELINE_RESULTS'!C5,'09_BASELINE_RESULTS'!C7,'09_BASELINE_RESULTS'!C8,'09_BASELINE_RESULTS'!C9)</f>
        <v>0.68257741888525647</v>
      </c>
      <c r="G18" s="6">
        <f t="shared" si="0"/>
        <v>-2.4653155125818893E-3</v>
      </c>
      <c r="H18" s="6" t="str">
        <f t="shared" si="1"/>
        <v>Good</v>
      </c>
      <c r="I18" s="6">
        <f>'09_BASELINE_RESULTS'!B13</f>
        <v>0.68705337898623065</v>
      </c>
      <c r="J18" s="6">
        <f>AVERAGE(AVERAGE('08_NORMALISATION'!L15,'08_NORMALISATION'!L16,'08_NORMALISATION'!L17,'08_NORMALISATION'!L19),'09_BASELINE_RESULTS'!B4,'09_BASELINE_RESULTS'!B5,'09_BASELINE_RESULTS'!B7,'09_BASELINE_RESULTS'!B8,'09_BASELINE_RESULTS'!B9)</f>
        <v>0.68983762710476337</v>
      </c>
      <c r="K18" s="6">
        <f t="shared" si="2"/>
        <v>2.7842481185327284E-3</v>
      </c>
      <c r="L18" s="2" t="s">
        <v>723</v>
      </c>
    </row>
    <row r="19" spans="1:12" ht="15" customHeight="1" x14ac:dyDescent="0.25">
      <c r="A19" s="3" t="s">
        <v>82</v>
      </c>
      <c r="B19" s="3" t="s">
        <v>227</v>
      </c>
      <c r="C19" s="3" t="s">
        <v>228</v>
      </c>
      <c r="D19" s="6">
        <f>'09_BASELINE_RESULTS'!C13</f>
        <v>0.68504273439783836</v>
      </c>
      <c r="E19" s="6">
        <f>AVERAGE(AVERAGE('08_NORMALISATION'!L15,'08_NORMALISATION'!L16),AVERAGE('08_NORMALISATION'!L17,'08_NORMALISATION'!L18))</f>
        <v>0.80582130062943258</v>
      </c>
      <c r="F19" s="6">
        <f>AVERAGE(E19,'09_BASELINE_RESULTS'!C4,'09_BASELINE_RESULTS'!C5,'09_BASELINE_RESULTS'!C7,'09_BASELINE_RESULTS'!C8,'09_BASELINE_RESULTS'!C9)</f>
        <v>0.68717919695008123</v>
      </c>
      <c r="G19" s="6">
        <f t="shared" si="0"/>
        <v>2.1364625522428682E-3</v>
      </c>
      <c r="H19" s="6" t="str">
        <f t="shared" si="1"/>
        <v>Good</v>
      </c>
      <c r="I19" s="6">
        <f>'09_BASELINE_RESULTS'!B13</f>
        <v>0.68705337898623065</v>
      </c>
      <c r="J19" s="6">
        <f>AVERAGE(AVERAGE('08_NORMALISATION'!L15,'08_NORMALISATION'!L16,'08_NORMALISATION'!L17,'08_NORMALISATION'!L18),'09_BASELINE_RESULTS'!B4,'09_BASELINE_RESULTS'!B5,'09_BASELINE_RESULTS'!B7,'09_BASELINE_RESULTS'!B8,'09_BASELINE_RESULTS'!B9)</f>
        <v>0.69443940516958813</v>
      </c>
      <c r="K19" s="6">
        <f t="shared" si="2"/>
        <v>7.3860261833574858E-3</v>
      </c>
      <c r="L19" s="2" t="s">
        <v>723</v>
      </c>
    </row>
    <row r="20" spans="1:12" ht="15" customHeight="1" x14ac:dyDescent="0.25">
      <c r="A20" s="3" t="s">
        <v>87</v>
      </c>
      <c r="B20" s="3" t="s">
        <v>232</v>
      </c>
      <c r="C20" s="3" t="s">
        <v>233</v>
      </c>
      <c r="D20" s="6">
        <f>'09_BASELINE_RESULTS'!C13</f>
        <v>0.68504273439783836</v>
      </c>
      <c r="E20" s="6">
        <f>AVERAGE(AVERAGE('08_NORMALISATION'!L21,'08_NORMALISATION'!L22),AVERAGE('08_NORMALISATION'!L23,'08_NORMALISATION'!L24,'08_NORMALISATION'!L25),AVERAGE('08_NORMALISATION'!L26),AVERAGE('08_NORMALISATION'!L27))</f>
        <v>0.66278102297540098</v>
      </c>
      <c r="F20" s="6">
        <f>AVERAGE(E20,'09_BASELINE_RESULTS'!C4,'09_BASELINE_RESULTS'!C5,'09_BASELINE_RESULTS'!C6,'09_BASELINE_RESULTS'!C8,'09_BASELINE_RESULTS'!C9)</f>
        <v>0.68367515071654417</v>
      </c>
      <c r="G20" s="6">
        <f t="shared" si="0"/>
        <v>-1.3675836812941933E-3</v>
      </c>
      <c r="H20" s="6" t="str">
        <f t="shared" si="1"/>
        <v>Good</v>
      </c>
      <c r="I20" s="6">
        <f>'09_BASELINE_RESULTS'!B13</f>
        <v>0.68705337898623065</v>
      </c>
      <c r="J20" s="6">
        <f>AVERAGE(AVERAGE('08_NORMALISATION'!L21,'08_NORMALISATION'!L22,'08_NORMALISATION'!L23,'08_NORMALISATION'!L24,'08_NORMALISATION'!L25,'08_NORMALISATION'!L26,'08_NORMALISATION'!L27),'09_BASELINE_RESULTS'!B4,'09_BASELINE_RESULTS'!B5,'09_BASELINE_RESULTS'!B6,'09_BASELINE_RESULTS'!B8,'09_BASELINE_RESULTS'!B9)</f>
        <v>0.68552650868552478</v>
      </c>
      <c r="K20" s="6">
        <f t="shared" si="2"/>
        <v>-1.5268703007058626E-3</v>
      </c>
      <c r="L20" s="2" t="s">
        <v>723</v>
      </c>
    </row>
    <row r="21" spans="1:12" ht="15" customHeight="1" x14ac:dyDescent="0.25">
      <c r="A21" s="3" t="s">
        <v>87</v>
      </c>
      <c r="B21" s="3" t="s">
        <v>241</v>
      </c>
      <c r="C21" s="3" t="s">
        <v>242</v>
      </c>
      <c r="D21" s="6">
        <f>'09_BASELINE_RESULTS'!C13</f>
        <v>0.68504273439783836</v>
      </c>
      <c r="E21" s="6">
        <f>AVERAGE(AVERAGE('08_NORMALISATION'!L20,'08_NORMALISATION'!L22),AVERAGE('08_NORMALISATION'!L23,'08_NORMALISATION'!L24,'08_NORMALISATION'!L25),AVERAGE('08_NORMALISATION'!L26),AVERAGE('08_NORMALISATION'!L27))</f>
        <v>0.66942215486868517</v>
      </c>
      <c r="F21" s="6">
        <f>AVERAGE(E21,'09_BASELINE_RESULTS'!C4,'09_BASELINE_RESULTS'!C5,'09_BASELINE_RESULTS'!C6,'09_BASELINE_RESULTS'!C8,'09_BASELINE_RESULTS'!C9)</f>
        <v>0.68478200603209161</v>
      </c>
      <c r="G21" s="6">
        <f t="shared" si="0"/>
        <v>-2.6072836574675406E-4</v>
      </c>
      <c r="H21" s="6" t="str">
        <f t="shared" si="1"/>
        <v>Good</v>
      </c>
      <c r="I21" s="6">
        <f>'09_BASELINE_RESULTS'!B13</f>
        <v>0.68705337898623065</v>
      </c>
      <c r="J21" s="6">
        <f>AVERAGE(AVERAGE('08_NORMALISATION'!L20,'08_NORMALISATION'!L22,'08_NORMALISATION'!L23,'08_NORMALISATION'!L24,'08_NORMALISATION'!L25,'08_NORMALISATION'!L26,'08_NORMALISATION'!L27),'09_BASELINE_RESULTS'!B4,'09_BASELINE_RESULTS'!B5,'09_BASELINE_RESULTS'!B6,'09_BASELINE_RESULTS'!B8,'09_BASELINE_RESULTS'!B9)</f>
        <v>0.68679148618900754</v>
      </c>
      <c r="K21" s="6">
        <f t="shared" si="2"/>
        <v>-2.6189279722310665E-4</v>
      </c>
      <c r="L21" s="2" t="s">
        <v>723</v>
      </c>
    </row>
    <row r="22" spans="1:12" ht="15" customHeight="1" x14ac:dyDescent="0.25">
      <c r="A22" s="3" t="s">
        <v>87</v>
      </c>
      <c r="B22" s="3" t="s">
        <v>247</v>
      </c>
      <c r="C22" s="3" t="s">
        <v>248</v>
      </c>
      <c r="D22" s="6">
        <f>'09_BASELINE_RESULTS'!C13</f>
        <v>0.68504273439783836</v>
      </c>
      <c r="E22" s="6">
        <f>AVERAGE(AVERAGE('08_NORMALISATION'!L20,'08_NORMALISATION'!L21),AVERAGE('08_NORMALISATION'!L23,'08_NORMALISATION'!L24,'08_NORMALISATION'!L25),AVERAGE('08_NORMALISATION'!L26),AVERAGE('08_NORMALISATION'!L27))</f>
        <v>0.68075639734541271</v>
      </c>
      <c r="F22" s="6">
        <f>AVERAGE(E22,'09_BASELINE_RESULTS'!C4,'09_BASELINE_RESULTS'!C5,'09_BASELINE_RESULTS'!C6,'09_BASELINE_RESULTS'!C8,'09_BASELINE_RESULTS'!C9)</f>
        <v>0.68667104644487953</v>
      </c>
      <c r="G22" s="6">
        <f t="shared" si="0"/>
        <v>1.6283120470411694E-3</v>
      </c>
      <c r="H22" s="6" t="str">
        <f t="shared" si="1"/>
        <v>Good</v>
      </c>
      <c r="I22" s="6">
        <f>'09_BASELINE_RESULTS'!B13</f>
        <v>0.68705337898623065</v>
      </c>
      <c r="J22" s="6">
        <f>AVERAGE(AVERAGE('08_NORMALISATION'!L20,'08_NORMALISATION'!L21,'08_NORMALISATION'!L23,'08_NORMALISATION'!L24,'08_NORMALISATION'!L25,'08_NORMALISATION'!L26,'08_NORMALISATION'!L27),'09_BASELINE_RESULTS'!B4,'09_BASELINE_RESULTS'!B5,'09_BASELINE_RESULTS'!B6,'09_BASELINE_RESULTS'!B8,'09_BASELINE_RESULTS'!B9)</f>
        <v>0.68895038951790799</v>
      </c>
      <c r="K22" s="6">
        <f t="shared" si="2"/>
        <v>1.8970105316773456E-3</v>
      </c>
      <c r="L22" s="2" t="s">
        <v>723</v>
      </c>
    </row>
    <row r="23" spans="1:12" ht="15" customHeight="1" x14ac:dyDescent="0.25">
      <c r="A23" s="3" t="s">
        <v>87</v>
      </c>
      <c r="B23" s="3" t="s">
        <v>253</v>
      </c>
      <c r="C23" s="3" t="s">
        <v>254</v>
      </c>
      <c r="D23" s="6">
        <f>'09_BASELINE_RESULTS'!C13</f>
        <v>0.68504273439783836</v>
      </c>
      <c r="E23" s="6">
        <f>AVERAGE(AVERAGE('08_NORMALISATION'!L20,'08_NORMALISATION'!L21,'08_NORMALISATION'!L22),AVERAGE('08_NORMALISATION'!L24,'08_NORMALISATION'!L25),AVERAGE('08_NORMALISATION'!L26),AVERAGE('08_NORMALISATION'!L27))</f>
        <v>0.67469150268130296</v>
      </c>
      <c r="F23" s="6">
        <f>AVERAGE(E23,'09_BASELINE_RESULTS'!C4,'09_BASELINE_RESULTS'!C5,'09_BASELINE_RESULTS'!C6,'09_BASELINE_RESULTS'!C8,'09_BASELINE_RESULTS'!C9)</f>
        <v>0.68566023066752779</v>
      </c>
      <c r="G23" s="6">
        <f t="shared" si="0"/>
        <v>6.1749626968943261E-4</v>
      </c>
      <c r="H23" s="6" t="str">
        <f t="shared" si="1"/>
        <v>Good</v>
      </c>
      <c r="I23" s="6">
        <f>'09_BASELINE_RESULTS'!B13</f>
        <v>0.68705337898623065</v>
      </c>
      <c r="J23" s="6">
        <f>AVERAGE(AVERAGE('08_NORMALISATION'!L20,'08_NORMALISATION'!L21,'08_NORMALISATION'!L22,'08_NORMALISATION'!L24,'08_NORMALISATION'!L25,'08_NORMALISATION'!L26,'08_NORMALISATION'!L27),'09_BASELINE_RESULTS'!B4,'09_BASELINE_RESULTS'!B5,'09_BASELINE_RESULTS'!B6,'09_BASELINE_RESULTS'!B8,'09_BASELINE_RESULTS'!B9)</f>
        <v>0.68800874019418867</v>
      </c>
      <c r="K23" s="6">
        <f t="shared" si="2"/>
        <v>9.5536120795802759E-4</v>
      </c>
      <c r="L23" s="2" t="s">
        <v>723</v>
      </c>
    </row>
    <row r="24" spans="1:12" ht="15" customHeight="1" x14ac:dyDescent="0.25">
      <c r="A24" s="3" t="s">
        <v>87</v>
      </c>
      <c r="B24" s="3" t="s">
        <v>261</v>
      </c>
      <c r="C24" s="3" t="s">
        <v>262</v>
      </c>
      <c r="D24" s="6">
        <f>'09_BASELINE_RESULTS'!C13</f>
        <v>0.68504273439783836</v>
      </c>
      <c r="E24" s="6">
        <f>AVERAGE(AVERAGE('08_NORMALISATION'!L20,'08_NORMALISATION'!L21,'08_NORMALISATION'!L22),AVERAGE('08_NORMALISATION'!L23,'08_NORMALISATION'!L25),AVERAGE('08_NORMALISATION'!L26),AVERAGE('08_NORMALISATION'!L27))</f>
        <v>0.67040804301930368</v>
      </c>
      <c r="F24" s="6">
        <f>AVERAGE(E24,'09_BASELINE_RESULTS'!C4,'09_BASELINE_RESULTS'!C5,'09_BASELINE_RESULTS'!C6,'09_BASELINE_RESULTS'!C8,'09_BASELINE_RESULTS'!C9)</f>
        <v>0.6849463207238613</v>
      </c>
      <c r="G24" s="6">
        <f t="shared" si="0"/>
        <v>-9.6413673977058245E-5</v>
      </c>
      <c r="H24" s="6" t="str">
        <f t="shared" si="1"/>
        <v>Good</v>
      </c>
      <c r="I24" s="6">
        <f>'09_BASELINE_RESULTS'!B13</f>
        <v>0.68705337898623065</v>
      </c>
      <c r="J24" s="6">
        <f>AVERAGE(AVERAGE('08_NORMALISATION'!L20,'08_NORMALISATION'!L21,'08_NORMALISATION'!L22,'08_NORMALISATION'!L23,'08_NORMALISATION'!L25,'08_NORMALISATION'!L26,'08_NORMALISATION'!L27),'09_BASELINE_RESULTS'!B4,'09_BASELINE_RESULTS'!B5,'09_BASELINE_RESULTS'!B6,'09_BASELINE_RESULTS'!B8,'09_BASELINE_RESULTS'!B9)</f>
        <v>0.68719284311571249</v>
      </c>
      <c r="K24" s="6">
        <f t="shared" si="2"/>
        <v>1.3946412948184772E-4</v>
      </c>
      <c r="L24" s="2" t="s">
        <v>723</v>
      </c>
    </row>
    <row r="25" spans="1:12" ht="15" customHeight="1" x14ac:dyDescent="0.25">
      <c r="A25" s="3" t="s">
        <v>87</v>
      </c>
      <c r="B25" s="3" t="s">
        <v>267</v>
      </c>
      <c r="C25" s="3" t="s">
        <v>268</v>
      </c>
      <c r="D25" s="6">
        <f>'09_BASELINE_RESULTS'!C13</f>
        <v>0.68504273439783836</v>
      </c>
      <c r="E25" s="6">
        <f>AVERAGE(AVERAGE('08_NORMALISATION'!L20,'08_NORMALISATION'!L21,'08_NORMALISATION'!L22),AVERAGE('08_NORMALISATION'!L23,'08_NORMALISATION'!L24),AVERAGE('08_NORMALISATION'!L26),AVERAGE('08_NORMALISATION'!L27))</f>
        <v>0.66786002948889212</v>
      </c>
      <c r="F25" s="6">
        <f>AVERAGE(E25,'09_BASELINE_RESULTS'!C4,'09_BASELINE_RESULTS'!C5,'09_BASELINE_RESULTS'!C6,'09_BASELINE_RESULTS'!C8,'09_BASELINE_RESULTS'!C9)</f>
        <v>0.6845216518021261</v>
      </c>
      <c r="G25" s="6">
        <f t="shared" si="0"/>
        <v>-5.2108259571226334E-4</v>
      </c>
      <c r="H25" s="6" t="str">
        <f t="shared" si="1"/>
        <v>Good</v>
      </c>
      <c r="I25" s="6">
        <f>'09_BASELINE_RESULTS'!B13</f>
        <v>0.68705337898623065</v>
      </c>
      <c r="J25" s="6">
        <f>AVERAGE(AVERAGE('08_NORMALISATION'!L20,'08_NORMALISATION'!L21,'08_NORMALISATION'!L22,'08_NORMALISATION'!L23,'08_NORMALISATION'!L24,'08_NORMALISATION'!L26,'08_NORMALISATION'!L27),'09_BASELINE_RESULTS'!B4,'09_BASELINE_RESULTS'!B5,'09_BASELINE_RESULTS'!B6,'09_BASELINE_RESULTS'!B8,'09_BASELINE_RESULTS'!B9)</f>
        <v>0.68670750720515805</v>
      </c>
      <c r="K25" s="6">
        <f t="shared" si="2"/>
        <v>-3.4587178107259309E-4</v>
      </c>
      <c r="L25" s="2" t="s">
        <v>723</v>
      </c>
    </row>
    <row r="26" spans="1:12" ht="15" customHeight="1" x14ac:dyDescent="0.25">
      <c r="A26" s="3" t="s">
        <v>87</v>
      </c>
      <c r="B26" s="3" t="s">
        <v>272</v>
      </c>
      <c r="C26" s="3" t="s">
        <v>273</v>
      </c>
      <c r="D26" s="6">
        <f>'09_BASELINE_RESULTS'!C13</f>
        <v>0.68504273439783836</v>
      </c>
      <c r="E26" s="6">
        <f>AVERAGE(AVERAGE('08_NORMALISATION'!L20,'08_NORMALISATION'!L21,'08_NORMALISATION'!L22),AVERAGE('08_NORMALISATION'!L23,'08_NORMALISATION'!L24,'08_NORMALISATION'!L25),AVERAGE('08_NORMALISATION'!L27))</f>
        <v>0.74034363738992903</v>
      </c>
      <c r="F26" s="6">
        <f>AVERAGE(E26,'09_BASELINE_RESULTS'!C4,'09_BASELINE_RESULTS'!C5,'09_BASELINE_RESULTS'!C6,'09_BASELINE_RESULTS'!C8,'09_BASELINE_RESULTS'!C9)</f>
        <v>0.69660225311896562</v>
      </c>
      <c r="G26" s="6">
        <f t="shared" si="0"/>
        <v>1.155951872112726E-2</v>
      </c>
      <c r="H26" s="6" t="str">
        <f t="shared" si="1"/>
        <v>Good</v>
      </c>
      <c r="I26" s="6">
        <f>'09_BASELINE_RESULTS'!B13</f>
        <v>0.68705337898623065</v>
      </c>
      <c r="J26" s="6">
        <f>AVERAGE(AVERAGE('08_NORMALISATION'!L20,'08_NORMALISATION'!L21,'08_NORMALISATION'!L22,'08_NORMALISATION'!L23,'08_NORMALISATION'!L24,'08_NORMALISATION'!L25,'08_NORMALISATION'!L27),'09_BASELINE_RESULTS'!B4,'09_BASELINE_RESULTS'!B5,'09_BASELINE_RESULTS'!B6,'09_BASELINE_RESULTS'!B8,'09_BASELINE_RESULTS'!B9)</f>
        <v>0.69186459160645641</v>
      </c>
      <c r="K26" s="6">
        <f t="shared" si="2"/>
        <v>4.8112126202257688E-3</v>
      </c>
      <c r="L26" s="2" t="s">
        <v>723</v>
      </c>
    </row>
    <row r="27" spans="1:12" ht="15" customHeight="1" x14ac:dyDescent="0.25">
      <c r="A27" s="3" t="s">
        <v>87</v>
      </c>
      <c r="B27" s="3" t="s">
        <v>281</v>
      </c>
      <c r="C27" s="3" t="s">
        <v>282</v>
      </c>
      <c r="D27" s="6">
        <f>'09_BASELINE_RESULTS'!C13</f>
        <v>0.68504273439783836</v>
      </c>
      <c r="E27" s="6">
        <f>AVERAGE(AVERAGE('08_NORMALISATION'!L20,'08_NORMALISATION'!L21,'08_NORMALISATION'!L22),AVERAGE('08_NORMALISATION'!L23,'08_NORMALISATION'!L24,'08_NORMALISATION'!L25),AVERAGE('08_NORMALISATION'!L26))</f>
        <v>0.59362887016198929</v>
      </c>
      <c r="F27" s="6">
        <f>AVERAGE(E27,'09_BASELINE_RESULTS'!C4,'09_BASELINE_RESULTS'!C5,'09_BASELINE_RESULTS'!C6,'09_BASELINE_RESULTS'!C8,'09_BASELINE_RESULTS'!C9)</f>
        <v>0.6721497919143089</v>
      </c>
      <c r="G27" s="6">
        <f t="shared" si="0"/>
        <v>-1.2892942483529457E-2</v>
      </c>
      <c r="H27" s="6" t="str">
        <f t="shared" si="1"/>
        <v>Good</v>
      </c>
      <c r="I27" s="6">
        <f>'09_BASELINE_RESULTS'!B13</f>
        <v>0.68705337898623065</v>
      </c>
      <c r="J27" s="6">
        <f>AVERAGE(AVERAGE('08_NORMALISATION'!L20,'08_NORMALISATION'!L21,'08_NORMALISATION'!L22,'08_NORMALISATION'!L23,'08_NORMALISATION'!L24,'08_NORMALISATION'!L25,'08_NORMALISATION'!L26),'09_BASELINE_RESULTS'!B4,'09_BASELINE_RESULTS'!B5,'09_BASELINE_RESULTS'!B6,'09_BASELINE_RESULTS'!B8,'09_BASELINE_RESULTS'!B9)</f>
        <v>0.68138496537588911</v>
      </c>
      <c r="K27" s="6">
        <f t="shared" si="2"/>
        <v>-5.6684136103415383E-3</v>
      </c>
      <c r="L27" s="2" t="s">
        <v>723</v>
      </c>
    </row>
    <row r="28" spans="1:12" ht="15" customHeight="1" x14ac:dyDescent="0.25">
      <c r="A28" s="3" t="s">
        <v>93</v>
      </c>
      <c r="B28" s="3" t="s">
        <v>287</v>
      </c>
      <c r="C28" s="3" t="s">
        <v>288</v>
      </c>
      <c r="D28" s="6">
        <f>'09_BASELINE_RESULTS'!C13</f>
        <v>0.68504273439783836</v>
      </c>
      <c r="E28" s="6">
        <f>AVERAGE(AVERAGE('08_NORMALISATION'!L29,'08_NORMALISATION'!L30),AVERAGE('08_NORMALISATION'!L31,'08_NORMALISATION'!L32),AVERAGE('08_NORMALISATION'!L33,'08_NORMALISATION'!L34,'08_NORMALISATION'!L37),AVERAGE('08_NORMALISATION'!L35,'08_NORMALISATION'!L36))</f>
        <v>0.56502073491171134</v>
      </c>
      <c r="F28" s="6">
        <f>AVERAGE(E28,'09_BASELINE_RESULTS'!C4,'09_BASELINE_RESULTS'!C5,'09_BASELINE_RESULTS'!C6,'09_BASELINE_RESULTS'!C7,'09_BASELINE_RESULTS'!C9)</f>
        <v>0.6800628965411265</v>
      </c>
      <c r="G28" s="6">
        <f t="shared" si="0"/>
        <v>-4.9798378567118551E-3</v>
      </c>
      <c r="H28" s="6" t="str">
        <f t="shared" si="1"/>
        <v>Good</v>
      </c>
      <c r="I28" s="6">
        <f>'09_BASELINE_RESULTS'!B13</f>
        <v>0.68705337898623065</v>
      </c>
      <c r="J28" s="6">
        <f>AVERAGE(AVERAGE('08_NORMALISATION'!L29,'08_NORMALISATION'!L30,'08_NORMALISATION'!L31,'08_NORMALISATION'!L32,'08_NORMALISATION'!L33,'08_NORMALISATION'!L34,'08_NORMALISATION'!L35,'08_NORMALISATION'!L36,'08_NORMALISATION'!L37),'09_BASELINE_RESULTS'!B4,'09_BASELINE_RESULTS'!B5,'09_BASELINE_RESULTS'!B6,'09_BASELINE_RESULTS'!B7,'09_BASELINE_RESULTS'!B9)</f>
        <v>0.68696430378946438</v>
      </c>
      <c r="K28" s="6">
        <f t="shared" si="2"/>
        <v>-8.9075196766263964E-5</v>
      </c>
      <c r="L28" s="2" t="s">
        <v>723</v>
      </c>
    </row>
    <row r="29" spans="1:12" ht="15" customHeight="1" x14ac:dyDescent="0.25">
      <c r="A29" s="3" t="s">
        <v>93</v>
      </c>
      <c r="B29" s="3" t="s">
        <v>294</v>
      </c>
      <c r="C29" s="3" t="s">
        <v>295</v>
      </c>
      <c r="D29" s="6">
        <f>'09_BASELINE_RESULTS'!C13</f>
        <v>0.68504273439783836</v>
      </c>
      <c r="E29" s="6">
        <f>AVERAGE(AVERAGE('08_NORMALISATION'!L28,'08_NORMALISATION'!L30),AVERAGE('08_NORMALISATION'!L31,'08_NORMALISATION'!L32),AVERAGE('08_NORMALISATION'!L33,'08_NORMALISATION'!L34,'08_NORMALISATION'!L37),AVERAGE('08_NORMALISATION'!L35,'08_NORMALISATION'!L36))</f>
        <v>0.57805770884485752</v>
      </c>
      <c r="F29" s="6">
        <f>AVERAGE(E29,'09_BASELINE_RESULTS'!C4,'09_BASELINE_RESULTS'!C5,'09_BASELINE_RESULTS'!C6,'09_BASELINE_RESULTS'!C7,'09_BASELINE_RESULTS'!C9)</f>
        <v>0.68223572552998413</v>
      </c>
      <c r="G29" s="6">
        <f t="shared" si="0"/>
        <v>-2.8070088678542326E-3</v>
      </c>
      <c r="H29" s="6" t="str">
        <f t="shared" si="1"/>
        <v>Good</v>
      </c>
      <c r="I29" s="6">
        <f>'09_BASELINE_RESULTS'!B13</f>
        <v>0.68705337898623065</v>
      </c>
      <c r="J29" s="6">
        <f>AVERAGE(AVERAGE('08_NORMALISATION'!L28,'08_NORMALISATION'!L30,'08_NORMALISATION'!L31,'08_NORMALISATION'!L32,'08_NORMALISATION'!L33,'08_NORMALISATION'!L34,'08_NORMALISATION'!L35,'08_NORMALISATION'!L36,'08_NORMALISATION'!L37),'09_BASELINE_RESULTS'!B4,'09_BASELINE_RESULTS'!B5,'09_BASELINE_RESULTS'!B6,'09_BASELINE_RESULTS'!B7,'09_BASELINE_RESULTS'!B9)</f>
        <v>0.68889570733511574</v>
      </c>
      <c r="K29" s="6">
        <f t="shared" si="2"/>
        <v>1.8423283488850917E-3</v>
      </c>
      <c r="L29" s="2" t="s">
        <v>723</v>
      </c>
    </row>
    <row r="30" spans="1:12" ht="15" customHeight="1" x14ac:dyDescent="0.25">
      <c r="A30" s="3" t="s">
        <v>93</v>
      </c>
      <c r="B30" s="3" t="s">
        <v>299</v>
      </c>
      <c r="C30" s="3" t="s">
        <v>300</v>
      </c>
      <c r="D30" s="6">
        <f>'09_BASELINE_RESULTS'!C13</f>
        <v>0.68504273439783836</v>
      </c>
      <c r="E30" s="6">
        <f>AVERAGE(AVERAGE('08_NORMALISATION'!L28,'08_NORMALISATION'!L29),AVERAGE('08_NORMALISATION'!L31,'08_NORMALISATION'!L32),AVERAGE('08_NORMALISATION'!L33,'08_NORMALISATION'!L34,'08_NORMALISATION'!L37),AVERAGE('08_NORMALISATION'!L35,'08_NORMALISATION'!L36))</f>
        <v>0.64162084239938066</v>
      </c>
      <c r="F30" s="6">
        <f>AVERAGE(E30,'09_BASELINE_RESULTS'!C4,'09_BASELINE_RESULTS'!C5,'09_BASELINE_RESULTS'!C6,'09_BASELINE_RESULTS'!C7,'09_BASELINE_RESULTS'!C9)</f>
        <v>0.69282958112240467</v>
      </c>
      <c r="G30" s="6">
        <f t="shared" si="0"/>
        <v>7.7868467245663098E-3</v>
      </c>
      <c r="H30" s="6" t="str">
        <f t="shared" si="1"/>
        <v>Good</v>
      </c>
      <c r="I30" s="6">
        <f>'09_BASELINE_RESULTS'!B13</f>
        <v>0.68705337898623065</v>
      </c>
      <c r="J30" s="6">
        <f>AVERAGE(AVERAGE('08_NORMALISATION'!L28,'08_NORMALISATION'!L29,'08_NORMALISATION'!L31,'08_NORMALISATION'!L32,'08_NORMALISATION'!L33,'08_NORMALISATION'!L34,'08_NORMALISATION'!L35,'08_NORMALISATION'!L36,'08_NORMALISATION'!L37),'09_BASELINE_RESULTS'!B4,'09_BASELINE_RESULTS'!B5,'09_BASELINE_RESULTS'!B6,'09_BASELINE_RESULTS'!B7,'09_BASELINE_RESULTS'!B9)</f>
        <v>0.69831246786171164</v>
      </c>
      <c r="K30" s="6">
        <f t="shared" si="2"/>
        <v>1.1259088875480994E-2</v>
      </c>
      <c r="L30" s="2" t="s">
        <v>723</v>
      </c>
    </row>
    <row r="31" spans="1:12" ht="15" customHeight="1" x14ac:dyDescent="0.25">
      <c r="A31" s="3" t="s">
        <v>93</v>
      </c>
      <c r="B31" s="3" t="s">
        <v>304</v>
      </c>
      <c r="C31" s="3" t="s">
        <v>305</v>
      </c>
      <c r="D31" s="6">
        <f>'09_BASELINE_RESULTS'!C13</f>
        <v>0.68504273439783836</v>
      </c>
      <c r="E31" s="6">
        <f>AVERAGE(AVERAGE('08_NORMALISATION'!L28,'08_NORMALISATION'!L29,'08_NORMALISATION'!L30),AVERAGE('08_NORMALISATION'!L32),AVERAGE('08_NORMALISATION'!L33,'08_NORMALISATION'!L34,'08_NORMALISATION'!L37),AVERAGE('08_NORMALISATION'!L35,'08_NORMALISATION'!L36))</f>
        <v>0.59872494991586545</v>
      </c>
      <c r="F31" s="6">
        <f>AVERAGE(E31,'09_BASELINE_RESULTS'!C4,'09_BASELINE_RESULTS'!C5,'09_BASELINE_RESULTS'!C6,'09_BASELINE_RESULTS'!C7,'09_BASELINE_RESULTS'!C9)</f>
        <v>0.6856802657084855</v>
      </c>
      <c r="G31" s="6">
        <f t="shared" si="0"/>
        <v>6.3753131064714363E-4</v>
      </c>
      <c r="H31" s="6" t="str">
        <f t="shared" si="1"/>
        <v>Good</v>
      </c>
      <c r="I31" s="6">
        <f>'09_BASELINE_RESULTS'!B13</f>
        <v>0.68705337898623065</v>
      </c>
      <c r="J31" s="6">
        <f>AVERAGE(AVERAGE('08_NORMALISATION'!L28,'08_NORMALISATION'!L29,'08_NORMALISATION'!L30,'08_NORMALISATION'!L32,'08_NORMALISATION'!L33,'08_NORMALISATION'!L34,'08_NORMALISATION'!L35,'08_NORMALISATION'!L36,'08_NORMALISATION'!L37),'09_BASELINE_RESULTS'!B4,'09_BASELINE_RESULTS'!B5,'09_BASELINE_RESULTS'!B6,'09_BASELINE_RESULTS'!B7,'09_BASELINE_RESULTS'!B9)</f>
        <v>0.68839232919800519</v>
      </c>
      <c r="K31" s="6">
        <f t="shared" si="2"/>
        <v>1.3389502117745478E-3</v>
      </c>
      <c r="L31" s="2" t="s">
        <v>723</v>
      </c>
    </row>
    <row r="32" spans="1:12" ht="15" customHeight="1" x14ac:dyDescent="0.25">
      <c r="A32" s="3" t="s">
        <v>93</v>
      </c>
      <c r="B32" s="3" t="s">
        <v>312</v>
      </c>
      <c r="C32" s="3" t="s">
        <v>313</v>
      </c>
      <c r="D32" s="6">
        <f>'09_BASELINE_RESULTS'!C13</f>
        <v>0.68504273439783836</v>
      </c>
      <c r="E32" s="6">
        <f>AVERAGE(AVERAGE('08_NORMALISATION'!L28,'08_NORMALISATION'!L29,'08_NORMALISATION'!L30),AVERAGE('08_NORMALISATION'!L31),AVERAGE('08_NORMALISATION'!L33,'08_NORMALISATION'!L34,'08_NORMALISATION'!L37),AVERAGE('08_NORMALISATION'!L35,'08_NORMALISATION'!L36))</f>
        <v>0.59107457418810094</v>
      </c>
      <c r="F32" s="6">
        <f>AVERAGE(E32,'09_BASELINE_RESULTS'!C4,'09_BASELINE_RESULTS'!C5,'09_BASELINE_RESULTS'!C6,'09_BASELINE_RESULTS'!C7,'09_BASELINE_RESULTS'!C9)</f>
        <v>0.68440520308719144</v>
      </c>
      <c r="G32" s="6">
        <f t="shared" si="0"/>
        <v>-6.3753131064692159E-4</v>
      </c>
      <c r="H32" s="6" t="str">
        <f t="shared" si="1"/>
        <v>Good</v>
      </c>
      <c r="I32" s="6">
        <f>'09_BASELINE_RESULTS'!B13</f>
        <v>0.68705337898623065</v>
      </c>
      <c r="J32" s="6">
        <f>AVERAGE(AVERAGE('08_NORMALISATION'!L28,'08_NORMALISATION'!L29,'08_NORMALISATION'!L30,'08_NORMALISATION'!L31,'08_NORMALISATION'!L33,'08_NORMALISATION'!L34,'08_NORMALISATION'!L35,'08_NORMALISATION'!L36,'08_NORMALISATION'!L37),'09_BASELINE_RESULTS'!B4,'09_BASELINE_RESULTS'!B5,'09_BASELINE_RESULTS'!B6,'09_BASELINE_RESULTS'!B7,'09_BASELINE_RESULTS'!B9)</f>
        <v>0.68782563469965241</v>
      </c>
      <c r="K32" s="6">
        <f t="shared" si="2"/>
        <v>7.7225571342176558E-4</v>
      </c>
      <c r="L32" s="2" t="s">
        <v>723</v>
      </c>
    </row>
    <row r="33" spans="1:12" ht="15" customHeight="1" x14ac:dyDescent="0.25">
      <c r="A33" s="3" t="s">
        <v>93</v>
      </c>
      <c r="B33" s="3" t="s">
        <v>317</v>
      </c>
      <c r="C33" s="3" t="s">
        <v>318</v>
      </c>
      <c r="D33" s="6">
        <f>'09_BASELINE_RESULTS'!C13</f>
        <v>0.68504273439783836</v>
      </c>
      <c r="E33" s="6">
        <f>AVERAGE(AVERAGE('08_NORMALISATION'!L28,'08_NORMALISATION'!L29,'08_NORMALISATION'!L30),AVERAGE('08_NORMALISATION'!L31,'08_NORMALISATION'!L32),AVERAGE('08_NORMALISATION'!L34,'08_NORMALISATION'!L37),AVERAGE('08_NORMALISATION'!L35,'08_NORMALISATION'!L36))</f>
        <v>0.58826741874757593</v>
      </c>
      <c r="F33" s="6">
        <f>AVERAGE(E33,'09_BASELINE_RESULTS'!C4,'09_BASELINE_RESULTS'!C5,'09_BASELINE_RESULTS'!C6,'09_BASELINE_RESULTS'!C7,'09_BASELINE_RESULTS'!C9)</f>
        <v>0.68393734384710392</v>
      </c>
      <c r="G33" s="6">
        <f t="shared" si="0"/>
        <v>-1.1053905507344419E-3</v>
      </c>
      <c r="H33" s="6" t="str">
        <f t="shared" si="1"/>
        <v>Good</v>
      </c>
      <c r="I33" s="6">
        <f>'09_BASELINE_RESULTS'!B13</f>
        <v>0.68705337898623065</v>
      </c>
      <c r="J33" s="6">
        <f>AVERAGE(AVERAGE('08_NORMALISATION'!L28,'08_NORMALISATION'!L29,'08_NORMALISATION'!L30,'08_NORMALISATION'!L31,'08_NORMALISATION'!L32,'08_NORMALISATION'!L34,'08_NORMALISATION'!L35,'08_NORMALISATION'!L36,'08_NORMALISATION'!L37),'09_BASELINE_RESULTS'!B4,'09_BASELINE_RESULTS'!B5,'09_BASELINE_RESULTS'!B6,'09_BASELINE_RESULTS'!B7,'09_BASELINE_RESULTS'!B9)</f>
        <v>0.67979394934319315</v>
      </c>
      <c r="K33" s="6">
        <f t="shared" si="2"/>
        <v>-7.259429643037496E-3</v>
      </c>
      <c r="L33" s="2" t="s">
        <v>723</v>
      </c>
    </row>
    <row r="34" spans="1:12" ht="15" customHeight="1" x14ac:dyDescent="0.25">
      <c r="A34" s="3" t="s">
        <v>93</v>
      </c>
      <c r="B34" s="3" t="s">
        <v>323</v>
      </c>
      <c r="C34" s="3" t="s">
        <v>324</v>
      </c>
      <c r="D34" s="6">
        <f>'09_BASELINE_RESULTS'!C13</f>
        <v>0.68504273439783836</v>
      </c>
      <c r="E34" s="6">
        <f>AVERAGE(AVERAGE('08_NORMALISATION'!L28,'08_NORMALISATION'!L29,'08_NORMALISATION'!L30),AVERAGE('08_NORMALISATION'!L31,'08_NORMALISATION'!L32),AVERAGE('08_NORMALISATION'!L33,'08_NORMALISATION'!L37),AVERAGE('08_NORMALISATION'!L35,'08_NORMALISATION'!L36))</f>
        <v>0.58826741874757593</v>
      </c>
      <c r="F34" s="6">
        <f>AVERAGE(E34,'09_BASELINE_RESULTS'!C4,'09_BASELINE_RESULTS'!C5,'09_BASELINE_RESULTS'!C6,'09_BASELINE_RESULTS'!C7,'09_BASELINE_RESULTS'!C9)</f>
        <v>0.68393734384710392</v>
      </c>
      <c r="G34" s="6">
        <f t="shared" si="0"/>
        <v>-1.1053905507344419E-3</v>
      </c>
      <c r="H34" s="6" t="str">
        <f t="shared" si="1"/>
        <v>Good</v>
      </c>
      <c r="I34" s="6">
        <f>'09_BASELINE_RESULTS'!B13</f>
        <v>0.68705337898623065</v>
      </c>
      <c r="J34" s="6">
        <f>AVERAGE(AVERAGE('08_NORMALISATION'!L28,'08_NORMALISATION'!L29,'08_NORMALISATION'!L30,'08_NORMALISATION'!L31,'08_NORMALISATION'!L32,'08_NORMALISATION'!L33,'08_NORMALISATION'!L35,'08_NORMALISATION'!L36,'08_NORMALISATION'!L37),'09_BASELINE_RESULTS'!B4,'09_BASELINE_RESULTS'!B5,'09_BASELINE_RESULTS'!B6,'09_BASELINE_RESULTS'!B7,'09_BASELINE_RESULTS'!B9)</f>
        <v>0.67979394934319315</v>
      </c>
      <c r="K34" s="6">
        <f t="shared" si="2"/>
        <v>-7.259429643037496E-3</v>
      </c>
      <c r="L34" s="2" t="s">
        <v>723</v>
      </c>
    </row>
    <row r="35" spans="1:12" ht="15" customHeight="1" x14ac:dyDescent="0.25">
      <c r="A35" s="3" t="s">
        <v>93</v>
      </c>
      <c r="B35" s="3" t="s">
        <v>328</v>
      </c>
      <c r="C35" s="3" t="s">
        <v>329</v>
      </c>
      <c r="D35" s="6">
        <f>'09_BASELINE_RESULTS'!C13</f>
        <v>0.68504273439783836</v>
      </c>
      <c r="E35" s="6">
        <f>AVERAGE(AVERAGE('08_NORMALISATION'!L28,'08_NORMALISATION'!L29,'08_NORMALISATION'!L30),AVERAGE('08_NORMALISATION'!L31,'08_NORMALISATION'!L32),AVERAGE('08_NORMALISATION'!L33,'08_NORMALISATION'!L34,'08_NORMALISATION'!L37),AVERAGE('08_NORMALISATION'!L36))</f>
        <v>0.57214173625475517</v>
      </c>
      <c r="F35" s="6">
        <f>AVERAGE(E35,'09_BASELINE_RESULTS'!C4,'09_BASELINE_RESULTS'!C5,'09_BASELINE_RESULTS'!C6,'09_BASELINE_RESULTS'!C7,'09_BASELINE_RESULTS'!C9)</f>
        <v>0.68124973009830037</v>
      </c>
      <c r="G35" s="6">
        <f t="shared" si="0"/>
        <v>-3.7930042995379942E-3</v>
      </c>
      <c r="H35" s="6" t="str">
        <f t="shared" si="1"/>
        <v>Good</v>
      </c>
      <c r="I35" s="6">
        <f>'09_BASELINE_RESULTS'!B13</f>
        <v>0.68705337898623065</v>
      </c>
      <c r="J35" s="6">
        <f>AVERAGE(AVERAGE('08_NORMALISATION'!L28,'08_NORMALISATION'!L29,'08_NORMALISATION'!L30,'08_NORMALISATION'!L31,'08_NORMALISATION'!L32,'08_NORMALISATION'!L33,'08_NORMALISATION'!L34,'08_NORMALISATION'!L36,'08_NORMALISATION'!L37),'09_BASELINE_RESULTS'!B4,'09_BASELINE_RESULTS'!B5,'09_BASELINE_RESULTS'!B6,'09_BASELINE_RESULTS'!B7,'09_BASELINE_RESULTS'!B9)</f>
        <v>0.68722111571805888</v>
      </c>
      <c r="K35" s="6">
        <f t="shared" si="2"/>
        <v>1.6773673182823856E-4</v>
      </c>
      <c r="L35" s="2" t="s">
        <v>723</v>
      </c>
    </row>
    <row r="36" spans="1:12" ht="15" customHeight="1" x14ac:dyDescent="0.25">
      <c r="A36" s="3" t="s">
        <v>93</v>
      </c>
      <c r="B36" s="3" t="s">
        <v>335</v>
      </c>
      <c r="C36" s="3" t="s">
        <v>336</v>
      </c>
      <c r="D36" s="6">
        <f>'09_BASELINE_RESULTS'!C13</f>
        <v>0.68504273439783836</v>
      </c>
      <c r="E36" s="6">
        <f>AVERAGE(AVERAGE('08_NORMALISATION'!L28,'08_NORMALISATION'!L29,'08_NORMALISATION'!L30),AVERAGE('08_NORMALISATION'!L31,'08_NORMALISATION'!L32),AVERAGE('08_NORMALISATION'!L33,'08_NORMALISATION'!L34,'08_NORMALISATION'!L37),AVERAGE('08_NORMALISATION'!L35))</f>
        <v>0.61765778784921122</v>
      </c>
      <c r="F36" s="6">
        <f>AVERAGE(E36,'09_BASELINE_RESULTS'!C4,'09_BASELINE_RESULTS'!C5,'09_BASELINE_RESULTS'!C6,'09_BASELINE_RESULTS'!C7,'09_BASELINE_RESULTS'!C9)</f>
        <v>0.68883573869737635</v>
      </c>
      <c r="G36" s="6">
        <f t="shared" si="0"/>
        <v>3.7930042995379942E-3</v>
      </c>
      <c r="H36" s="6" t="str">
        <f t="shared" si="1"/>
        <v>Good</v>
      </c>
      <c r="I36" s="6">
        <f>'09_BASELINE_RESULTS'!B13</f>
        <v>0.68705337898623065</v>
      </c>
      <c r="J36" s="6">
        <f>AVERAGE(AVERAGE('08_NORMALISATION'!L28,'08_NORMALISATION'!L29,'08_NORMALISATION'!L30,'08_NORMALISATION'!L31,'08_NORMALISATION'!L32,'08_NORMALISATION'!L33,'08_NORMALISATION'!L34,'08_NORMALISATION'!L35,'08_NORMALISATION'!L37),'09_BASELINE_RESULTS'!B4,'09_BASELINE_RESULTS'!B5,'09_BASELINE_RESULTS'!B6,'09_BASELINE_RESULTS'!B7,'09_BASELINE_RESULTS'!B9)</f>
        <v>0.69059267509542599</v>
      </c>
      <c r="K36" s="6">
        <f t="shared" si="2"/>
        <v>3.5392961091953445E-3</v>
      </c>
      <c r="L36" s="2" t="s">
        <v>723</v>
      </c>
    </row>
    <row r="37" spans="1:12" ht="15" customHeight="1" x14ac:dyDescent="0.25">
      <c r="A37" s="3" t="s">
        <v>93</v>
      </c>
      <c r="B37" s="3" t="s">
        <v>342</v>
      </c>
      <c r="C37" s="3" t="s">
        <v>343</v>
      </c>
      <c r="D37" s="6">
        <f>'09_BASELINE_RESULTS'!C13</f>
        <v>0.68504273439783836</v>
      </c>
      <c r="E37" s="6">
        <f>AVERAGE(AVERAGE('08_NORMALISATION'!L28,'08_NORMALISATION'!L29,'08_NORMALISATION'!L30),AVERAGE('08_NORMALISATION'!L31,'08_NORMALISATION'!L32),AVERAGE('08_NORMALISATION'!L33,'08_NORMALISATION'!L34),AVERAGE('08_NORMALISATION'!L35,'08_NORMALISATION'!L36))</f>
        <v>0.60816444866079777</v>
      </c>
      <c r="F37" s="6">
        <f>AVERAGE(E37,'09_BASELINE_RESULTS'!C4,'09_BASELINE_RESULTS'!C5,'09_BASELINE_RESULTS'!C6,'09_BASELINE_RESULTS'!C7,'09_BASELINE_RESULTS'!C9)</f>
        <v>0.68725351549930747</v>
      </c>
      <c r="G37" s="6">
        <f t="shared" si="0"/>
        <v>2.2107811014691059E-3</v>
      </c>
      <c r="H37" s="6" t="str">
        <f t="shared" si="1"/>
        <v>Good</v>
      </c>
      <c r="I37" s="6">
        <f>'09_BASELINE_RESULTS'!B13</f>
        <v>0.68705337898623065</v>
      </c>
      <c r="J37" s="6">
        <f>AVERAGE(AVERAGE('08_NORMALISATION'!L28,'08_NORMALISATION'!L29,'08_NORMALISATION'!L30,'08_NORMALISATION'!L31,'08_NORMALISATION'!L32,'08_NORMALISATION'!L33,'08_NORMALISATION'!L34,'08_NORMALISATION'!L35,'08_NORMALISATION'!L36),'09_BASELINE_RESULTS'!B4,'09_BASELINE_RESULTS'!B5,'09_BASELINE_RESULTS'!B6,'09_BASELINE_RESULTS'!B7,'09_BASELINE_RESULTS'!B9)</f>
        <v>0.68274165747848536</v>
      </c>
      <c r="K37" s="6">
        <f t="shared" si="2"/>
        <v>-4.3117215077452808E-3</v>
      </c>
      <c r="L37" s="2" t="s">
        <v>723</v>
      </c>
    </row>
    <row r="38" spans="1:12" ht="15" customHeight="1" x14ac:dyDescent="0.25">
      <c r="A38" s="3" t="s">
        <v>99</v>
      </c>
      <c r="B38" s="3" t="s">
        <v>347</v>
      </c>
      <c r="C38" s="3" t="s">
        <v>348</v>
      </c>
      <c r="D38" s="6">
        <f>'09_BASELINE_RESULTS'!C13</f>
        <v>0.68504273439783836</v>
      </c>
      <c r="E38" s="6">
        <f>AVERAGE(AVERAGE('08_NORMALISATION'!L39),AVERAGE('08_NORMALISATION'!L40),AVERAGE('08_NORMALISATION'!L41))</f>
        <v>0.52083333333333337</v>
      </c>
      <c r="F38" s="6">
        <f>AVERAGE(E38,'09_BASELINE_RESULTS'!C4,'09_BASELINE_RESULTS'!C5,'09_BASELINE_RESULTS'!C6,'09_BASELINE_RESULTS'!C7,'09_BASELINE_RESULTS'!C8)</f>
        <v>0.67288995662006068</v>
      </c>
      <c r="G38" s="6">
        <f t="shared" si="0"/>
        <v>-1.2152777777777679E-2</v>
      </c>
      <c r="H38" s="6" t="str">
        <f t="shared" si="1"/>
        <v>Good</v>
      </c>
      <c r="I38" s="6">
        <f>'09_BASELINE_RESULTS'!B13</f>
        <v>0.68705337898623065</v>
      </c>
      <c r="J38" s="6">
        <f>AVERAGE(AVERAGE('08_NORMALISATION'!L39,'08_NORMALISATION'!L40,'08_NORMALISATION'!L41),'09_BASELINE_RESULTS'!B4,'09_BASELINE_RESULTS'!B5,'09_BASELINE_RESULTS'!B6,'09_BASELINE_RESULTS'!B7,'09_BASELINE_RESULTS'!B8)</f>
        <v>0.67490060120845285</v>
      </c>
      <c r="K38" s="6">
        <f t="shared" si="2"/>
        <v>-1.215277777777779E-2</v>
      </c>
      <c r="L38" s="2" t="s">
        <v>723</v>
      </c>
    </row>
    <row r="39" spans="1:12" ht="15" customHeight="1" x14ac:dyDescent="0.25">
      <c r="A39" s="3" t="s">
        <v>99</v>
      </c>
      <c r="B39" s="3" t="s">
        <v>356</v>
      </c>
      <c r="C39" s="3" t="s">
        <v>357</v>
      </c>
      <c r="D39" s="6">
        <f>'09_BASELINE_RESULTS'!C13</f>
        <v>0.68504273439783836</v>
      </c>
      <c r="E39" s="6">
        <f>AVERAGE(AVERAGE('08_NORMALISATION'!L38),AVERAGE('08_NORMALISATION'!L40),AVERAGE('08_NORMALISATION'!L41))</f>
        <v>0.58333333333333337</v>
      </c>
      <c r="F39" s="6">
        <f>AVERAGE(E39,'09_BASELINE_RESULTS'!C4,'09_BASELINE_RESULTS'!C5,'09_BASELINE_RESULTS'!C6,'09_BASELINE_RESULTS'!C7,'09_BASELINE_RESULTS'!C8)</f>
        <v>0.68330662328672742</v>
      </c>
      <c r="G39" s="6">
        <f t="shared" si="0"/>
        <v>-1.7361111111109384E-3</v>
      </c>
      <c r="H39" s="6" t="str">
        <f t="shared" si="1"/>
        <v>Good</v>
      </c>
      <c r="I39" s="6">
        <f>'09_BASELINE_RESULTS'!B13</f>
        <v>0.68705337898623065</v>
      </c>
      <c r="J39" s="6">
        <f>AVERAGE(AVERAGE('08_NORMALISATION'!L38,'08_NORMALISATION'!L40,'08_NORMALISATION'!L41),'09_BASELINE_RESULTS'!B4,'09_BASELINE_RESULTS'!B5,'09_BASELINE_RESULTS'!B6,'09_BASELINE_RESULTS'!B7,'09_BASELINE_RESULTS'!B8)</f>
        <v>0.68531726787511948</v>
      </c>
      <c r="K39" s="6">
        <f t="shared" si="2"/>
        <v>-1.7361111111111605E-3</v>
      </c>
      <c r="L39" s="2" t="s">
        <v>723</v>
      </c>
    </row>
    <row r="40" spans="1:12" ht="15" customHeight="1" x14ac:dyDescent="0.25">
      <c r="A40" s="3" t="s">
        <v>99</v>
      </c>
      <c r="B40" s="3" t="s">
        <v>362</v>
      </c>
      <c r="C40" s="3" t="s">
        <v>363</v>
      </c>
      <c r="D40" s="6">
        <f>'09_BASELINE_RESULTS'!C13</f>
        <v>0.68504273439783836</v>
      </c>
      <c r="E40" s="6">
        <f>AVERAGE(AVERAGE('08_NORMALISATION'!L38),AVERAGE('08_NORMALISATION'!L39),AVERAGE('08_NORMALISATION'!L41))</f>
        <v>0.625</v>
      </c>
      <c r="F40" s="6">
        <f>AVERAGE(E40,'09_BASELINE_RESULTS'!C4,'09_BASELINE_RESULTS'!C5,'09_BASELINE_RESULTS'!C6,'09_BASELINE_RESULTS'!C7,'09_BASELINE_RESULTS'!C8)</f>
        <v>0.69025106773117173</v>
      </c>
      <c r="G40" s="6">
        <f t="shared" si="0"/>
        <v>5.2083333333333703E-3</v>
      </c>
      <c r="H40" s="6" t="str">
        <f t="shared" si="1"/>
        <v>Good</v>
      </c>
      <c r="I40" s="6">
        <f>'09_BASELINE_RESULTS'!B13</f>
        <v>0.68705337898623065</v>
      </c>
      <c r="J40" s="6">
        <f>AVERAGE(AVERAGE('08_NORMALISATION'!L38,'08_NORMALISATION'!L39,'08_NORMALISATION'!L41),'09_BASELINE_RESULTS'!B4,'09_BASELINE_RESULTS'!B5,'09_BASELINE_RESULTS'!B6,'09_BASELINE_RESULTS'!B7,'09_BASELINE_RESULTS'!B8)</f>
        <v>0.69226171231956402</v>
      </c>
      <c r="K40" s="6">
        <f t="shared" si="2"/>
        <v>5.2083333333333703E-3</v>
      </c>
      <c r="L40" s="2" t="s">
        <v>723</v>
      </c>
    </row>
    <row r="41" spans="1:12" ht="15" customHeight="1" x14ac:dyDescent="0.25">
      <c r="A41" s="3" t="s">
        <v>99</v>
      </c>
      <c r="B41" s="3" t="s">
        <v>368</v>
      </c>
      <c r="C41" s="3" t="s">
        <v>369</v>
      </c>
      <c r="D41" s="6">
        <f>'09_BASELINE_RESULTS'!C13</f>
        <v>0.68504273439783836</v>
      </c>
      <c r="E41" s="6">
        <f>AVERAGE(AVERAGE('08_NORMALISATION'!L38),AVERAGE('08_NORMALISATION'!L39),AVERAGE('08_NORMALISATION'!L40))</f>
        <v>0.64583333333333337</v>
      </c>
      <c r="F41" s="6">
        <f>AVERAGE(E41,'09_BASELINE_RESULTS'!C4,'09_BASELINE_RESULTS'!C5,'09_BASELINE_RESULTS'!C6,'09_BASELINE_RESULTS'!C7,'09_BASELINE_RESULTS'!C8)</f>
        <v>0.69372328995339405</v>
      </c>
      <c r="G41" s="6">
        <f t="shared" si="0"/>
        <v>8.6805555555556912E-3</v>
      </c>
      <c r="H41" s="6" t="str">
        <f t="shared" si="1"/>
        <v>Good</v>
      </c>
      <c r="I41" s="6">
        <f>'09_BASELINE_RESULTS'!B13</f>
        <v>0.68705337898623065</v>
      </c>
      <c r="J41" s="6">
        <f>AVERAGE(AVERAGE('08_NORMALISATION'!L38,'08_NORMALISATION'!L39,'08_NORMALISATION'!L40),'09_BASELINE_RESULTS'!B4,'09_BASELINE_RESULTS'!B5,'09_BASELINE_RESULTS'!B6,'09_BASELINE_RESULTS'!B7,'09_BASELINE_RESULTS'!B8)</f>
        <v>0.69573393454178623</v>
      </c>
      <c r="K41" s="6">
        <f t="shared" si="2"/>
        <v>8.6805555555555802E-3</v>
      </c>
      <c r="L41" s="2" t="s">
        <v>723</v>
      </c>
    </row>
    <row r="45" spans="1:12" ht="30" x14ac:dyDescent="0.25">
      <c r="A45" s="1" t="s">
        <v>714</v>
      </c>
      <c r="B45" s="1" t="s">
        <v>724</v>
      </c>
      <c r="C45" s="1" t="s">
        <v>719</v>
      </c>
      <c r="D45" s="1" t="s">
        <v>605</v>
      </c>
      <c r="E45" s="1" t="s">
        <v>725</v>
      </c>
      <c r="F45" s="1" t="s">
        <v>722</v>
      </c>
    </row>
    <row r="46" spans="1:12" x14ac:dyDescent="0.25">
      <c r="A46" s="3" t="s">
        <v>67</v>
      </c>
      <c r="B46" s="6">
        <f>AVERAGE('09_BASELINE_RESULTS'!C5,'09_BASELINE_RESULTS'!C6,'09_BASELINE_RESULTS'!C7,'09_BASELINE_RESULTS'!C8,'09_BASELINE_RESULTS'!C9)</f>
        <v>0.70208951229781091</v>
      </c>
      <c r="C46" s="6">
        <f>B46-'09_BASELINE_RESULTS'!C13</f>
        <v>1.7046777899972554E-2</v>
      </c>
      <c r="D46" s="6" t="str">
        <f t="shared" ref="D46:D51" si="3">IF(NOT(ISNUMBER(B46)),"",IF(B46&lt;0.25,"Low",IF(B46&lt;0.5,"Moderate",IF(B46&lt;0.75,"Good","Excellent"))))</f>
        <v>Good</v>
      </c>
      <c r="E46" s="6">
        <f>AVERAGE('09_BASELINE_RESULTS'!B5,'09_BASELINE_RESULTS'!B6,'09_BASELINE_RESULTS'!B7,'09_BASELINE_RESULTS'!B8,'09_BASELINE_RESULTS'!B9)</f>
        <v>0.70250116036812105</v>
      </c>
      <c r="F46" s="6">
        <f>E46-'09_BASELINE_RESULTS'!B13</f>
        <v>1.5447781381890402E-2</v>
      </c>
    </row>
    <row r="47" spans="1:12" x14ac:dyDescent="0.25">
      <c r="A47" s="3" t="s">
        <v>76</v>
      </c>
      <c r="B47" s="6">
        <f>AVERAGE('09_BASELINE_RESULTS'!C4,'09_BASELINE_RESULTS'!C6,'09_BASELINE_RESULTS'!C7,'09_BASELINE_RESULTS'!C8,'09_BASELINE_RESULTS'!C9)</f>
        <v>0.65048953146582023</v>
      </c>
      <c r="C47" s="6">
        <f>B47-'09_BASELINE_RESULTS'!C13</f>
        <v>-3.4553202932018134E-2</v>
      </c>
      <c r="D47" s="6" t="str">
        <f t="shared" si="3"/>
        <v>Good</v>
      </c>
      <c r="E47" s="6">
        <f>AVERAGE('09_BASELINE_RESULTS'!B4,'09_BASELINE_RESULTS'!B6,'09_BASELINE_RESULTS'!B7,'09_BASELINE_RESULTS'!B8,'09_BASELINE_RESULTS'!B9)</f>
        <v>0.64760930660288019</v>
      </c>
      <c r="F47" s="6">
        <f>E47-'09_BASELINE_RESULTS'!B13</f>
        <v>-3.9444072383350459E-2</v>
      </c>
    </row>
    <row r="48" spans="1:12" x14ac:dyDescent="0.25">
      <c r="A48" s="3" t="s">
        <v>82</v>
      </c>
      <c r="B48" s="6">
        <f>AVERAGE('09_BASELINE_RESULTS'!C4,'09_BASELINE_RESULTS'!C5,'09_BASELINE_RESULTS'!C7,'09_BASELINE_RESULTS'!C8,'09_BASELINE_RESULTS'!C9)</f>
        <v>0.663450776214211</v>
      </c>
      <c r="C48" s="6">
        <f>B48-'09_BASELINE_RESULTS'!C13</f>
        <v>-2.1591958183627358E-2</v>
      </c>
      <c r="D48" s="6" t="str">
        <f t="shared" si="3"/>
        <v>Good</v>
      </c>
      <c r="E48" s="6">
        <f>AVERAGE('09_BASELINE_RESULTS'!B4,'09_BASELINE_RESULTS'!B5,'09_BASELINE_RESULTS'!B7,'09_BASELINE_RESULTS'!B8,'09_BASELINE_RESULTS'!B9)</f>
        <v>0.67216302607761924</v>
      </c>
      <c r="F48" s="6">
        <f>E48-'09_BASELINE_RESULTS'!B13</f>
        <v>-1.4890352908611404E-2</v>
      </c>
    </row>
    <row r="49" spans="1:6" x14ac:dyDescent="0.25">
      <c r="A49" s="3" t="s">
        <v>87</v>
      </c>
      <c r="B49" s="6">
        <f>AVERAGE('09_BASELINE_RESULTS'!C4,'09_BASELINE_RESULTS'!C5,'09_BASELINE_RESULTS'!C6,'09_BASELINE_RESULTS'!C8,'09_BASELINE_RESULTS'!C9)</f>
        <v>0.68785397626477285</v>
      </c>
      <c r="C49" s="6">
        <f>B49-'09_BASELINE_RESULTS'!C13</f>
        <v>2.8112418669344885E-3</v>
      </c>
      <c r="D49" s="6" t="str">
        <f t="shared" si="3"/>
        <v>Good</v>
      </c>
      <c r="E49" s="6">
        <f>AVERAGE('09_BASELINE_RESULTS'!B4,'09_BASELINE_RESULTS'!B5,'09_BASELINE_RESULTS'!B6,'09_BASELINE_RESULTS'!B8,'09_BASELINE_RESULTS'!B9)</f>
        <v>0.69146683115700569</v>
      </c>
      <c r="F49" s="6">
        <f>E49-'09_BASELINE_RESULTS'!B13</f>
        <v>4.4134521707750451E-3</v>
      </c>
    </row>
    <row r="50" spans="1:6" x14ac:dyDescent="0.25">
      <c r="A50" s="3" t="s">
        <v>93</v>
      </c>
      <c r="B50" s="6">
        <f>AVERAGE('09_BASELINE_RESULTS'!C4,'09_BASELINE_RESULTS'!C5,'09_BASELINE_RESULTS'!C6,'09_BASELINE_RESULTS'!C7,'09_BASELINE_RESULTS'!C9)</f>
        <v>0.7030713288670094</v>
      </c>
      <c r="C50" s="6">
        <f>B50-'09_BASELINE_RESULTS'!C13</f>
        <v>1.8028594469171044E-2</v>
      </c>
      <c r="D50" s="6" t="str">
        <f t="shared" si="3"/>
        <v>Good</v>
      </c>
      <c r="E50" s="6">
        <f>AVERAGE('09_BASELINE_RESULTS'!B4,'09_BASELINE_RESULTS'!B5,'09_BASELINE_RESULTS'!B6,'09_BASELINE_RESULTS'!B7,'09_BASELINE_RESULTS'!B9)</f>
        <v>0.70286589492828111</v>
      </c>
      <c r="F50" s="6">
        <f>E50-'09_BASELINE_RESULTS'!B13</f>
        <v>1.5812515942050465E-2</v>
      </c>
    </row>
    <row r="51" spans="1:6" x14ac:dyDescent="0.25">
      <c r="A51" s="3" t="s">
        <v>99</v>
      </c>
      <c r="B51" s="6">
        <f>AVERAGE('09_BASELINE_RESULTS'!C4,'09_BASELINE_RESULTS'!C5,'09_BASELINE_RESULTS'!C6,'09_BASELINE_RESULTS'!C7,'09_BASELINE_RESULTS'!C8)</f>
        <v>0.7033012812774061</v>
      </c>
      <c r="C51" s="6">
        <f>B51-'09_BASELINE_RESULTS'!C13</f>
        <v>1.8258546879567739E-2</v>
      </c>
      <c r="D51" s="6" t="str">
        <f t="shared" si="3"/>
        <v>Good</v>
      </c>
      <c r="E51" s="6">
        <f>AVERAGE('09_BASELINE_RESULTS'!B4,'09_BASELINE_RESULTS'!B5,'09_BASELINE_RESULTS'!B6,'09_BASELINE_RESULTS'!B7,'09_BASELINE_RESULTS'!B8)</f>
        <v>0.70571405478347682</v>
      </c>
      <c r="F51" s="6">
        <f>E51-'09_BASELINE_RESULTS'!B13</f>
        <v>1.8660675797246173E-2</v>
      </c>
    </row>
  </sheetData>
  <mergeCells count="1">
    <mergeCell ref="A1:L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2"/>
  <sheetViews>
    <sheetView showGridLines="0" workbookViewId="0">
      <selection activeCell="C16" sqref="C16"/>
    </sheetView>
  </sheetViews>
  <sheetFormatPr defaultRowHeight="15" x14ac:dyDescent="0.25"/>
  <cols>
    <col min="1" max="2" width="30" customWidth="1"/>
    <col min="3" max="3" width="90" customWidth="1"/>
    <col min="4" max="6" width="34" customWidth="1"/>
  </cols>
  <sheetData>
    <row r="1" spans="1:6" ht="27" customHeight="1" x14ac:dyDescent="0.25">
      <c r="A1" s="10" t="s">
        <v>726</v>
      </c>
      <c r="B1" s="10"/>
      <c r="C1" s="10"/>
      <c r="D1" s="10"/>
      <c r="E1" s="10"/>
      <c r="F1" s="10"/>
    </row>
    <row r="3" spans="1:6" x14ac:dyDescent="0.25">
      <c r="A3" s="1" t="s">
        <v>727</v>
      </c>
      <c r="B3" s="1" t="s">
        <v>728</v>
      </c>
      <c r="C3" s="1" t="s">
        <v>729</v>
      </c>
      <c r="D3" s="1" t="s">
        <v>730</v>
      </c>
      <c r="E3" s="1" t="s">
        <v>7</v>
      </c>
      <c r="F3" s="1" t="s">
        <v>66</v>
      </c>
    </row>
    <row r="4" spans="1:6" ht="60" x14ac:dyDescent="0.25">
      <c r="A4" s="3" t="s">
        <v>731</v>
      </c>
      <c r="B4" s="3" t="s">
        <v>732</v>
      </c>
      <c r="C4" s="4" t="str">
        <f ca="1">_xlfn.SINGLE(_xlfn.FORMULATEXT('08_NORMALISATION'!L4))</f>
        <v>=IF(NOT(ISNUMBER(G4));"";IF(F4="Positive";IF(G4&lt;H4;0;IF(G4&lt;I4;0.25+0.25*(G4-H4)/(I4-H4);IF(G4&lt;J4;0.5+0.25*(G4-I4)/(J4-I4);IF(G4&lt;K4;0.75+0.25*(G4-J4)/(K4-J4);1))));IF(G4&gt;H4;0;IF(G4&gt;I4;0.25+0.25*(H4-G4)/(H4-I4);IF(G4&gt;J4;0.5+0.25*(I4-G4)/(I4-J4);IF(G4&gt;K4;0.75+0.25*(J4-G4)/(J4-K4);1))))))</v>
      </c>
      <c r="D4" s="2" t="s">
        <v>733</v>
      </c>
      <c r="E4" s="2" t="s">
        <v>734</v>
      </c>
      <c r="F4" s="2" t="s">
        <v>735</v>
      </c>
    </row>
    <row r="5" spans="1:6" ht="30" x14ac:dyDescent="0.25">
      <c r="A5" s="3" t="s">
        <v>609</v>
      </c>
      <c r="B5" s="3" t="s">
        <v>736</v>
      </c>
      <c r="C5" s="4" t="str">
        <f ca="1">_xlfn.SINGLE(_xlfn.FORMULATEXT('08_NORMALISATION'!Q4))</f>
        <v>=L4*O4</v>
      </c>
      <c r="D5" s="2" t="s">
        <v>737</v>
      </c>
      <c r="E5" s="2" t="s">
        <v>738</v>
      </c>
      <c r="F5" s="2" t="s">
        <v>739</v>
      </c>
    </row>
    <row r="6" spans="1:6" x14ac:dyDescent="0.25">
      <c r="A6" s="3" t="s">
        <v>740</v>
      </c>
      <c r="B6" s="3" t="s">
        <v>741</v>
      </c>
      <c r="C6" s="4" t="str">
        <f ca="1">_xlfn.SINGLE(_xlfn.FORMULATEXT('09_BASELINE_RESULTS'!C13))</f>
        <v>=AVERAGE(C4:C9)</v>
      </c>
      <c r="D6" s="2" t="s">
        <v>742</v>
      </c>
      <c r="E6" s="2" t="s">
        <v>743</v>
      </c>
      <c r="F6" s="2" t="s">
        <v>744</v>
      </c>
    </row>
    <row r="7" spans="1:6" ht="60" x14ac:dyDescent="0.25">
      <c r="A7" s="3" t="s">
        <v>745</v>
      </c>
      <c r="B7" s="3" t="s">
        <v>746</v>
      </c>
      <c r="C7" s="4" t="str">
        <f ca="1">_xlfn.SINGLE(_xlfn.FORMULATEXT('10_ENSEMBLE_ANALYSIS'!K4))</f>
        <v>=IF(NOT(ISNUMBER(J4));"";IF(E4="Positive";IF(J4&lt;F4;0;IF(J4&lt;G4;0.25+0.25*(J4-F4)/(G4-F4);IF(J4&lt;H4;0.5+0.25*(J4-G4)/(H4-G4);IF(J4&lt;I4;0.75+0.25*(J4-H4)/(I4-H4);1))));IF(J4&gt;F4;0;IF(J4&gt;G4;0.25+0.25*(F4-J4)/(F4-G4);IF(J4&gt;H4;0.5+0.25*(G4-J4)/(G4-H4);IF(J4&gt;I4;0.75+0.25*(H4-J4)/(H4-I4);1))))))</v>
      </c>
      <c r="D7" s="2" t="s">
        <v>747</v>
      </c>
      <c r="E7" s="2" t="s">
        <v>748</v>
      </c>
      <c r="F7" s="2" t="s">
        <v>749</v>
      </c>
    </row>
    <row r="8" spans="1:6" ht="60" x14ac:dyDescent="0.25">
      <c r="A8" s="3" t="s">
        <v>750</v>
      </c>
      <c r="B8" s="3" t="s">
        <v>751</v>
      </c>
      <c r="C8" s="4" t="str">
        <f ca="1">_xlfn.SINGLE(_xlfn.FORMULATEXT('11_PRE_POST'!F4))</f>
        <v>=IFERROR(SUMIFS('06_IMPORT_ANNUAL'!$D$4:$D$328;'06_IMPORT_ANNUAL'!$B$4:$B$328;$B4;'06_IMPORT_ANNUAL'!$C$4:$C$328;"&gt;="&amp;'01_CONTROL'!$B$5;'06_IMPORT_ANNUAL'!$C$4:$C$328;"&lt;="&amp;'01_CONTROL'!$B$6)/COUNTIFS('06_IMPORT_ANNUAL'!$B$4:$B$328;$B4;'06_IMPORT_ANNUAL'!$C$4:$C$328;"&gt;="&amp;'01_CONTROL'!$B$5;'06_IMPORT_ANNUAL'!$C$4:$C$328;"&lt;="&amp;'01_CONTROL'!$B$6);"")</v>
      </c>
      <c r="D8" s="2" t="s">
        <v>752</v>
      </c>
      <c r="E8" s="2" t="s">
        <v>753</v>
      </c>
      <c r="F8" s="2" t="s">
        <v>754</v>
      </c>
    </row>
    <row r="9" spans="1:6" ht="180" x14ac:dyDescent="0.25">
      <c r="A9" s="3" t="s">
        <v>755</v>
      </c>
      <c r="B9" s="3" t="s">
        <v>756</v>
      </c>
      <c r="C9" s="4" t="str">
        <f ca="1">_xlfn.SINGLE(_xlfn.FORMULATEXT('11_PRE_POST'!K4))</f>
        <v>=IF(NOT(ISNUMBER(H4));"";IF(E4="Positive";IF(H4&lt;'04_THRESHOLDS_WEIGHTS'!G4;0;IF(H4&lt;'04_THRESHOLDS_WEIGHTS'!H4;0.25+0.25*(H4-'04_THRESHOLDS_WEIGHTS'!G4)/('04_THRESHOLDS_WEIGHTS'!H4-'04_THRESHOLDS_WEIGHTS'!G4);IF(H4&lt;'04_THRESHOLDS_WEIGHTS'!I4;0.5+0.25*(H4-'04_THRESHOLDS_WEIGHTS'!H4)/('04_THRESHOLDS_WEIGHTS'!I4-'04_THRESHOLDS_WEIGHTS'!H4);IF(H4&lt;'04_THRESHOLDS_WEIGHTS'!J4;0.75+0.25*(H4-'04_THRESHOLDS_WEIGHTS'!I4)/('04_THRESHOLDS_WEIGHTS'!J4-'04_THRESHOLDS_WEIGHTS'!I4);1))));IF(H4&gt;'04_THRESHOLDS_WEIGHTS'!G4;0;IF(H4&gt;'04_THRESHOLDS_WEIGHTS'!H4;0.25+0.25*('04_THRESHOLDS_WEIGHTS'!G4-H4)/('04_THRESHOLDS_WEIGHTS'!G4-'04_THRESHOLDS_WEIGHTS'!H4);IF(H4&gt;'04_THRESHOLDS_WEIGHTS'!I4;0.5+0.25*('04_THRESHOLDS_WEIGHTS'!H4-H4)/('04_THRESHOLDS_WEIGHTS'!H4-'04_THRESHOLDS_WEIGHTS'!I4);IF(H4&gt;'04_THRESHOLDS_WEIGHTS'!J4;0.75+0.25*('04_THRESHOLDS_WEIGHTS'!I4-H4)/('04_THRESHOLDS_WEIGHTS'!I4-'04_THRESHOLDS_WEIGHTS'!J4);1))))))</v>
      </c>
      <c r="D9" s="2" t="s">
        <v>757</v>
      </c>
      <c r="E9" s="2" t="s">
        <v>758</v>
      </c>
      <c r="F9" s="2" t="s">
        <v>759</v>
      </c>
    </row>
    <row r="10" spans="1:6" ht="60" x14ac:dyDescent="0.25">
      <c r="A10" s="3" t="s">
        <v>760</v>
      </c>
      <c r="B10" s="3" t="s">
        <v>761</v>
      </c>
      <c r="C10" s="4" t="str">
        <f ca="1">_xlfn.SINGLE(_xlfn.FORMULATEXT('13_THRESHOLD_SENSITIVITY'!K4))</f>
        <v>=IF(NOT(ISNUMBER(E4));"";IF(D4="Positive";IF(E4&lt;G4;0;IF(E4&lt;H4;0.25+0.25*(E4-G4)/(H4-G4);IF(E4&lt;I4;0.5+0.25*(E4-H4)/(I4-H4);IF(E4&lt;J4;0.75+0.25*(E4-I4)/(J4-I4);1))));IF(E4&gt;G4;0;IF(E4&gt;H4;0.25+0.25*(G4-E4)/(G4-H4);IF(E4&gt;I4;0.5+0.25*(H4-E4)/(H4-I4);IF(E4&gt;J4;0.75+0.25*(I4-E4)/(I4-J4);1))))))</v>
      </c>
      <c r="D10" s="2" t="s">
        <v>762</v>
      </c>
      <c r="E10" s="2" t="s">
        <v>17</v>
      </c>
      <c r="F10" s="2" t="s">
        <v>763</v>
      </c>
    </row>
    <row r="11" spans="1:6" ht="30" x14ac:dyDescent="0.25">
      <c r="A11" s="3" t="s">
        <v>764</v>
      </c>
      <c r="B11" s="3" t="s">
        <v>765</v>
      </c>
      <c r="C11" s="4" t="str">
        <f ca="1">_xlfn.SINGLE(_xlfn.FORMULATEXT('14_LEAVE_ONE_OUT'!F4))</f>
        <v>=AVERAGE(E4;'09_BASELINE_RESULTS'!C5;'09_BASELINE_RESULTS'!C6;'09_BASELINE_RESULTS'!C7;'09_BASELINE_RESULTS'!C8;'09_BASELINE_RESULTS'!C9)</v>
      </c>
      <c r="D11" s="2" t="s">
        <v>766</v>
      </c>
      <c r="E11" s="2" t="s">
        <v>767</v>
      </c>
      <c r="F11" s="2" t="s">
        <v>768</v>
      </c>
    </row>
    <row r="12" spans="1:6" x14ac:dyDescent="0.25">
      <c r="A12" s="3" t="s">
        <v>769</v>
      </c>
      <c r="B12" s="3" t="s">
        <v>770</v>
      </c>
      <c r="C12" s="4" t="str">
        <f ca="1">_xlfn.SINGLE(_xlfn.FORMULATEXT('16_OUTPUT_PUBLICATION'!B4))</f>
        <v>='09_BASELINE_RESULTS'!C13</v>
      </c>
      <c r="D12" s="2" t="s">
        <v>771</v>
      </c>
      <c r="E12" s="2" t="s">
        <v>772</v>
      </c>
      <c r="F12" s="2" t="s">
        <v>773</v>
      </c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8"/>
  <sheetViews>
    <sheetView showGridLines="0" workbookViewId="0">
      <selection activeCell="E9" sqref="E9"/>
    </sheetView>
  </sheetViews>
  <sheetFormatPr defaultRowHeight="15" x14ac:dyDescent="0.25"/>
  <cols>
    <col min="1" max="1" width="34" customWidth="1"/>
    <col min="2" max="7" width="20" customWidth="1"/>
    <col min="8" max="8" width="30" customWidth="1"/>
  </cols>
  <sheetData>
    <row r="1" spans="1:8" ht="27" customHeight="1" x14ac:dyDescent="0.25">
      <c r="A1" s="10" t="s">
        <v>774</v>
      </c>
      <c r="B1" s="10"/>
      <c r="C1" s="10"/>
      <c r="D1" s="10"/>
      <c r="E1" s="10"/>
      <c r="F1" s="10"/>
      <c r="G1" s="10"/>
      <c r="H1" s="10"/>
    </row>
    <row r="3" spans="1:8" x14ac:dyDescent="0.25">
      <c r="A3" s="1" t="s">
        <v>775</v>
      </c>
      <c r="B3" s="1" t="s">
        <v>47</v>
      </c>
      <c r="C3" s="1" t="s">
        <v>654</v>
      </c>
      <c r="D3" s="1" t="s">
        <v>605</v>
      </c>
      <c r="E3" s="1" t="s">
        <v>776</v>
      </c>
      <c r="F3" s="1" t="s">
        <v>777</v>
      </c>
      <c r="G3" s="1" t="s">
        <v>778</v>
      </c>
      <c r="H3" s="1" t="s">
        <v>779</v>
      </c>
    </row>
    <row r="4" spans="1:8" x14ac:dyDescent="0.25">
      <c r="A4" s="3" t="s">
        <v>780</v>
      </c>
      <c r="B4" s="6">
        <f>'09_BASELINE_RESULTS'!C13</f>
        <v>0.68504273439783836</v>
      </c>
      <c r="C4" s="6">
        <f>'09_BASELINE_RESULTS'!B13</f>
        <v>0.68705337898623065</v>
      </c>
      <c r="D4" s="6" t="str">
        <f>IF(NOT(ISNUMBER(B4)),"",IF(B4&lt;0.25,"Low",IF(B4&lt;0.5,"Moderate",IF(B4&lt;0.75,"Good","Excellent"))))</f>
        <v>Good</v>
      </c>
      <c r="E4" s="6"/>
      <c r="F4" s="6"/>
      <c r="G4" s="6"/>
      <c r="H4" s="2" t="s">
        <v>771</v>
      </c>
    </row>
    <row r="5" spans="1:8" x14ac:dyDescent="0.25">
      <c r="A5" s="3" t="s">
        <v>781</v>
      </c>
      <c r="B5" s="6"/>
      <c r="C5" s="6"/>
      <c r="D5" s="6" t="str">
        <f>IF(NOT(ISNUMBER(E5)),"",IF(E5&lt;0.25,"Low",IF(E5&lt;0.5,"Moderate",IF(E5&lt;0.75,"Good","Excellent"))))</f>
        <v>Good</v>
      </c>
      <c r="E5" s="6">
        <f>'10_ENSEMBLE_ANALYSIS'!B53</f>
        <v>0.63278796413617278</v>
      </c>
      <c r="F5" s="6">
        <f>'10_ENSEMBLE_ANALYSIS'!B54</f>
        <v>0.71247392623980177</v>
      </c>
      <c r="G5" s="6">
        <f>F5-E5</f>
        <v>7.9685962103628993E-2</v>
      </c>
      <c r="H5" s="2" t="s">
        <v>782</v>
      </c>
    </row>
    <row r="6" spans="1:8" x14ac:dyDescent="0.25">
      <c r="A6" s="3" t="s">
        <v>783</v>
      </c>
      <c r="B6" s="6"/>
      <c r="C6" s="6"/>
      <c r="D6" s="6" t="str">
        <f>IF(NOT(ISNUMBER(F6)),"",IF(F6&lt;0.25,"Low",IF(F6&lt;0.5,"Moderate",IF(F6&lt;0.75,"Good","Excellent"))))</f>
        <v>Good</v>
      </c>
      <c r="E6" s="6">
        <f>'11_PRE_POST'!E50</f>
        <v>0.7011554107385245</v>
      </c>
      <c r="F6" s="6">
        <f>'11_PRE_POST'!G50</f>
        <v>0.73194758841216845</v>
      </c>
      <c r="G6" s="6">
        <f>F6-E6</f>
        <v>3.079217767364395E-2</v>
      </c>
      <c r="H6" s="2" t="s">
        <v>784</v>
      </c>
    </row>
    <row r="7" spans="1:8" x14ac:dyDescent="0.25">
      <c r="A7" s="3" t="s">
        <v>785</v>
      </c>
      <c r="B7" s="6"/>
      <c r="C7" s="6"/>
      <c r="D7" s="6" t="str">
        <f>IF(NOT(ISNUMBER(B4)),"",IF(B4&lt;0.25,"Low",IF(B4&lt;0.5,"Moderate",IF(B4&lt;0.75,"Good","Excellent"))))</f>
        <v>Good</v>
      </c>
      <c r="E7" s="6">
        <f>'13_THRESHOLD_SENSITIVITY'!B57</f>
        <v>0.51779468361455816</v>
      </c>
      <c r="F7" s="6">
        <f>'13_THRESHOLD_SENSITIVITY'!B56</f>
        <v>0.79428967568423203</v>
      </c>
      <c r="G7" s="6">
        <f>F7-E7</f>
        <v>0.27649499206967387</v>
      </c>
      <c r="H7" s="2" t="s">
        <v>786</v>
      </c>
    </row>
    <row r="8" spans="1:8" x14ac:dyDescent="0.25">
      <c r="A8" s="3" t="s">
        <v>787</v>
      </c>
      <c r="B8" s="6"/>
      <c r="C8" s="6"/>
      <c r="D8" s="6" t="str">
        <f>IF(NOT(ISNUMBER(E8)),"",IF(E8&lt;0.25,"Low",IF(E8&lt;0.5,"Moderate",IF(E8&lt;0.75,"Good","Excellent"))))</f>
        <v>Good</v>
      </c>
      <c r="E8" s="6">
        <f>MIN('14_LEAVE_ONE_OUT'!F4:F41)</f>
        <v>0.6721497919143089</v>
      </c>
      <c r="F8" s="6">
        <f>MAX('14_LEAVE_ONE_OUT'!F4:F41)</f>
        <v>0.69893388964465741</v>
      </c>
      <c r="G8" s="6">
        <f>F8-E8</f>
        <v>2.6784097730348511E-2</v>
      </c>
      <c r="H8" s="2" t="s">
        <v>788</v>
      </c>
    </row>
    <row r="9" spans="1:8" x14ac:dyDescent="0.25">
      <c r="A9" s="3" t="s">
        <v>789</v>
      </c>
      <c r="B9" s="6"/>
      <c r="C9" s="6"/>
      <c r="D9" s="6" t="str">
        <f>IF(NOT(ISNUMBER(E9)),"",IF(E9&lt;0.25,"Low",IF(E9&lt;0.5,"Moderate",IF(E9&lt;0.75,"Good","Excellent"))))</f>
        <v>Good</v>
      </c>
      <c r="E9" s="6">
        <f>MIN('14_LEAVE_ONE_OUT'!B46:B51)</f>
        <v>0.65048953146582023</v>
      </c>
      <c r="F9" s="6">
        <f>MAX('14_LEAVE_ONE_OUT'!B46:B51)</f>
        <v>0.7033012812774061</v>
      </c>
      <c r="G9" s="6">
        <f>F9-E9</f>
        <v>5.2811749811585873E-2</v>
      </c>
      <c r="H9" s="2" t="s">
        <v>788</v>
      </c>
    </row>
    <row r="12" spans="1:8" x14ac:dyDescent="0.25">
      <c r="A12" s="1" t="s">
        <v>60</v>
      </c>
      <c r="B12" s="1" t="s">
        <v>790</v>
      </c>
      <c r="C12" s="1" t="s">
        <v>791</v>
      </c>
      <c r="D12" s="1" t="s">
        <v>613</v>
      </c>
      <c r="E12" s="1" t="s">
        <v>614</v>
      </c>
      <c r="F12" s="1" t="s">
        <v>792</v>
      </c>
    </row>
    <row r="13" spans="1:8" x14ac:dyDescent="0.25">
      <c r="A13" s="3" t="s">
        <v>67</v>
      </c>
      <c r="B13" s="6">
        <f>'09_BASELINE_RESULTS'!B4</f>
        <v>0.60981447207677852</v>
      </c>
      <c r="C13" s="6">
        <f>'09_BASELINE_RESULTS'!C4</f>
        <v>0.59980884489797603</v>
      </c>
      <c r="D13" s="2" t="str">
        <f t="shared" ref="D13:E18" si="0">IF(NOT(ISNUMBER(B13)),"",IF(B13&lt;0.25,"Low",IF(B13&lt;0.5,"Moderate",IF(B13&lt;0.75,"Good","Excellent"))))</f>
        <v>Good</v>
      </c>
      <c r="E13" s="2" t="str">
        <f t="shared" si="0"/>
        <v>Good</v>
      </c>
      <c r="F13" s="2">
        <f t="shared" ref="F13:F18" si="1">RANK(C13,$C$13:$C$18,0)</f>
        <v>4</v>
      </c>
    </row>
    <row r="14" spans="1:8" x14ac:dyDescent="0.25">
      <c r="A14" s="3" t="s">
        <v>76</v>
      </c>
      <c r="B14" s="6">
        <f>'09_BASELINE_RESULTS'!B5</f>
        <v>0.88427374090298327</v>
      </c>
      <c r="C14" s="6">
        <f>'09_BASELINE_RESULTS'!C5</f>
        <v>0.8578087490579297</v>
      </c>
      <c r="D14" s="2" t="str">
        <f t="shared" si="0"/>
        <v>Excellent</v>
      </c>
      <c r="E14" s="2" t="str">
        <f t="shared" si="0"/>
        <v>Excellent</v>
      </c>
      <c r="F14" s="2">
        <f t="shared" si="1"/>
        <v>1</v>
      </c>
    </row>
    <row r="15" spans="1:8" x14ac:dyDescent="0.25">
      <c r="A15" s="3" t="s">
        <v>82</v>
      </c>
      <c r="B15" s="6">
        <f>'09_BASELINE_RESULTS'!B6</f>
        <v>0.76150514352928766</v>
      </c>
      <c r="C15" s="6">
        <f>'09_BASELINE_RESULTS'!C6</f>
        <v>0.79300252531597537</v>
      </c>
      <c r="D15" s="2" t="str">
        <f t="shared" si="0"/>
        <v>Excellent</v>
      </c>
      <c r="E15" s="2" t="str">
        <f t="shared" si="0"/>
        <v>Excellent</v>
      </c>
      <c r="F15" s="2">
        <f t="shared" si="1"/>
        <v>2</v>
      </c>
    </row>
    <row r="16" spans="1:8" x14ac:dyDescent="0.25">
      <c r="A16" s="3" t="s">
        <v>87</v>
      </c>
      <c r="B16" s="6">
        <f>'09_BASELINE_RESULTS'!B7</f>
        <v>0.66498611813235564</v>
      </c>
      <c r="C16" s="6">
        <f>'09_BASELINE_RESULTS'!C7</f>
        <v>0.67098652506316625</v>
      </c>
      <c r="D16" s="2" t="str">
        <f t="shared" si="0"/>
        <v>Good</v>
      </c>
      <c r="E16" s="2" t="str">
        <f t="shared" si="0"/>
        <v>Good</v>
      </c>
      <c r="F16" s="2">
        <f t="shared" si="1"/>
        <v>3</v>
      </c>
    </row>
    <row r="17" spans="1:6" x14ac:dyDescent="0.25">
      <c r="A17" s="3" t="s">
        <v>93</v>
      </c>
      <c r="B17" s="6">
        <f>'09_BASELINE_RESULTS'!B8</f>
        <v>0.60799079927597877</v>
      </c>
      <c r="C17" s="6">
        <f>'09_BASELINE_RESULTS'!C8</f>
        <v>0.59489976205198325</v>
      </c>
      <c r="D17" s="2" t="str">
        <f t="shared" si="0"/>
        <v>Good</v>
      </c>
      <c r="E17" s="2" t="str">
        <f t="shared" si="0"/>
        <v>Good</v>
      </c>
      <c r="F17" s="2">
        <f t="shared" si="1"/>
        <v>5</v>
      </c>
    </row>
    <row r="18" spans="1:6" x14ac:dyDescent="0.25">
      <c r="A18" s="3" t="s">
        <v>99</v>
      </c>
      <c r="B18" s="6">
        <f>'09_BASELINE_RESULTS'!B9</f>
        <v>0.59375</v>
      </c>
      <c r="C18" s="6">
        <f>'09_BASELINE_RESULTS'!C9</f>
        <v>0.59375</v>
      </c>
      <c r="D18" s="2" t="str">
        <f t="shared" si="0"/>
        <v>Good</v>
      </c>
      <c r="E18" s="2" t="str">
        <f t="shared" si="0"/>
        <v>Good</v>
      </c>
      <c r="F18" s="2">
        <f t="shared" si="1"/>
        <v>6</v>
      </c>
    </row>
  </sheetData>
  <mergeCells count="1"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0"/>
  <sheetViews>
    <sheetView showGridLines="0" workbookViewId="0">
      <selection activeCell="I36" sqref="I36"/>
    </sheetView>
  </sheetViews>
  <sheetFormatPr defaultRowHeight="15" x14ac:dyDescent="0.25"/>
  <cols>
    <col min="1" max="1" width="32" customWidth="1"/>
    <col min="2" max="3" width="19" customWidth="1"/>
    <col min="4" max="4" width="45" customWidth="1"/>
    <col min="6" max="6" width="23" customWidth="1"/>
    <col min="7" max="8" width="18" customWidth="1"/>
  </cols>
  <sheetData>
    <row r="1" spans="1:8" ht="27" customHeight="1" x14ac:dyDescent="0.25">
      <c r="A1" s="10" t="s">
        <v>793</v>
      </c>
      <c r="B1" s="10"/>
      <c r="C1" s="10"/>
      <c r="D1" s="10"/>
      <c r="E1" s="10"/>
      <c r="F1" s="10"/>
      <c r="G1" s="10"/>
      <c r="H1" s="10"/>
    </row>
    <row r="3" spans="1:8" x14ac:dyDescent="0.25">
      <c r="A3" s="1" t="s">
        <v>794</v>
      </c>
      <c r="B3" s="1" t="s">
        <v>31</v>
      </c>
      <c r="C3" s="1" t="s">
        <v>605</v>
      </c>
      <c r="D3" s="1" t="s">
        <v>616</v>
      </c>
      <c r="F3" s="1" t="s">
        <v>795</v>
      </c>
      <c r="G3" s="1" t="s">
        <v>791</v>
      </c>
      <c r="H3" s="1" t="s">
        <v>605</v>
      </c>
    </row>
    <row r="4" spans="1:8" x14ac:dyDescent="0.25">
      <c r="A4" s="3" t="s">
        <v>620</v>
      </c>
      <c r="B4" s="7">
        <f>'09_BASELINE_RESULTS'!C13</f>
        <v>0.68504273439783836</v>
      </c>
      <c r="C4" s="2" t="str">
        <f t="shared" ref="C4:C11" si="0">IF(NOT(ISNUMBER(B4)),"",IF(B4&lt;0.25,"Low",IF(B4&lt;0.5,"Moderate",IF(B4&lt;0.75,"Good","Excellent"))))</f>
        <v>Good</v>
      </c>
      <c r="D4" s="2" t="s">
        <v>796</v>
      </c>
      <c r="F4" s="3" t="s">
        <v>593</v>
      </c>
      <c r="G4" s="6">
        <f>'10_ENSEMBLE_ANALYSIS'!H46</f>
        <v>0.63278796413617278</v>
      </c>
      <c r="H4" s="2" t="str">
        <f>IF(NOT(ISNUMBER(G4)),"",IF(G4&lt;0.25,"Low",IF(G4&lt;0.5,"Moderate",IF(G4&lt;0.75,"Good","Excellent"))))</f>
        <v>Good</v>
      </c>
    </row>
    <row r="5" spans="1:8" x14ac:dyDescent="0.25">
      <c r="A5" s="3" t="s">
        <v>619</v>
      </c>
      <c r="B5" s="7">
        <f>'09_BASELINE_RESULTS'!B13</f>
        <v>0.68705337898623065</v>
      </c>
      <c r="C5" s="2" t="str">
        <f t="shared" si="0"/>
        <v>Good</v>
      </c>
      <c r="D5" s="2" t="s">
        <v>797</v>
      </c>
      <c r="F5" s="3" t="s">
        <v>594</v>
      </c>
      <c r="G5" s="6">
        <f>'10_ENSEMBLE_ANALYSIS'!H47</f>
        <v>0.71171550673538186</v>
      </c>
      <c r="H5" s="2" t="str">
        <f>IF(NOT(ISNUMBER(G5)),"",IF(G5&lt;0.25,"Low",IF(G5&lt;0.5,"Moderate",IF(G5&lt;0.75,"Good","Excellent"))))</f>
        <v>Good</v>
      </c>
    </row>
    <row r="6" spans="1:8" x14ac:dyDescent="0.25">
      <c r="A6" s="3" t="s">
        <v>798</v>
      </c>
      <c r="B6" s="7">
        <f>'10_ENSEMBLE_ANALYSIS'!B53</f>
        <v>0.63278796413617278</v>
      </c>
      <c r="C6" s="2" t="str">
        <f t="shared" si="0"/>
        <v>Good</v>
      </c>
      <c r="D6" s="2" t="s">
        <v>799</v>
      </c>
      <c r="F6" s="3" t="s">
        <v>595</v>
      </c>
      <c r="G6" s="6">
        <f>'10_ENSEMBLE_ANALYSIS'!H48</f>
        <v>0.70606149366359405</v>
      </c>
      <c r="H6" s="2" t="str">
        <f>IF(NOT(ISNUMBER(G6)),"",IF(G6&lt;0.25,"Low",IF(G6&lt;0.5,"Moderate",IF(G6&lt;0.75,"Good","Excellent"))))</f>
        <v>Good</v>
      </c>
    </row>
    <row r="7" spans="1:8" x14ac:dyDescent="0.25">
      <c r="A7" s="3" t="s">
        <v>800</v>
      </c>
      <c r="B7" s="7">
        <f>'10_ENSEMBLE_ANALYSIS'!B54</f>
        <v>0.71247392623980177</v>
      </c>
      <c r="C7" s="2" t="str">
        <f t="shared" si="0"/>
        <v>Good</v>
      </c>
      <c r="D7" s="2" t="s">
        <v>799</v>
      </c>
      <c r="F7" s="3" t="s">
        <v>596</v>
      </c>
      <c r="G7" s="6">
        <f>'10_ENSEMBLE_ANALYSIS'!H49</f>
        <v>0.71247392623980177</v>
      </c>
      <c r="H7" s="2" t="str">
        <f>IF(NOT(ISNUMBER(G7)),"",IF(G7&lt;0.25,"Low",IF(G7&lt;0.5,"Moderate",IF(G7&lt;0.75,"Good","Excellent"))))</f>
        <v>Good</v>
      </c>
    </row>
    <row r="8" spans="1:8" x14ac:dyDescent="0.25">
      <c r="A8" s="3" t="s">
        <v>801</v>
      </c>
      <c r="B8" s="7">
        <f>'11_PRE_POST'!E50</f>
        <v>0.7011554107385245</v>
      </c>
      <c r="C8" s="2" t="str">
        <f t="shared" si="0"/>
        <v>Good</v>
      </c>
      <c r="D8" s="2" t="s">
        <v>802</v>
      </c>
    </row>
    <row r="9" spans="1:8" x14ac:dyDescent="0.25">
      <c r="A9" s="3" t="s">
        <v>803</v>
      </c>
      <c r="B9" s="7">
        <f>'11_PRE_POST'!G50</f>
        <v>0.73194758841216845</v>
      </c>
      <c r="C9" s="2" t="str">
        <f t="shared" si="0"/>
        <v>Good</v>
      </c>
      <c r="D9" s="2" t="s">
        <v>804</v>
      </c>
    </row>
    <row r="10" spans="1:8" x14ac:dyDescent="0.25">
      <c r="A10" s="3" t="s">
        <v>805</v>
      </c>
      <c r="B10" s="7">
        <f>'13_THRESHOLD_SENSITIVITY'!B57</f>
        <v>0.51779468361455816</v>
      </c>
      <c r="C10" s="2" t="str">
        <f t="shared" si="0"/>
        <v>Good</v>
      </c>
      <c r="D10" s="2" t="s">
        <v>806</v>
      </c>
    </row>
    <row r="11" spans="1:8" x14ac:dyDescent="0.25">
      <c r="A11" s="3" t="s">
        <v>807</v>
      </c>
      <c r="B11" s="7">
        <f>'13_THRESHOLD_SENSITIVITY'!B56</f>
        <v>0.79428967568423203</v>
      </c>
      <c r="C11" s="2" t="str">
        <f t="shared" si="0"/>
        <v>Excellent</v>
      </c>
      <c r="D11" s="2" t="s">
        <v>806</v>
      </c>
    </row>
    <row r="14" spans="1:8" x14ac:dyDescent="0.25">
      <c r="A14" s="1" t="s">
        <v>60</v>
      </c>
      <c r="B14" s="1" t="s">
        <v>685</v>
      </c>
      <c r="C14" s="1" t="s">
        <v>47</v>
      </c>
      <c r="D14" s="1" t="s">
        <v>605</v>
      </c>
    </row>
    <row r="15" spans="1:8" x14ac:dyDescent="0.25">
      <c r="A15" s="3" t="s">
        <v>67</v>
      </c>
      <c r="B15" s="6">
        <f>'09_BASELINE_RESULTS'!B4</f>
        <v>0.60981447207677852</v>
      </c>
      <c r="C15" s="6">
        <f>'09_BASELINE_RESULTS'!C4</f>
        <v>0.59980884489797603</v>
      </c>
      <c r="D15" s="2" t="str">
        <f t="shared" ref="D15:D20" si="1">IF(NOT(ISNUMBER(C15)),"",IF(C15&lt;0.25,"Low",IF(C15&lt;0.5,"Moderate",IF(C15&lt;0.75,"Good","Excellent"))))</f>
        <v>Good</v>
      </c>
    </row>
    <row r="16" spans="1:8" x14ac:dyDescent="0.25">
      <c r="A16" s="3" t="s">
        <v>76</v>
      </c>
      <c r="B16" s="6">
        <f>'09_BASELINE_RESULTS'!B5</f>
        <v>0.88427374090298327</v>
      </c>
      <c r="C16" s="6">
        <f>'09_BASELINE_RESULTS'!C5</f>
        <v>0.8578087490579297</v>
      </c>
      <c r="D16" s="2" t="str">
        <f t="shared" si="1"/>
        <v>Excellent</v>
      </c>
    </row>
    <row r="17" spans="1:4" x14ac:dyDescent="0.25">
      <c r="A17" s="3" t="s">
        <v>82</v>
      </c>
      <c r="B17" s="6">
        <f>'09_BASELINE_RESULTS'!B6</f>
        <v>0.76150514352928766</v>
      </c>
      <c r="C17" s="6">
        <f>'09_BASELINE_RESULTS'!C6</f>
        <v>0.79300252531597537</v>
      </c>
      <c r="D17" s="2" t="str">
        <f t="shared" si="1"/>
        <v>Excellent</v>
      </c>
    </row>
    <row r="18" spans="1:4" x14ac:dyDescent="0.25">
      <c r="A18" s="3" t="s">
        <v>87</v>
      </c>
      <c r="B18" s="6">
        <f>'09_BASELINE_RESULTS'!B7</f>
        <v>0.66498611813235564</v>
      </c>
      <c r="C18" s="6">
        <f>'09_BASELINE_RESULTS'!C7</f>
        <v>0.67098652506316625</v>
      </c>
      <c r="D18" s="2" t="str">
        <f t="shared" si="1"/>
        <v>Good</v>
      </c>
    </row>
    <row r="19" spans="1:4" x14ac:dyDescent="0.25">
      <c r="A19" s="3" t="s">
        <v>93</v>
      </c>
      <c r="B19" s="6">
        <f>'09_BASELINE_RESULTS'!B8</f>
        <v>0.60799079927597877</v>
      </c>
      <c r="C19" s="6">
        <f>'09_BASELINE_RESULTS'!C8</f>
        <v>0.59489976205198325</v>
      </c>
      <c r="D19" s="2" t="str">
        <f t="shared" si="1"/>
        <v>Good</v>
      </c>
    </row>
    <row r="20" spans="1:4" x14ac:dyDescent="0.25">
      <c r="A20" s="3" t="s">
        <v>99</v>
      </c>
      <c r="B20" s="6">
        <f>'09_BASELINE_RESULTS'!B9</f>
        <v>0.59375</v>
      </c>
      <c r="C20" s="6">
        <f>'09_BASELINE_RESULTS'!C9</f>
        <v>0.59375</v>
      </c>
      <c r="D20" s="2" t="str">
        <f t="shared" si="1"/>
        <v>Good</v>
      </c>
    </row>
  </sheetData>
  <mergeCells count="1">
    <mergeCell ref="A1:H1"/>
  </mergeCells>
  <conditionalFormatting sqref="C15:C20">
    <cfRule type="dataBar" priority="1">
      <dataBar>
        <cfvo type="min"/>
        <cfvo type="max"/>
        <color rgb="FF1F4E79"/>
      </dataBar>
    </cfRule>
    <cfRule type="dataBar" priority="3">
      <dataBar>
        <cfvo type="min"/>
        <cfvo type="max"/>
        <color rgb="FF1F4E79"/>
      </dataBar>
      <extLst>
        <ext xmlns:x14="http://schemas.microsoft.com/office/spreadsheetml/2009/9/main" uri="{B025F937-C7B1-47D3-B67F-A62EFF666E3E}">
          <x14:id>{9A3DC473-F822-66B0-1CE5-C6D26E547D2F}</x14:id>
        </ext>
      </extLst>
    </cfRule>
  </conditionalFormatting>
  <conditionalFormatting sqref="G4:G7">
    <cfRule type="dataBar" priority="2">
      <dataBar>
        <cfvo type="min"/>
        <cfvo type="max"/>
        <color rgb="FF1F4E79"/>
      </dataBar>
    </cfRule>
    <cfRule type="dataBar" priority="4">
      <dataBar>
        <cfvo type="min"/>
        <cfvo type="max"/>
        <color rgb="FF1F4E79"/>
      </dataBar>
      <extLst>
        <ext xmlns:x14="http://schemas.microsoft.com/office/spreadsheetml/2009/9/main" uri="{B025F937-C7B1-47D3-B67F-A62EFF666E3E}">
          <x14:id>{1B344636-49BE-9514-9A12-5C5EAFD89C90}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3DC473-F822-66B0-1CE5-C6D26E547D2F}">
            <x14:dataBar>
              <x14:cfvo type="min"/>
              <x14:cfvo type="max"/>
              <x14:negativeFillColor auto="1"/>
              <x14:axisColor auto="1"/>
            </x14:dataBar>
          </x14:cfRule>
          <xm:sqref>C15:C20</xm:sqref>
        </x14:conditionalFormatting>
        <x14:conditionalFormatting xmlns:xm="http://schemas.microsoft.com/office/excel/2006/main">
          <x14:cfRule type="dataBar" id="{1B344636-49BE-9514-9A12-5C5EAFD89C90}">
            <x14:dataBar>
              <x14:cfvo type="min"/>
              <x14:cfvo type="max"/>
              <x14:negativeFillColor auto="1"/>
              <x14:axisColor auto="1"/>
            </x14:dataBar>
          </x14:cfRule>
          <xm:sqref>G4:G7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5"/>
  <sheetViews>
    <sheetView showGridLines="0" workbookViewId="0">
      <selection activeCell="B12" sqref="B12"/>
    </sheetView>
  </sheetViews>
  <sheetFormatPr defaultRowHeight="15" x14ac:dyDescent="0.25"/>
  <cols>
    <col min="1" max="1" width="38" customWidth="1"/>
    <col min="2" max="4" width="25" customWidth="1"/>
    <col min="5" max="5" width="45" customWidth="1"/>
  </cols>
  <sheetData>
    <row r="1" spans="1:5" ht="27" customHeight="1" x14ac:dyDescent="0.25">
      <c r="A1" s="10" t="s">
        <v>808</v>
      </c>
      <c r="B1" s="10"/>
      <c r="C1" s="10"/>
      <c r="D1" s="10"/>
      <c r="E1" s="10"/>
    </row>
    <row r="3" spans="1:5" x14ac:dyDescent="0.25">
      <c r="A3" s="1" t="s">
        <v>809</v>
      </c>
      <c r="B3" s="1" t="s">
        <v>810</v>
      </c>
      <c r="C3" s="1" t="s">
        <v>811</v>
      </c>
      <c r="D3" s="1" t="s">
        <v>65</v>
      </c>
      <c r="E3" s="1" t="s">
        <v>812</v>
      </c>
    </row>
    <row r="4" spans="1:5" x14ac:dyDescent="0.25">
      <c r="A4" s="3" t="s">
        <v>813</v>
      </c>
      <c r="B4" s="2">
        <v>38</v>
      </c>
      <c r="C4" s="4">
        <f>COUNTA('03_CATALOG'!B4:B41)</f>
        <v>38</v>
      </c>
      <c r="D4" s="4" t="str">
        <f>IF(C4=B4,"PASS","CHECK")</f>
        <v>PASS</v>
      </c>
      <c r="E4" s="2" t="s">
        <v>814</v>
      </c>
    </row>
    <row r="5" spans="1:5" x14ac:dyDescent="0.25">
      <c r="A5" s="3" t="s">
        <v>815</v>
      </c>
      <c r="B5" s="2">
        <v>38</v>
      </c>
      <c r="C5" s="4">
        <f>COUNT('05_IMPORT_BASELINE'!D4:D41)</f>
        <v>38</v>
      </c>
      <c r="D5" s="4" t="str">
        <f>IF(C5=B5,"PASS","CHECK")</f>
        <v>PASS</v>
      </c>
      <c r="E5" s="2" t="s">
        <v>816</v>
      </c>
    </row>
    <row r="6" spans="1:5" x14ac:dyDescent="0.25">
      <c r="A6" s="3" t="s">
        <v>817</v>
      </c>
      <c r="B6" s="2">
        <v>325</v>
      </c>
      <c r="C6" s="4">
        <f>COUNTA('06_IMPORT_ANNUAL'!A4:A328)</f>
        <v>325</v>
      </c>
      <c r="D6" s="4" t="str">
        <f>IF(C6=B6,"PASS","CHECK")</f>
        <v>PASS</v>
      </c>
      <c r="E6" s="2" t="s">
        <v>818</v>
      </c>
    </row>
    <row r="7" spans="1:5" x14ac:dyDescent="0.25">
      <c r="A7" s="3" t="s">
        <v>819</v>
      </c>
      <c r="B7" s="2">
        <v>4</v>
      </c>
      <c r="C7" s="4">
        <f>4</f>
        <v>4</v>
      </c>
      <c r="D7" s="4" t="str">
        <f>IF(C7=B7,"PASS","CHECK")</f>
        <v>PASS</v>
      </c>
      <c r="E7" s="2" t="s">
        <v>820</v>
      </c>
    </row>
    <row r="8" spans="1:5" x14ac:dyDescent="0.25">
      <c r="A8" s="3" t="s">
        <v>821</v>
      </c>
      <c r="B8" s="2" t="s">
        <v>822</v>
      </c>
      <c r="C8" s="4" t="str">
        <f>MIN('08_NORMALISATION'!L4:L41)&amp;"–"&amp;MAX('08_NORMALISATION'!L4:L41)</f>
        <v>0–1</v>
      </c>
      <c r="D8" s="4" t="str">
        <f>IF(AND(MIN('08_NORMALISATION'!L4:L41)&gt;=0,MAX('08_NORMALISATION'!L4:L41)&lt;=1),"PASS","CHECK")</f>
        <v>PASS</v>
      </c>
      <c r="E8" s="2" t="s">
        <v>823</v>
      </c>
    </row>
    <row r="9" spans="1:5" x14ac:dyDescent="0.25">
      <c r="A9" s="3" t="s">
        <v>824</v>
      </c>
      <c r="B9" s="2" t="s">
        <v>825</v>
      </c>
      <c r="C9" s="4" t="str">
        <f>IF(AND(ABS(SUMIFS('04_THRESHOLDS_WEIGHTS'!$K$4:$K$41,'04_THRESHOLDS_WEIGHTS'!$A$4:$A$41,"A")-1)&lt;0.000001,ABS(SUMIFS('04_THRESHOLDS_WEIGHTS'!$K$4:$K$41,'04_THRESHOLDS_WEIGHTS'!$A$4:$A$41,"B")-1)&lt;0.000001,ABS(SUMIFS('04_THRESHOLDS_WEIGHTS'!$K$4:$K$41,'04_THRESHOLDS_WEIGHTS'!$A$4:$A$41,"C")-1)&lt;0.000001,ABS(SUMIFS('04_THRESHOLDS_WEIGHTS'!$K$4:$K$41,'04_THRESHOLDS_WEIGHTS'!$A$4:$A$41,"D")-1)&lt;0.000001,ABS(SUMIFS('04_THRESHOLDS_WEIGHTS'!$K$4:$K$41,'04_THRESHOLDS_WEIGHTS'!$A$4:$A$41,"E")-1)&lt;0.000001,ABS(SUMIFS('04_THRESHOLDS_WEIGHTS'!$K$4:$K$41,'04_THRESHOLDS_WEIGHTS'!$A$4:$A$41,"F")-1)&lt;0.000001),"PASS","CHECK")</f>
        <v>PASS</v>
      </c>
      <c r="D9" s="4" t="str">
        <f>C9</f>
        <v>PASS</v>
      </c>
      <c r="E9" s="2" t="s">
        <v>826</v>
      </c>
    </row>
    <row r="10" spans="1:5" x14ac:dyDescent="0.25">
      <c r="A10" s="3" t="s">
        <v>827</v>
      </c>
      <c r="B10" s="2" t="s">
        <v>825</v>
      </c>
      <c r="C10" s="4" t="str">
        <f>IF(AND(ABS(SUMIFS('04_THRESHOLDS_WEIGHTS'!$L$4:$L$41,'04_THRESHOLDS_WEIGHTS'!$A$4:$A$41,"A")-1)&lt;0.000001,ABS(SUMIFS('04_THRESHOLDS_WEIGHTS'!$L$4:$L$41,'04_THRESHOLDS_WEIGHTS'!$A$4:$A$41,"B")-1)&lt;0.000001,ABS(SUMIFS('04_THRESHOLDS_WEIGHTS'!$L$4:$L$41,'04_THRESHOLDS_WEIGHTS'!$A$4:$A$41,"C")-1)&lt;0.000001,ABS(SUMIFS('04_THRESHOLDS_WEIGHTS'!$L$4:$L$41,'04_THRESHOLDS_WEIGHTS'!$A$4:$A$41,"D")-1)&lt;0.000001,ABS(SUMIFS('04_THRESHOLDS_WEIGHTS'!$L$4:$L$41,'04_THRESHOLDS_WEIGHTS'!$A$4:$A$41,"E")-1)&lt;0.000001,ABS(SUMIFS('04_THRESHOLDS_WEIGHTS'!$L$4:$L$41,'04_THRESHOLDS_WEIGHTS'!$A$4:$A$41,"F")-1)&lt;0.000001),"PASS","CHECK")</f>
        <v>PASS</v>
      </c>
      <c r="D10" s="4" t="str">
        <f>C10</f>
        <v>PASS</v>
      </c>
      <c r="E10" s="2" t="s">
        <v>828</v>
      </c>
    </row>
    <row r="11" spans="1:5" x14ac:dyDescent="0.25">
      <c r="A11" s="3" t="s">
        <v>829</v>
      </c>
      <c r="B11" s="2" t="s">
        <v>830</v>
      </c>
      <c r="C11" s="4">
        <f>MAX(ABS('05_IMPORT_BASELINE'!D4-'07_IMPORT_ENSEMBLE'!I4),ABS('05_IMPORT_BASELINE'!D5-'07_IMPORT_ENSEMBLE'!I5),ABS('05_IMPORT_BASELINE'!D6-'07_IMPORT_ENSEMBLE'!I6),ABS('05_IMPORT_BASELINE'!D7-'07_IMPORT_ENSEMBLE'!I7),ABS('05_IMPORT_BASELINE'!D8-'07_IMPORT_ENSEMBLE'!I8),ABS('05_IMPORT_BASELINE'!D9-'07_IMPORT_ENSEMBLE'!I9),ABS('05_IMPORT_BASELINE'!D10-'07_IMPORT_ENSEMBLE'!I10),ABS('05_IMPORT_BASELINE'!D11-'07_IMPORT_ENSEMBLE'!I11),ABS('05_IMPORT_BASELINE'!D12-'07_IMPORT_ENSEMBLE'!I12),ABS('05_IMPORT_BASELINE'!D13-'07_IMPORT_ENSEMBLE'!I13),ABS('05_IMPORT_BASELINE'!D14-'07_IMPORT_ENSEMBLE'!I14),ABS('05_IMPORT_BASELINE'!D15-'07_IMPORT_ENSEMBLE'!I15),ABS('05_IMPORT_BASELINE'!D16-'07_IMPORT_ENSEMBLE'!I16),ABS('05_IMPORT_BASELINE'!D17-'07_IMPORT_ENSEMBLE'!I17),ABS('05_IMPORT_BASELINE'!D18-'07_IMPORT_ENSEMBLE'!I18),ABS('05_IMPORT_BASELINE'!D19-'07_IMPORT_ENSEMBLE'!I19),ABS('05_IMPORT_BASELINE'!D20-'07_IMPORT_ENSEMBLE'!I20),ABS('05_IMPORT_BASELINE'!D21-'07_IMPORT_ENSEMBLE'!I21),ABS('05_IMPORT_BASELINE'!D22-'07_IMPORT_ENSEMBLE'!I22),ABS('05_IMPORT_BASELINE'!D23-'07_IMPORT_ENSEMBLE'!I23),ABS('05_IMPORT_BASELINE'!D24-'07_IMPORT_ENSEMBLE'!I24),ABS('05_IMPORT_BASELINE'!D25-'07_IMPORT_ENSEMBLE'!I25),ABS('05_IMPORT_BASELINE'!D26-'07_IMPORT_ENSEMBLE'!I26),ABS('05_IMPORT_BASELINE'!D27-'07_IMPORT_ENSEMBLE'!I27),ABS('05_IMPORT_BASELINE'!D28-'07_IMPORT_ENSEMBLE'!I28),ABS('05_IMPORT_BASELINE'!D29-'07_IMPORT_ENSEMBLE'!I29),ABS('05_IMPORT_BASELINE'!D30-'07_IMPORT_ENSEMBLE'!I30),ABS('05_IMPORT_BASELINE'!D31-'07_IMPORT_ENSEMBLE'!I31),ABS('05_IMPORT_BASELINE'!D32-'07_IMPORT_ENSEMBLE'!I32),ABS('05_IMPORT_BASELINE'!D33-'07_IMPORT_ENSEMBLE'!I33),ABS('05_IMPORT_BASELINE'!D34-'07_IMPORT_ENSEMBLE'!I34),ABS('05_IMPORT_BASELINE'!D35-'07_IMPORT_ENSEMBLE'!I35),ABS('05_IMPORT_BASELINE'!D36-'07_IMPORT_ENSEMBLE'!I36),ABS('05_IMPORT_BASELINE'!D37-'07_IMPORT_ENSEMBLE'!I37),ABS('05_IMPORT_BASELINE'!D38-'07_IMPORT_ENSEMBLE'!I38),ABS('05_IMPORT_BASELINE'!D39-'07_IMPORT_ENSEMBLE'!I39),ABS('05_IMPORT_BASELINE'!D40-'07_IMPORT_ENSEMBLE'!I40),ABS('05_IMPORT_BASELINE'!D41-'07_IMPORT_ENSEMBLE'!I41))</f>
        <v>5.6843418860808015E-14</v>
      </c>
      <c r="D11" s="4" t="str">
        <f>IF(C11&lt;0.000000001,"PASS","CHECK")</f>
        <v>PASS</v>
      </c>
      <c r="E11" s="2" t="s">
        <v>831</v>
      </c>
    </row>
    <row r="12" spans="1:5" x14ac:dyDescent="0.25">
      <c r="A12" s="3" t="s">
        <v>40</v>
      </c>
      <c r="B12" s="2">
        <v>2021</v>
      </c>
      <c r="C12" s="4">
        <f>'01_CONTROL'!B7</f>
        <v>2021</v>
      </c>
      <c r="D12" s="4" t="str">
        <f>IF(C12=B12,"PASS","CHECK")</f>
        <v>PASS</v>
      </c>
      <c r="E12" s="2" t="s">
        <v>832</v>
      </c>
    </row>
    <row r="13" spans="1:5" x14ac:dyDescent="0.25">
      <c r="A13" s="3" t="s">
        <v>833</v>
      </c>
      <c r="B13" s="2" t="s">
        <v>57</v>
      </c>
      <c r="C13" s="4" t="str">
        <f>IF(COUNTIF('11_PRE_POST'!A4:A37,"F")=0,"Excluded","Included")</f>
        <v>Excluded</v>
      </c>
      <c r="D13" s="4" t="str">
        <f>IF(C13=B13,"PASS","CHECK")</f>
        <v>PASS</v>
      </c>
      <c r="E13" s="2" t="s">
        <v>834</v>
      </c>
    </row>
    <row r="14" spans="1:5" x14ac:dyDescent="0.25">
      <c r="A14" s="3" t="s">
        <v>835</v>
      </c>
      <c r="B14" s="2">
        <v>0</v>
      </c>
      <c r="C14" s="4">
        <v>0</v>
      </c>
      <c r="D14" s="4" t="s">
        <v>836</v>
      </c>
      <c r="E14" s="2" t="s">
        <v>837</v>
      </c>
    </row>
    <row r="15" spans="1:5" x14ac:dyDescent="0.25">
      <c r="A15" s="3" t="s">
        <v>838</v>
      </c>
      <c r="B15" s="2" t="s">
        <v>57</v>
      </c>
      <c r="C15" s="4" t="s">
        <v>57</v>
      </c>
      <c r="D15" s="4" t="s">
        <v>836</v>
      </c>
      <c r="E15" s="2" t="s">
        <v>839</v>
      </c>
    </row>
  </sheetData>
  <mergeCells count="1">
    <mergeCell ref="A1: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4"/>
  <sheetViews>
    <sheetView showGridLines="0" workbookViewId="0">
      <selection activeCell="A21" sqref="A21:XFD21"/>
    </sheetView>
  </sheetViews>
  <sheetFormatPr defaultRowHeight="15" x14ac:dyDescent="0.25"/>
  <cols>
    <col min="1" max="2" width="16" customWidth="1"/>
    <col min="3" max="3" width="22" customWidth="1"/>
    <col min="4" max="6" width="52" customWidth="1"/>
  </cols>
  <sheetData>
    <row r="1" spans="1:6" ht="27" customHeight="1" x14ac:dyDescent="0.25">
      <c r="A1" s="10" t="s">
        <v>840</v>
      </c>
      <c r="B1" s="10"/>
      <c r="C1" s="10"/>
      <c r="D1" s="10"/>
      <c r="E1" s="10"/>
      <c r="F1" s="10"/>
    </row>
    <row r="3" spans="1:6" x14ac:dyDescent="0.25">
      <c r="A3" s="1" t="s">
        <v>3</v>
      </c>
      <c r="B3" s="1" t="s">
        <v>841</v>
      </c>
      <c r="C3" s="1" t="s">
        <v>842</v>
      </c>
      <c r="D3" s="1" t="s">
        <v>843</v>
      </c>
      <c r="E3" s="1" t="s">
        <v>844</v>
      </c>
      <c r="F3" s="1" t="s">
        <v>845</v>
      </c>
    </row>
    <row r="4" spans="1:6" ht="15" customHeight="1" x14ac:dyDescent="0.25">
      <c r="A4" s="3" t="s">
        <v>4</v>
      </c>
      <c r="B4" s="3" t="s">
        <v>846</v>
      </c>
      <c r="C4" s="3" t="s">
        <v>847</v>
      </c>
      <c r="D4" s="4" t="s">
        <v>848</v>
      </c>
      <c r="E4" s="4" t="s">
        <v>849</v>
      </c>
      <c r="F4" s="2" t="s">
        <v>850</v>
      </c>
    </row>
    <row r="5" spans="1:6" ht="15" customHeight="1" x14ac:dyDescent="0.25">
      <c r="A5" s="3" t="s">
        <v>4</v>
      </c>
      <c r="B5" s="3" t="s">
        <v>846</v>
      </c>
      <c r="C5" s="3" t="s">
        <v>13</v>
      </c>
      <c r="D5" s="4" t="s">
        <v>851</v>
      </c>
      <c r="E5" s="4" t="s">
        <v>852</v>
      </c>
      <c r="F5" s="2" t="s">
        <v>853</v>
      </c>
    </row>
    <row r="6" spans="1:6" ht="15" customHeight="1" x14ac:dyDescent="0.25">
      <c r="A6" s="3" t="s">
        <v>4</v>
      </c>
      <c r="B6" s="3" t="s">
        <v>846</v>
      </c>
      <c r="C6" s="3" t="s">
        <v>854</v>
      </c>
      <c r="D6" s="4" t="s">
        <v>855</v>
      </c>
      <c r="E6" s="4" t="s">
        <v>856</v>
      </c>
      <c r="F6" s="2" t="s">
        <v>857</v>
      </c>
    </row>
    <row r="7" spans="1:6" ht="15" customHeight="1" x14ac:dyDescent="0.25">
      <c r="A7" s="3" t="s">
        <v>4</v>
      </c>
      <c r="B7" s="3" t="s">
        <v>846</v>
      </c>
      <c r="C7" s="3" t="s">
        <v>858</v>
      </c>
      <c r="D7" s="4" t="s">
        <v>859</v>
      </c>
      <c r="E7" s="4" t="s">
        <v>860</v>
      </c>
      <c r="F7" s="2" t="s">
        <v>861</v>
      </c>
    </row>
    <row r="8" spans="1:6" ht="15" customHeight="1" x14ac:dyDescent="0.25">
      <c r="A8" s="3" t="s">
        <v>4</v>
      </c>
      <c r="B8" s="3" t="s">
        <v>846</v>
      </c>
      <c r="C8" s="3" t="s">
        <v>862</v>
      </c>
      <c r="D8" s="4" t="s">
        <v>863</v>
      </c>
      <c r="E8" s="4" t="s">
        <v>864</v>
      </c>
      <c r="F8" s="2" t="s">
        <v>865</v>
      </c>
    </row>
    <row r="9" spans="1:6" ht="15" customHeight="1" x14ac:dyDescent="0.25">
      <c r="A9" s="3" t="s">
        <v>4</v>
      </c>
      <c r="B9" s="3" t="s">
        <v>846</v>
      </c>
      <c r="C9" s="3" t="s">
        <v>866</v>
      </c>
      <c r="D9" s="4" t="s">
        <v>867</v>
      </c>
      <c r="E9" s="4" t="s">
        <v>868</v>
      </c>
      <c r="F9" s="2" t="s">
        <v>869</v>
      </c>
    </row>
    <row r="10" spans="1:6" ht="15" customHeight="1" x14ac:dyDescent="0.25">
      <c r="A10" s="3" t="s">
        <v>4</v>
      </c>
      <c r="B10" s="3" t="s">
        <v>846</v>
      </c>
      <c r="C10" s="3" t="s">
        <v>870</v>
      </c>
      <c r="D10" s="4" t="s">
        <v>871</v>
      </c>
      <c r="E10" s="4" t="s">
        <v>872</v>
      </c>
      <c r="F10" s="2" t="s">
        <v>873</v>
      </c>
    </row>
    <row r="11" spans="1:6" ht="15" customHeight="1" x14ac:dyDescent="0.25">
      <c r="A11" s="3" t="s">
        <v>4</v>
      </c>
      <c r="B11" s="3" t="s">
        <v>846</v>
      </c>
      <c r="C11" s="3" t="s">
        <v>874</v>
      </c>
      <c r="D11" s="4" t="s">
        <v>875</v>
      </c>
      <c r="E11" s="4" t="s">
        <v>876</v>
      </c>
      <c r="F11" s="2" t="s">
        <v>877</v>
      </c>
    </row>
    <row r="12" spans="1:6" ht="15" customHeight="1" x14ac:dyDescent="0.25">
      <c r="A12" s="3" t="s">
        <v>4</v>
      </c>
      <c r="B12" s="3" t="s">
        <v>846</v>
      </c>
      <c r="C12" s="3" t="s">
        <v>17</v>
      </c>
      <c r="D12" s="4" t="s">
        <v>878</v>
      </c>
      <c r="E12" s="4" t="s">
        <v>879</v>
      </c>
      <c r="F12" s="2" t="s">
        <v>880</v>
      </c>
    </row>
    <row r="13" spans="1:6" ht="15" customHeight="1" x14ac:dyDescent="0.25">
      <c r="A13" s="3" t="s">
        <v>4</v>
      </c>
      <c r="B13" s="3" t="s">
        <v>846</v>
      </c>
      <c r="C13" s="3" t="s">
        <v>19</v>
      </c>
      <c r="D13" s="4" t="s">
        <v>881</v>
      </c>
      <c r="E13" s="4" t="s">
        <v>882</v>
      </c>
      <c r="F13" s="2" t="s">
        <v>883</v>
      </c>
    </row>
    <row r="14" spans="1:6" ht="15" customHeight="1" x14ac:dyDescent="0.25">
      <c r="A14" s="3" t="s">
        <v>4</v>
      </c>
      <c r="B14" s="3" t="s">
        <v>846</v>
      </c>
      <c r="C14" s="3" t="s">
        <v>884</v>
      </c>
      <c r="D14" s="4" t="s">
        <v>885</v>
      </c>
      <c r="E14" s="4" t="s">
        <v>886</v>
      </c>
      <c r="F14" s="2" t="s">
        <v>887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00_README</vt:lpstr>
      <vt:lpstr>01_CONTROL</vt:lpstr>
      <vt:lpstr>02_SOURCE_REGISTER</vt:lpstr>
      <vt:lpstr>03_CATALOG</vt:lpstr>
      <vt:lpstr>04_THRESHOLDS_WEIGHTS</vt:lpstr>
      <vt:lpstr>05_IMPORT_BASELINE</vt:lpstr>
      <vt:lpstr>06_IMPORT_ANNUAL</vt:lpstr>
      <vt:lpstr>07_IMPORT_ENSEMBLE</vt:lpstr>
      <vt:lpstr>08_NORMALISATION</vt:lpstr>
      <vt:lpstr>09_BASELINE_RESULTS</vt:lpstr>
      <vt:lpstr>10_ENSEMBLE_ANALYSIS</vt:lpstr>
      <vt:lpstr>11_PRE_POST</vt:lpstr>
      <vt:lpstr>12_WEIGHTING_COMPARISON</vt:lpstr>
      <vt:lpstr>13_THRESHOLD_SENSITIVITY</vt:lpstr>
      <vt:lpstr>14_LEAVE_ONE_OUT</vt:lpstr>
      <vt:lpstr>15_FORMULA_MAP</vt:lpstr>
      <vt:lpstr>16_OUTPUT_PUBLICATION</vt:lpstr>
      <vt:lpstr>17_DASHBOARD</vt:lpstr>
      <vt:lpstr>18_QC</vt:lpstr>
      <vt:lpstr>19_CHANGE_LOG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Antónia Fortes Duarte Ferreira</cp:lastModifiedBy>
  <dcterms:modified xsi:type="dcterms:W3CDTF">2026-07-25T07:49:54Z</dcterms:modified>
</cp:coreProperties>
</file>