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theme/themeOverride1.xml" ContentType="application/vnd.openxmlformats-officedocument.themeOverride+xml"/>
  <Override PartName="/xl/charts/chart6.xml" ContentType="application/vnd.openxmlformats-officedocument.drawingml.chart+xml"/>
  <Override PartName="/xl/theme/themeOverride2.xml" ContentType="application/vnd.openxmlformats-officedocument.themeOverride+xml"/>
  <Override PartName="/xl/charts/chart7.xml" ContentType="application/vnd.openxmlformats-officedocument.drawingml.chart+xml"/>
  <Override PartName="/xl/theme/themeOverride3.xml" ContentType="application/vnd.openxmlformats-officedocument.themeOverride+xml"/>
  <Override PartName="/xl/charts/chart8.xml" ContentType="application/vnd.openxmlformats-officedocument.drawingml.chart+xml"/>
  <Override PartName="/xl/theme/themeOverride4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Backup_words\Tool\Done\UPLOAD\"/>
    </mc:Choice>
  </mc:AlternateContent>
  <xr:revisionPtr revIDLastSave="0" documentId="13_ncr:1_{430F845C-EF81-4447-A56D-B6E32F328C79}" xr6:coauthVersionLast="47" xr6:coauthVersionMax="47" xr10:uidLastSave="{00000000-0000-0000-0000-000000000000}"/>
  <bookViews>
    <workbookView xWindow="4665" yWindow="3255" windowWidth="28800" windowHeight="15210" tabRatio="919" activeTab="8" xr2:uid="{00000000-000D-0000-FFFF-FFFF00000000}"/>
  </bookViews>
  <sheets>
    <sheet name="README" sheetId="1" r:id="rId1"/>
    <sheet name="CONTROL_YEARS" sheetId="2" r:id="rId2"/>
    <sheet name="THRESHOLDS_WEIGHTS" sheetId="3" r:id="rId3"/>
    <sheet name="CALC_NORMALISATION" sheetId="7" r:id="rId4"/>
    <sheet name="DASHBOARD_EXPORTS" sheetId="8" r:id="rId5"/>
    <sheet name="INPUT_A_TO_C" sheetId="4" r:id="rId6"/>
    <sheet name="INPUT_D_E" sheetId="5" r:id="rId7"/>
    <sheet name="INPUT_F" sheetId="6" r:id="rId8"/>
    <sheet name="QUALITY_GUIDE" sheetId="9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4" l="1"/>
  <c r="F8" i="4"/>
  <c r="F7" i="4"/>
  <c r="F6" i="4"/>
  <c r="F5" i="4"/>
  <c r="F4" i="4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4" i="6"/>
  <c r="V5" i="5"/>
  <c r="V6" i="5"/>
  <c r="V7" i="5"/>
  <c r="V8" i="5"/>
  <c r="V9" i="5"/>
  <c r="V10" i="5"/>
  <c r="V11" i="5"/>
  <c r="V12" i="5"/>
  <c r="V13" i="5"/>
  <c r="V4" i="5"/>
  <c r="R5" i="5"/>
  <c r="R6" i="5"/>
  <c r="R7" i="5"/>
  <c r="R8" i="5"/>
  <c r="R9" i="5"/>
  <c r="R10" i="5"/>
  <c r="R11" i="5"/>
  <c r="R12" i="5"/>
  <c r="R13" i="5"/>
  <c r="R4" i="5"/>
  <c r="H8" i="5" l="1"/>
  <c r="I8" i="5"/>
  <c r="I9" i="5"/>
  <c r="C11" i="5"/>
  <c r="D11" i="5"/>
  <c r="E11" i="5"/>
  <c r="I11" i="5"/>
  <c r="C12" i="5"/>
  <c r="B4" i="5"/>
  <c r="C4" i="5"/>
  <c r="D4" i="5"/>
  <c r="E4" i="5"/>
  <c r="F4" i="5"/>
  <c r="G4" i="5"/>
  <c r="H4" i="5"/>
  <c r="I4" i="5"/>
  <c r="B5" i="5"/>
  <c r="C5" i="5"/>
  <c r="D5" i="5"/>
  <c r="E5" i="5"/>
  <c r="F5" i="5"/>
  <c r="G5" i="5"/>
  <c r="H5" i="5"/>
  <c r="I5" i="5"/>
  <c r="B6" i="5"/>
  <c r="C6" i="5"/>
  <c r="D6" i="5"/>
  <c r="E6" i="5"/>
  <c r="F6" i="5"/>
  <c r="G6" i="5"/>
  <c r="H6" i="5"/>
  <c r="I6" i="5"/>
  <c r="B7" i="5"/>
  <c r="C7" i="5"/>
  <c r="D7" i="5"/>
  <c r="E7" i="5"/>
  <c r="F7" i="5"/>
  <c r="G7" i="5"/>
  <c r="H7" i="5"/>
  <c r="I7" i="5"/>
  <c r="B8" i="5"/>
  <c r="C8" i="5"/>
  <c r="D8" i="5"/>
  <c r="E8" i="5"/>
  <c r="F8" i="5"/>
  <c r="G8" i="5"/>
  <c r="B9" i="5"/>
  <c r="C9" i="5"/>
  <c r="D9" i="5"/>
  <c r="E9" i="5"/>
  <c r="F9" i="5"/>
  <c r="G9" i="5"/>
  <c r="H9" i="5"/>
  <c r="B10" i="5"/>
  <c r="C10" i="5"/>
  <c r="D10" i="5"/>
  <c r="E10" i="5"/>
  <c r="F10" i="5"/>
  <c r="G10" i="5"/>
  <c r="H10" i="5"/>
  <c r="I10" i="5"/>
  <c r="B11" i="5"/>
  <c r="F11" i="5"/>
  <c r="G11" i="5"/>
  <c r="H11" i="5"/>
  <c r="B12" i="5"/>
  <c r="D12" i="5"/>
  <c r="E12" i="5"/>
  <c r="F12" i="5"/>
  <c r="G12" i="5"/>
  <c r="H12" i="5"/>
  <c r="I12" i="5"/>
  <c r="B13" i="5"/>
  <c r="C13" i="5"/>
  <c r="D13" i="5"/>
  <c r="E13" i="5"/>
  <c r="F13" i="5"/>
  <c r="G13" i="5"/>
  <c r="H13" i="5"/>
  <c r="I13" i="5"/>
  <c r="W13" i="4"/>
  <c r="V13" i="4"/>
  <c r="U13" i="4"/>
  <c r="T13" i="4"/>
  <c r="W12" i="4"/>
  <c r="V12" i="4"/>
  <c r="U12" i="4"/>
  <c r="T12" i="4"/>
  <c r="W11" i="4"/>
  <c r="V11" i="4"/>
  <c r="U11" i="4"/>
  <c r="T11" i="4"/>
  <c r="W10" i="4"/>
  <c r="V10" i="4"/>
  <c r="U10" i="4"/>
  <c r="T10" i="4"/>
  <c r="W9" i="4"/>
  <c r="V9" i="4"/>
  <c r="U9" i="4"/>
  <c r="T9" i="4"/>
  <c r="W8" i="4"/>
  <c r="V8" i="4"/>
  <c r="U8" i="4"/>
  <c r="T8" i="4"/>
  <c r="W7" i="4"/>
  <c r="V7" i="4"/>
  <c r="U7" i="4"/>
  <c r="T7" i="4"/>
  <c r="W6" i="4"/>
  <c r="V6" i="4"/>
  <c r="U6" i="4"/>
  <c r="T6" i="4"/>
  <c r="W5" i="4"/>
  <c r="V5" i="4"/>
  <c r="U5" i="4"/>
  <c r="T5" i="4"/>
  <c r="W4" i="4"/>
  <c r="V4" i="4"/>
  <c r="U4" i="4"/>
  <c r="X13" i="4"/>
  <c r="T4" i="4" l="1"/>
  <c r="X6" i="4"/>
  <c r="X4" i="4"/>
  <c r="X12" i="4"/>
  <c r="X9" i="4" l="1"/>
  <c r="X11" i="4"/>
  <c r="X8" i="4"/>
  <c r="X7" i="4"/>
  <c r="X10" i="4"/>
  <c r="X5" i="4"/>
  <c r="J12" i="7" l="1"/>
  <c r="E14" i="7"/>
  <c r="E13" i="4" l="1"/>
  <c r="E12" i="4"/>
  <c r="E11" i="4"/>
  <c r="E10" i="4"/>
  <c r="E9" i="4"/>
  <c r="E8" i="4"/>
  <c r="E7" i="4"/>
  <c r="E6" i="4"/>
  <c r="G5" i="4" l="1"/>
  <c r="E4" i="4"/>
  <c r="E5" i="4"/>
  <c r="F13" i="4"/>
  <c r="F12" i="4"/>
  <c r="F11" i="4"/>
  <c r="G8" i="4"/>
  <c r="E7" i="7" l="1"/>
  <c r="F7" i="7"/>
  <c r="D7" i="7"/>
  <c r="G7" i="7"/>
  <c r="G4" i="4"/>
  <c r="G12" i="4"/>
  <c r="G11" i="4"/>
  <c r="G9" i="4"/>
  <c r="G13" i="4"/>
  <c r="G7" i="4"/>
  <c r="G10" i="4"/>
  <c r="F10" i="4"/>
  <c r="I8" i="3" s="1"/>
  <c r="G6" i="4"/>
  <c r="E9" i="7" l="1"/>
  <c r="D9" i="7"/>
  <c r="F9" i="7"/>
  <c r="G9" i="7"/>
  <c r="F8" i="7"/>
  <c r="G8" i="7"/>
  <c r="D8" i="7"/>
  <c r="J8" i="7" s="1"/>
  <c r="E8" i="7"/>
  <c r="J7" i="7"/>
  <c r="C12" i="4"/>
  <c r="B5" i="4"/>
  <c r="B12" i="4"/>
  <c r="C13" i="4"/>
  <c r="C7" i="4"/>
  <c r="B7" i="4"/>
  <c r="C10" i="4"/>
  <c r="B10" i="4"/>
  <c r="C9" i="4"/>
  <c r="C6" i="4"/>
  <c r="C8" i="4"/>
  <c r="C5" i="4"/>
  <c r="C11" i="4"/>
  <c r="B9" i="4"/>
  <c r="B6" i="4"/>
  <c r="B13" i="4"/>
  <c r="B11" i="4"/>
  <c r="B8" i="4"/>
  <c r="J9" i="7" l="1"/>
  <c r="B4" i="4"/>
  <c r="D10" i="4"/>
  <c r="D9" i="4"/>
  <c r="C4" i="4"/>
  <c r="D13" i="4"/>
  <c r="D12" i="4"/>
  <c r="D11" i="4"/>
  <c r="F4" i="7" l="1"/>
  <c r="D4" i="7"/>
  <c r="E4" i="7"/>
  <c r="G4" i="7"/>
  <c r="G5" i="7"/>
  <c r="F5" i="7"/>
  <c r="D5" i="7"/>
  <c r="E5" i="7"/>
  <c r="D8" i="4"/>
  <c r="D4" i="4"/>
  <c r="D7" i="4" l="1"/>
  <c r="D5" i="4"/>
  <c r="D6" i="4" l="1"/>
  <c r="F6" i="7" l="1"/>
  <c r="D6" i="7"/>
  <c r="E6" i="7"/>
  <c r="G6" i="7"/>
  <c r="B8" i="2"/>
  <c r="A17" i="2" s="1"/>
  <c r="K26" i="7"/>
  <c r="J5" i="7"/>
  <c r="K5" i="7"/>
  <c r="L5" i="7"/>
  <c r="M5" i="7"/>
  <c r="J6" i="7"/>
  <c r="K6" i="7"/>
  <c r="L6" i="7"/>
  <c r="M6" i="7"/>
  <c r="K7" i="7"/>
  <c r="N7" i="7" s="1"/>
  <c r="O7" i="7" s="1"/>
  <c r="L7" i="7"/>
  <c r="M7" i="7"/>
  <c r="K8" i="7"/>
  <c r="L8" i="7"/>
  <c r="M8" i="7"/>
  <c r="K9" i="7"/>
  <c r="N9" i="7" s="1"/>
  <c r="O9" i="7" s="1"/>
  <c r="L9" i="7"/>
  <c r="M9" i="7"/>
  <c r="J10" i="7"/>
  <c r="K10" i="7"/>
  <c r="L10" i="7"/>
  <c r="M10" i="7"/>
  <c r="J11" i="7"/>
  <c r="K11" i="7"/>
  <c r="L11" i="7"/>
  <c r="M11" i="7"/>
  <c r="K12" i="7"/>
  <c r="L12" i="7"/>
  <c r="M12" i="7"/>
  <c r="J13" i="7"/>
  <c r="K13" i="7"/>
  <c r="L13" i="7"/>
  <c r="M13" i="7"/>
  <c r="J14" i="7"/>
  <c r="K14" i="7"/>
  <c r="L14" i="7"/>
  <c r="M14" i="7"/>
  <c r="J15" i="7"/>
  <c r="K15" i="7"/>
  <c r="L15" i="7"/>
  <c r="M15" i="7"/>
  <c r="J16" i="7"/>
  <c r="K16" i="7"/>
  <c r="L16" i="7"/>
  <c r="M16" i="7"/>
  <c r="J17" i="7"/>
  <c r="K17" i="7"/>
  <c r="L17" i="7"/>
  <c r="M17" i="7"/>
  <c r="J18" i="7"/>
  <c r="K18" i="7"/>
  <c r="L18" i="7"/>
  <c r="M18" i="7"/>
  <c r="J19" i="7"/>
  <c r="K19" i="7"/>
  <c r="L19" i="7"/>
  <c r="M19" i="7"/>
  <c r="J20" i="7"/>
  <c r="K20" i="7"/>
  <c r="L20" i="7"/>
  <c r="M20" i="7"/>
  <c r="J21" i="7"/>
  <c r="K21" i="7"/>
  <c r="L21" i="7"/>
  <c r="M21" i="7"/>
  <c r="J22" i="7"/>
  <c r="K22" i="7"/>
  <c r="L22" i="7"/>
  <c r="M22" i="7"/>
  <c r="J23" i="7"/>
  <c r="K23" i="7"/>
  <c r="L23" i="7"/>
  <c r="M23" i="7"/>
  <c r="J24" i="7"/>
  <c r="K24" i="7"/>
  <c r="L24" i="7"/>
  <c r="M24" i="7"/>
  <c r="J25" i="7"/>
  <c r="K25" i="7"/>
  <c r="L25" i="7"/>
  <c r="M25" i="7"/>
  <c r="J26" i="7"/>
  <c r="L26" i="7"/>
  <c r="M26" i="7"/>
  <c r="J27" i="7"/>
  <c r="K27" i="7"/>
  <c r="L27" i="7"/>
  <c r="M27" i="7"/>
  <c r="J28" i="7"/>
  <c r="K28" i="7"/>
  <c r="L28" i="7"/>
  <c r="M28" i="7"/>
  <c r="J29" i="7"/>
  <c r="K29" i="7"/>
  <c r="L29" i="7"/>
  <c r="M29" i="7"/>
  <c r="J30" i="7"/>
  <c r="K30" i="7"/>
  <c r="L30" i="7"/>
  <c r="M30" i="7"/>
  <c r="J31" i="7"/>
  <c r="K31" i="7"/>
  <c r="L31" i="7"/>
  <c r="M31" i="7"/>
  <c r="J32" i="7"/>
  <c r="K32" i="7"/>
  <c r="L32" i="7"/>
  <c r="M32" i="7"/>
  <c r="J33" i="7"/>
  <c r="K33" i="7"/>
  <c r="L33" i="7"/>
  <c r="M33" i="7"/>
  <c r="J34" i="7"/>
  <c r="K34" i="7"/>
  <c r="L34" i="7"/>
  <c r="M34" i="7"/>
  <c r="J35" i="7"/>
  <c r="K35" i="7"/>
  <c r="L35" i="7"/>
  <c r="M35" i="7"/>
  <c r="J36" i="7"/>
  <c r="K36" i="7"/>
  <c r="L36" i="7"/>
  <c r="M36" i="7"/>
  <c r="J37" i="7"/>
  <c r="K37" i="7"/>
  <c r="L37" i="7"/>
  <c r="M37" i="7"/>
  <c r="J38" i="7"/>
  <c r="K38" i="7"/>
  <c r="L38" i="7"/>
  <c r="M38" i="7"/>
  <c r="J39" i="7"/>
  <c r="K39" i="7"/>
  <c r="L39" i="7"/>
  <c r="M39" i="7"/>
  <c r="J40" i="7"/>
  <c r="K40" i="7"/>
  <c r="L40" i="7"/>
  <c r="M40" i="7"/>
  <c r="J41" i="7"/>
  <c r="K41" i="7"/>
  <c r="L41" i="7"/>
  <c r="M41" i="7"/>
  <c r="K4" i="7"/>
  <c r="L4" i="7"/>
  <c r="M4" i="7"/>
  <c r="J4" i="7"/>
  <c r="J4" i="4"/>
  <c r="D15" i="7"/>
  <c r="D41" i="7"/>
  <c r="D40" i="7"/>
  <c r="D39" i="7"/>
  <c r="D38" i="7"/>
  <c r="E19" i="7"/>
  <c r="E18" i="7"/>
  <c r="E17" i="7"/>
  <c r="E16" i="7"/>
  <c r="E15" i="7"/>
  <c r="J12" i="8"/>
  <c r="I12" i="8"/>
  <c r="B6" i="9"/>
  <c r="J46" i="8"/>
  <c r="I46" i="8"/>
  <c r="J45" i="8"/>
  <c r="I45" i="8"/>
  <c r="J44" i="8"/>
  <c r="I44" i="8"/>
  <c r="J43" i="8"/>
  <c r="I43" i="8"/>
  <c r="J42" i="8"/>
  <c r="I42" i="8"/>
  <c r="J41" i="8"/>
  <c r="I41" i="8"/>
  <c r="J40" i="8"/>
  <c r="I40" i="8"/>
  <c r="J39" i="8"/>
  <c r="I39" i="8"/>
  <c r="J38" i="8"/>
  <c r="I38" i="8"/>
  <c r="J37" i="8"/>
  <c r="I37" i="8"/>
  <c r="J36" i="8"/>
  <c r="I36" i="8"/>
  <c r="J35" i="8"/>
  <c r="I35" i="8"/>
  <c r="J34" i="8"/>
  <c r="I34" i="8"/>
  <c r="J33" i="8"/>
  <c r="I33" i="8"/>
  <c r="J32" i="8"/>
  <c r="I32" i="8"/>
  <c r="J31" i="8"/>
  <c r="I31" i="8"/>
  <c r="J30" i="8"/>
  <c r="I30" i="8"/>
  <c r="J29" i="8"/>
  <c r="I29" i="8"/>
  <c r="J28" i="8"/>
  <c r="I28" i="8"/>
  <c r="J27" i="8"/>
  <c r="I27" i="8"/>
  <c r="J26" i="8"/>
  <c r="I26" i="8"/>
  <c r="J25" i="8"/>
  <c r="I25" i="8"/>
  <c r="J24" i="8"/>
  <c r="I24" i="8"/>
  <c r="J23" i="8"/>
  <c r="I23" i="8"/>
  <c r="J22" i="8"/>
  <c r="I22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1" i="8"/>
  <c r="I11" i="8"/>
  <c r="J10" i="8"/>
  <c r="I10" i="8"/>
  <c r="J9" i="8"/>
  <c r="I9" i="8"/>
  <c r="D5" i="8"/>
  <c r="B5" i="8"/>
  <c r="B4" i="8"/>
  <c r="G19" i="7"/>
  <c r="F19" i="7"/>
  <c r="D19" i="7"/>
  <c r="G18" i="7"/>
  <c r="F18" i="7"/>
  <c r="D18" i="7"/>
  <c r="G17" i="7"/>
  <c r="F17" i="7"/>
  <c r="D17" i="7"/>
  <c r="G16" i="7"/>
  <c r="F16" i="7"/>
  <c r="D16" i="7"/>
  <c r="G15" i="7"/>
  <c r="F15" i="7"/>
  <c r="A7" i="4" l="1"/>
  <c r="N4" i="7"/>
  <c r="O4" i="7" s="1"/>
  <c r="D26" i="7"/>
  <c r="N26" i="7" s="1"/>
  <c r="O26" i="7" s="1"/>
  <c r="E26" i="7"/>
  <c r="A42" i="2"/>
  <c r="A43" i="2"/>
  <c r="A40" i="2"/>
  <c r="D4" i="8"/>
  <c r="A41" i="2"/>
  <c r="N5" i="7"/>
  <c r="O5" i="7" s="1"/>
  <c r="D37" i="7"/>
  <c r="N37" i="7" s="1"/>
  <c r="O37" i="7" s="1"/>
  <c r="E37" i="7"/>
  <c r="E33" i="7"/>
  <c r="E27" i="7"/>
  <c r="F20" i="7"/>
  <c r="E21" i="7"/>
  <c r="E22" i="7"/>
  <c r="E23" i="7"/>
  <c r="N8" i="7"/>
  <c r="O8" i="7" s="1"/>
  <c r="E24" i="7"/>
  <c r="E25" i="7"/>
  <c r="E20" i="7"/>
  <c r="N15" i="7"/>
  <c r="N41" i="7"/>
  <c r="N40" i="7"/>
  <c r="N39" i="7"/>
  <c r="N38" i="7"/>
  <c r="N19" i="7"/>
  <c r="O19" i="7" s="1"/>
  <c r="N18" i="7"/>
  <c r="O18" i="7" s="1"/>
  <c r="N17" i="7"/>
  <c r="O17" i="7" s="1"/>
  <c r="N16" i="7"/>
  <c r="O16" i="7" s="1"/>
  <c r="N6" i="7"/>
  <c r="O6" i="7" s="1"/>
  <c r="K14" i="8"/>
  <c r="G37" i="7"/>
  <c r="F37" i="7"/>
  <c r="G33" i="7"/>
  <c r="F33" i="7"/>
  <c r="D33" i="7"/>
  <c r="N33" i="7" s="1"/>
  <c r="O33" i="7" s="1"/>
  <c r="F27" i="7"/>
  <c r="G27" i="7"/>
  <c r="D27" i="7"/>
  <c r="N27" i="7" s="1"/>
  <c r="O27" i="7" s="1"/>
  <c r="G25" i="7"/>
  <c r="D25" i="7"/>
  <c r="N25" i="7" s="1"/>
  <c r="O25" i="7" s="1"/>
  <c r="F25" i="7"/>
  <c r="D24" i="7"/>
  <c r="N24" i="7" s="1"/>
  <c r="O24" i="7" s="1"/>
  <c r="F24" i="7"/>
  <c r="G24" i="7"/>
  <c r="G23" i="7"/>
  <c r="F23" i="7"/>
  <c r="D23" i="7"/>
  <c r="N23" i="7" s="1"/>
  <c r="O23" i="7" s="1"/>
  <c r="G22" i="7"/>
  <c r="F22" i="7"/>
  <c r="D22" i="7"/>
  <c r="N22" i="7" s="1"/>
  <c r="O22" i="7" s="1"/>
  <c r="G21" i="7"/>
  <c r="F21" i="7"/>
  <c r="D21" i="7"/>
  <c r="N21" i="7" s="1"/>
  <c r="O21" i="7" s="1"/>
  <c r="G20" i="7"/>
  <c r="D20" i="7"/>
  <c r="N20" i="7" s="1"/>
  <c r="O20" i="7" s="1"/>
  <c r="A28" i="2"/>
  <c r="A27" i="2"/>
  <c r="A29" i="2"/>
  <c r="A38" i="2"/>
  <c r="A39" i="2"/>
  <c r="A24" i="2"/>
  <c r="A23" i="2"/>
  <c r="A22" i="2"/>
  <c r="A20" i="2"/>
  <c r="A14" i="2"/>
  <c r="A15" i="2"/>
  <c r="A25" i="2"/>
  <c r="A35" i="2"/>
  <c r="A21" i="2"/>
  <c r="A26" i="2"/>
  <c r="A33" i="2"/>
  <c r="A32" i="2"/>
  <c r="B4" i="9"/>
  <c r="A30" i="2"/>
  <c r="A36" i="2"/>
  <c r="A37" i="2"/>
  <c r="A19" i="2"/>
  <c r="A18" i="2"/>
  <c r="A31" i="2"/>
  <c r="A16" i="2"/>
  <c r="A34" i="2"/>
  <c r="K9" i="8" l="1"/>
  <c r="O39" i="7"/>
  <c r="L44" i="8" s="1"/>
  <c r="K45" i="8"/>
  <c r="O40" i="7"/>
  <c r="L45" i="8" s="1"/>
  <c r="O41" i="7"/>
  <c r="L46" i="8" s="1"/>
  <c r="O15" i="7"/>
  <c r="L20" i="8" s="1"/>
  <c r="O38" i="7"/>
  <c r="L43" i="8" s="1"/>
  <c r="G26" i="7"/>
  <c r="F26" i="7"/>
  <c r="A33" i="4"/>
  <c r="J33" i="4"/>
  <c r="S33" i="4"/>
  <c r="C43" i="2"/>
  <c r="B43" i="2"/>
  <c r="J30" i="4"/>
  <c r="B40" i="2"/>
  <c r="C40" i="2"/>
  <c r="A30" i="4"/>
  <c r="J32" i="4"/>
  <c r="S30" i="4"/>
  <c r="A32" i="4"/>
  <c r="S32" i="4"/>
  <c r="S31" i="4"/>
  <c r="A31" i="4"/>
  <c r="J31" i="4"/>
  <c r="C41" i="2"/>
  <c r="B41" i="2"/>
  <c r="B42" i="2"/>
  <c r="C42" i="2"/>
  <c r="L9" i="8"/>
  <c r="K44" i="8"/>
  <c r="K43" i="8"/>
  <c r="C14" i="8"/>
  <c r="D14" i="8" s="1"/>
  <c r="A18" i="4"/>
  <c r="A16" i="4"/>
  <c r="A20" i="4"/>
  <c r="A11" i="4"/>
  <c r="C11" i="8"/>
  <c r="D11" i="8" s="1"/>
  <c r="A15" i="4"/>
  <c r="A5" i="4"/>
  <c r="A4" i="4"/>
  <c r="B14" i="2"/>
  <c r="A10" i="4"/>
  <c r="A12" i="4"/>
  <c r="K20" i="8"/>
  <c r="K46" i="8"/>
  <c r="A13" i="4"/>
  <c r="A21" i="4"/>
  <c r="A8" i="4"/>
  <c r="A19" i="4"/>
  <c r="A14" i="4"/>
  <c r="A6" i="4"/>
  <c r="A9" i="4"/>
  <c r="A17" i="4"/>
  <c r="K12" i="8"/>
  <c r="L12" i="8"/>
  <c r="L11" i="8"/>
  <c r="K11" i="8"/>
  <c r="K42" i="8"/>
  <c r="L42" i="8"/>
  <c r="L21" i="8"/>
  <c r="K21" i="8"/>
  <c r="L10" i="8"/>
  <c r="K10" i="8"/>
  <c r="K24" i="8"/>
  <c r="L24" i="8"/>
  <c r="K23" i="8"/>
  <c r="L23" i="8"/>
  <c r="L22" i="8"/>
  <c r="K22" i="8"/>
  <c r="L14" i="8"/>
  <c r="K38" i="8"/>
  <c r="L38" i="8"/>
  <c r="K32" i="8"/>
  <c r="L32" i="8"/>
  <c r="K31" i="8"/>
  <c r="L31" i="8"/>
  <c r="K30" i="8"/>
  <c r="L30" i="8"/>
  <c r="K29" i="8"/>
  <c r="L29" i="8"/>
  <c r="K28" i="8"/>
  <c r="L28" i="8"/>
  <c r="K27" i="8"/>
  <c r="L27" i="8"/>
  <c r="L26" i="8"/>
  <c r="K26" i="8"/>
  <c r="K25" i="8"/>
  <c r="L25" i="8"/>
  <c r="C12" i="8"/>
  <c r="D12" i="8" s="1"/>
  <c r="K13" i="8"/>
  <c r="L13" i="8"/>
  <c r="B3" i="8"/>
  <c r="B17" i="2"/>
  <c r="C17" i="2"/>
  <c r="S7" i="4"/>
  <c r="A7" i="5"/>
  <c r="L7" i="5"/>
  <c r="B28" i="2"/>
  <c r="C28" i="2"/>
  <c r="J18" i="4"/>
  <c r="S18" i="4"/>
  <c r="B27" i="2"/>
  <c r="C27" i="2"/>
  <c r="J17" i="4"/>
  <c r="S17" i="4"/>
  <c r="B29" i="2"/>
  <c r="C29" i="2"/>
  <c r="J19" i="4"/>
  <c r="S19" i="4"/>
  <c r="B38" i="2"/>
  <c r="C38" i="2"/>
  <c r="A28" i="4"/>
  <c r="J28" i="4"/>
  <c r="S28" i="4"/>
  <c r="B39" i="2"/>
  <c r="C39" i="2"/>
  <c r="A29" i="4"/>
  <c r="J29" i="4"/>
  <c r="S29" i="4"/>
  <c r="B24" i="2"/>
  <c r="C24" i="2"/>
  <c r="J14" i="4"/>
  <c r="S14" i="4"/>
  <c r="B23" i="2"/>
  <c r="C23" i="2"/>
  <c r="S13" i="4"/>
  <c r="A13" i="5"/>
  <c r="L13" i="5"/>
  <c r="B22" i="2"/>
  <c r="C22" i="2"/>
  <c r="S12" i="4"/>
  <c r="A12" i="5"/>
  <c r="L12" i="5"/>
  <c r="B20" i="2"/>
  <c r="C20" i="2"/>
  <c r="S10" i="4"/>
  <c r="A10" i="5"/>
  <c r="L10" i="5"/>
  <c r="C14" i="2"/>
  <c r="S4" i="4"/>
  <c r="A4" i="5"/>
  <c r="L4" i="5"/>
  <c r="B15" i="2"/>
  <c r="C15" i="2"/>
  <c r="S5" i="4"/>
  <c r="A5" i="5"/>
  <c r="L5" i="5"/>
  <c r="B25" i="2"/>
  <c r="C25" i="2"/>
  <c r="J15" i="4"/>
  <c r="S15" i="4"/>
  <c r="B35" i="2"/>
  <c r="C35" i="2"/>
  <c r="A25" i="4"/>
  <c r="J25" i="4"/>
  <c r="S25" i="4"/>
  <c r="B21" i="2"/>
  <c r="C21" i="2"/>
  <c r="S11" i="4"/>
  <c r="A11" i="5"/>
  <c r="L11" i="5"/>
  <c r="B26" i="2"/>
  <c r="C26" i="2"/>
  <c r="J16" i="4"/>
  <c r="S16" i="4"/>
  <c r="B33" i="2"/>
  <c r="C33" i="2"/>
  <c r="A23" i="4"/>
  <c r="J23" i="4"/>
  <c r="S23" i="4"/>
  <c r="B32" i="2"/>
  <c r="C32" i="2"/>
  <c r="A22" i="4"/>
  <c r="J22" i="4"/>
  <c r="S22" i="4"/>
  <c r="B30" i="2"/>
  <c r="C30" i="2"/>
  <c r="J20" i="4"/>
  <c r="S20" i="4"/>
  <c r="B36" i="2"/>
  <c r="C36" i="2"/>
  <c r="A26" i="4"/>
  <c r="J26" i="4"/>
  <c r="S26" i="4"/>
  <c r="B37" i="2"/>
  <c r="C37" i="2"/>
  <c r="A27" i="4"/>
  <c r="J27" i="4"/>
  <c r="S27" i="4"/>
  <c r="B19" i="2"/>
  <c r="C19" i="2"/>
  <c r="S9" i="4"/>
  <c r="A9" i="5"/>
  <c r="L9" i="5"/>
  <c r="B18" i="2"/>
  <c r="C18" i="2"/>
  <c r="S8" i="4"/>
  <c r="L8" i="5"/>
  <c r="A8" i="5"/>
  <c r="B31" i="2"/>
  <c r="C31" i="2"/>
  <c r="J21" i="4"/>
  <c r="S21" i="4"/>
  <c r="B16" i="2"/>
  <c r="C16" i="2"/>
  <c r="S6" i="4"/>
  <c r="A6" i="5"/>
  <c r="L6" i="5"/>
  <c r="B34" i="2"/>
  <c r="C34" i="2"/>
  <c r="A24" i="4"/>
  <c r="J24" i="4"/>
  <c r="S24" i="4"/>
  <c r="C9" i="8" l="1"/>
  <c r="D9" i="8" s="1"/>
  <c r="Q13" i="5" l="1"/>
  <c r="M13" i="5"/>
  <c r="T13" i="5"/>
  <c r="S13" i="5"/>
  <c r="Q12" i="5"/>
  <c r="M12" i="5"/>
  <c r="T12" i="5"/>
  <c r="S12" i="5"/>
  <c r="Q11" i="5"/>
  <c r="M11" i="5"/>
  <c r="T11" i="5"/>
  <c r="S11" i="5"/>
  <c r="Q10" i="5"/>
  <c r="M10" i="5"/>
  <c r="T10" i="5"/>
  <c r="S10" i="5"/>
  <c r="Q9" i="5"/>
  <c r="M9" i="5"/>
  <c r="T9" i="5"/>
  <c r="S9" i="5"/>
  <c r="Q8" i="5"/>
  <c r="M8" i="5"/>
  <c r="T8" i="5"/>
  <c r="S8" i="5"/>
  <c r="Q7" i="5"/>
  <c r="M7" i="5"/>
  <c r="T7" i="5"/>
  <c r="S7" i="5"/>
  <c r="Q6" i="5"/>
  <c r="M6" i="5"/>
  <c r="T6" i="5"/>
  <c r="S6" i="5"/>
  <c r="Q5" i="5"/>
  <c r="M5" i="5"/>
  <c r="T5" i="5"/>
  <c r="S5" i="5"/>
  <c r="Q4" i="5"/>
  <c r="M4" i="5"/>
  <c r="T4" i="5"/>
  <c r="S4" i="5"/>
  <c r="G28" i="7" l="1"/>
  <c r="E28" i="7"/>
  <c r="F28" i="7"/>
  <c r="D28" i="7"/>
  <c r="N28" i="7" s="1"/>
  <c r="G34" i="7"/>
  <c r="D34" i="7"/>
  <c r="N34" i="7" s="1"/>
  <c r="F34" i="7"/>
  <c r="E34" i="7"/>
  <c r="D35" i="7"/>
  <c r="N35" i="7" s="1"/>
  <c r="G35" i="7"/>
  <c r="F35" i="7"/>
  <c r="E35" i="7"/>
  <c r="E32" i="7"/>
  <c r="F32" i="7"/>
  <c r="D32" i="7"/>
  <c r="N32" i="7" s="1"/>
  <c r="G32" i="7"/>
  <c r="P5" i="5"/>
  <c r="P4" i="5"/>
  <c r="N11" i="5"/>
  <c r="P12" i="5"/>
  <c r="P13" i="5"/>
  <c r="P6" i="5"/>
  <c r="P7" i="5"/>
  <c r="O9" i="5"/>
  <c r="P8" i="5"/>
  <c r="N4" i="5"/>
  <c r="O5" i="5"/>
  <c r="O7" i="5"/>
  <c r="N9" i="5"/>
  <c r="O10" i="5"/>
  <c r="P9" i="5"/>
  <c r="N5" i="5"/>
  <c r="O11" i="5"/>
  <c r="N13" i="5"/>
  <c r="P10" i="5"/>
  <c r="O13" i="5"/>
  <c r="O6" i="5"/>
  <c r="N7" i="5"/>
  <c r="N12" i="5"/>
  <c r="O8" i="5"/>
  <c r="P11" i="5"/>
  <c r="O12" i="5"/>
  <c r="N6" i="5"/>
  <c r="N10" i="5"/>
  <c r="O4" i="5"/>
  <c r="N8" i="5"/>
  <c r="K40" i="8" l="1"/>
  <c r="O35" i="7"/>
  <c r="L40" i="8" s="1"/>
  <c r="G30" i="7"/>
  <c r="D30" i="7"/>
  <c r="N30" i="7" s="1"/>
  <c r="E30" i="7"/>
  <c r="F30" i="7"/>
  <c r="O34" i="7"/>
  <c r="L39" i="8" s="1"/>
  <c r="K39" i="8"/>
  <c r="O28" i="7"/>
  <c r="L33" i="8" s="1"/>
  <c r="K33" i="8"/>
  <c r="D29" i="7"/>
  <c r="N29" i="7" s="1"/>
  <c r="E29" i="7"/>
  <c r="F29" i="7"/>
  <c r="G29" i="7"/>
  <c r="O32" i="7"/>
  <c r="L37" i="8" s="1"/>
  <c r="K37" i="8"/>
  <c r="F31" i="7"/>
  <c r="G31" i="7"/>
  <c r="E31" i="7"/>
  <c r="D31" i="7"/>
  <c r="N31" i="7" s="1"/>
  <c r="K34" i="8" l="1"/>
  <c r="O29" i="7"/>
  <c r="L34" i="8" s="1"/>
  <c r="K36" i="8"/>
  <c r="O31" i="7"/>
  <c r="L36" i="8" s="1"/>
  <c r="O30" i="7"/>
  <c r="L35" i="8" s="1"/>
  <c r="K35" i="8"/>
  <c r="U4" i="5"/>
  <c r="U5" i="5" l="1"/>
  <c r="U6" i="5" l="1"/>
  <c r="U7" i="5" l="1"/>
  <c r="U8" i="5" l="1"/>
  <c r="U9" i="5" l="1"/>
  <c r="U10" i="5" l="1"/>
  <c r="U11" i="5" l="1"/>
  <c r="U12" i="5" l="1"/>
  <c r="U13" i="5" l="1"/>
  <c r="G36" i="7" l="1"/>
  <c r="D36" i="7"/>
  <c r="N36" i="7" s="1"/>
  <c r="O36" i="7" l="1"/>
  <c r="L41" i="8" s="1"/>
  <c r="K41" i="8"/>
  <c r="C13" i="8"/>
  <c r="D13" i="8" l="1"/>
  <c r="L4" i="4" l="1"/>
  <c r="P4" i="4"/>
  <c r="O4" i="4"/>
  <c r="M4" i="4"/>
  <c r="N4" i="4"/>
  <c r="G12" i="7" l="1"/>
  <c r="F12" i="7"/>
  <c r="D12" i="7"/>
  <c r="N12" i="7" s="1"/>
  <c r="E13" i="7"/>
  <c r="F14" i="7"/>
  <c r="D14" i="7"/>
  <c r="N14" i="7" s="1"/>
  <c r="G14" i="7"/>
  <c r="G11" i="7"/>
  <c r="F11" i="7"/>
  <c r="D11" i="7"/>
  <c r="N11" i="7" s="1"/>
  <c r="E11" i="7"/>
  <c r="F13" i="7"/>
  <c r="G13" i="7"/>
  <c r="E12" i="7"/>
  <c r="D13" i="7"/>
  <c r="N13" i="7" s="1"/>
  <c r="G10" i="7"/>
  <c r="D10" i="7"/>
  <c r="N10" i="7" s="1"/>
  <c r="F10" i="7"/>
  <c r="E10" i="7"/>
  <c r="K15" i="8" l="1"/>
  <c r="C10" i="8"/>
  <c r="O10" i="7"/>
  <c r="L15" i="8" s="1"/>
  <c r="B5" i="9"/>
  <c r="K19" i="8"/>
  <c r="O14" i="7"/>
  <c r="L19" i="8" s="1"/>
  <c r="K17" i="8"/>
  <c r="O12" i="7"/>
  <c r="L17" i="8" s="1"/>
  <c r="O13" i="7"/>
  <c r="L18" i="8" s="1"/>
  <c r="K18" i="8"/>
  <c r="K16" i="8"/>
  <c r="O11" i="7"/>
  <c r="L16" i="8" s="1"/>
  <c r="D10" i="8" l="1"/>
  <c r="D3" i="8"/>
</calcChain>
</file>

<file path=xl/sharedStrings.xml><?xml version="1.0" encoding="utf-8"?>
<sst xmlns="http://schemas.openxmlformats.org/spreadsheetml/2006/main" count="645" uniqueCount="289">
  <si>
    <t>Integrated CIS Resilience Assessment Framework Tool</t>
  </si>
  <si>
    <t>Section</t>
  </si>
  <si>
    <t>Description</t>
  </si>
  <si>
    <t>Purpose</t>
  </si>
  <si>
    <t>Excel tool for the six-subsystem resilience framework for reservoir-fed pressurised collective irrigation systems (CIS).</t>
  </si>
  <si>
    <t>Initial use</t>
  </si>
  <si>
    <t>Designed for a 10-year present assessment, e.g. 2016–2025.</t>
  </si>
  <si>
    <t>Future use</t>
  </si>
  <si>
    <t>Can be extended to a 30-year projection horizon by changing the start and end year in CONTROL_YEARS.</t>
  </si>
  <si>
    <t>Scenario handling</t>
  </si>
  <si>
    <t>Scenario values are retained as supplementary uncertainty information; the main dashboard uses annual means for cross-subsystem comparison.</t>
  </si>
  <si>
    <t>Weights</t>
  </si>
  <si>
    <t>Equal weights are used by default. Editable weights are included for future multicriteria analysis.</t>
  </si>
  <si>
    <t>Language</t>
  </si>
  <si>
    <t>Colour code</t>
  </si>
  <si>
    <t>Yellow=input; grey=calculation; blue=output; purple=normalised scores.</t>
  </si>
  <si>
    <t>Control panel and assessment years</t>
  </si>
  <si>
    <t>Field</t>
  </si>
  <si>
    <t>Value</t>
  </si>
  <si>
    <t>Unit/option</t>
  </si>
  <si>
    <t>Notes</t>
  </si>
  <si>
    <t>Case study name</t>
  </si>
  <si>
    <t>Minutos Collective Irrigation System</t>
  </si>
  <si>
    <t>Editable</t>
  </si>
  <si>
    <t>Assessment mode</t>
  </si>
  <si>
    <t>Present 10-year period</t>
  </si>
  <si>
    <t>Present/Future 30-year horizon</t>
  </si>
  <si>
    <t>Start year</t>
  </si>
  <si>
    <t>year</t>
  </si>
  <si>
    <t>End year</t>
  </si>
  <si>
    <t>Number of years</t>
  </si>
  <si>
    <t>years</t>
  </si>
  <si>
    <t>Calculated</t>
  </si>
  <si>
    <t>Use scenario mean in dashboard?</t>
  </si>
  <si>
    <t>Yes</t>
  </si>
  <si>
    <t>Yes/No</t>
  </si>
  <si>
    <t>Main dashboard uses annual means</t>
  </si>
  <si>
    <t>Use equal weights?</t>
  </si>
  <si>
    <t>Weights can be edited later</t>
  </si>
  <si>
    <t>Year</t>
  </si>
  <si>
    <t>Period type</t>
  </si>
  <si>
    <t>Horizon</t>
  </si>
  <si>
    <t>Thresholds and weights</t>
  </si>
  <si>
    <t>Subsystem</t>
  </si>
  <si>
    <t>Indicator code</t>
  </si>
  <si>
    <t>Indicator name</t>
  </si>
  <si>
    <t>Unit</t>
  </si>
  <si>
    <t>Orientation</t>
  </si>
  <si>
    <t>Class 1 Low</t>
  </si>
  <si>
    <t>Class 2 Moderate</t>
  </si>
  <si>
    <t>Class 3 Good</t>
  </si>
  <si>
    <t>Class 4 Excellent</t>
  </si>
  <si>
    <t>Weight</t>
  </si>
  <si>
    <t>A</t>
  </si>
  <si>
    <t>A1</t>
  </si>
  <si>
    <t>Time-based inflow reliability</t>
  </si>
  <si>
    <t>-</t>
  </si>
  <si>
    <t>Positive</t>
  </si>
  <si>
    <t>A2</t>
  </si>
  <si>
    <t>Volumetric inflow reliability</t>
  </si>
  <si>
    <t>A3</t>
  </si>
  <si>
    <t>Mean drought duration</t>
  </si>
  <si>
    <t>months</t>
  </si>
  <si>
    <t>Negative</t>
  </si>
  <si>
    <t>A4</t>
  </si>
  <si>
    <t>Coefficient of variation</t>
  </si>
  <si>
    <t>A5</t>
  </si>
  <si>
    <t>Buffering capacity</t>
  </si>
  <si>
    <t>A6</t>
  </si>
  <si>
    <t>Carry-over dependence</t>
  </si>
  <si>
    <t>B</t>
  </si>
  <si>
    <t>B1</t>
  </si>
  <si>
    <t>Time-based supply reliability</t>
  </si>
  <si>
    <t>B2</t>
  </si>
  <si>
    <t>Volumetric supply reliability</t>
  </si>
  <si>
    <t>B3</t>
  </si>
  <si>
    <t>Deficit severity</t>
  </si>
  <si>
    <t>B4</t>
  </si>
  <si>
    <t>Recovery after failure</t>
  </si>
  <si>
    <t>B5</t>
  </si>
  <si>
    <t>Spill–shortage coexistence</t>
  </si>
  <si>
    <t>C</t>
  </si>
  <si>
    <t>C1</t>
  </si>
  <si>
    <t>Hydrant pressure reliability</t>
  </si>
  <si>
    <t>C2</t>
  </si>
  <si>
    <t>Network pressure reliability</t>
  </si>
  <si>
    <t>C3</t>
  </si>
  <si>
    <t>Relative pressure deficit</t>
  </si>
  <si>
    <t>C4</t>
  </si>
  <si>
    <t>Critical hydrant deficit</t>
  </si>
  <si>
    <t>C5</t>
  </si>
  <si>
    <t>Maximum hydrant deficit</t>
  </si>
  <si>
    <t>D</t>
  </si>
  <si>
    <t>D1</t>
  </si>
  <si>
    <t>Energy per irrigated area</t>
  </si>
  <si>
    <t>kWh ha⁻¹</t>
  </si>
  <si>
    <t>D2</t>
  </si>
  <si>
    <t>Energy per supplied volume</t>
  </si>
  <si>
    <t>kWh m⁻³</t>
  </si>
  <si>
    <t>D3</t>
  </si>
  <si>
    <t>Energy per abstracted volume</t>
  </si>
  <si>
    <t>D4</t>
  </si>
  <si>
    <t>Energy cost per irrigated area</t>
  </si>
  <si>
    <t>€ ha⁻¹</t>
  </si>
  <si>
    <t>D5</t>
  </si>
  <si>
    <t>Energy cost per supplied volume</t>
  </si>
  <si>
    <t>€ m⁻³</t>
  </si>
  <si>
    <t>D6</t>
  </si>
  <si>
    <t>Energy cost per abstracted volume</t>
  </si>
  <si>
    <t>D7</t>
  </si>
  <si>
    <t>Renewable energy contribution</t>
  </si>
  <si>
    <t>D8</t>
  </si>
  <si>
    <t>Pump redundancy</t>
  </si>
  <si>
    <t>E</t>
  </si>
  <si>
    <t>E1</t>
  </si>
  <si>
    <t>Gross irrigation requirement</t>
  </si>
  <si>
    <t>mm</t>
  </si>
  <si>
    <t>E2</t>
  </si>
  <si>
    <t>Peak demand factor</t>
  </si>
  <si>
    <t>E3</t>
  </si>
  <si>
    <t>Peak demand staggering</t>
  </si>
  <si>
    <t>E4</t>
  </si>
  <si>
    <t>Irrigation system factor</t>
  </si>
  <si>
    <t>E5</t>
  </si>
  <si>
    <t>On-farm technology and control</t>
  </si>
  <si>
    <t>E6</t>
  </si>
  <si>
    <t>Water deficit stress tolerance</t>
  </si>
  <si>
    <t>E7</t>
  </si>
  <si>
    <t>Share of permanent crops</t>
  </si>
  <si>
    <t>E8</t>
  </si>
  <si>
    <t>Soil water buffering capacity</t>
  </si>
  <si>
    <t>E9</t>
  </si>
  <si>
    <t>Alternative local access to storage</t>
  </si>
  <si>
    <t>E10</t>
  </si>
  <si>
    <t>Chill requirement adequacy indicator</t>
  </si>
  <si>
    <t>F</t>
  </si>
  <si>
    <t>F1</t>
  </si>
  <si>
    <t>Preparedness, alert thresholds and response rules</t>
  </si>
  <si>
    <t>F2</t>
  </si>
  <si>
    <t>Operational monitoring and control capacity</t>
  </si>
  <si>
    <t>F3</t>
  </si>
  <si>
    <t>Financial and infrastructure management capacity</t>
  </si>
  <si>
    <t>F4</t>
  </si>
  <si>
    <t>Participation, communication and compliance</t>
  </si>
  <si>
    <t>Inputs A–C: annual indicators</t>
  </si>
  <si>
    <t>A1 Rt</t>
  </si>
  <si>
    <t>A2 Rv</t>
  </si>
  <si>
    <t>A3 L</t>
  </si>
  <si>
    <t>A4 Cv</t>
  </si>
  <si>
    <t>A5 BC</t>
  </si>
  <si>
    <t>A6 CD</t>
  </si>
  <si>
    <t>B1 RtB</t>
  </si>
  <si>
    <t>B2 RvB</t>
  </si>
  <si>
    <t>B3 VB</t>
  </si>
  <si>
    <t>B4 RecB</t>
  </si>
  <si>
    <t>B5 SSCB</t>
  </si>
  <si>
    <t>C1 Hydrant reliability</t>
  </si>
  <si>
    <t>C2 Network reliability</t>
  </si>
  <si>
    <t>C3 RPD</t>
  </si>
  <si>
    <t>C4 Critical deficit</t>
  </si>
  <si>
    <t>C5 Max deficit</t>
  </si>
  <si>
    <t>Inputs D–E: pumping, energy and farm-level adaptive capacity</t>
  </si>
  <si>
    <t>E5 OFTC</t>
  </si>
  <si>
    <t>E6 WDST</t>
  </si>
  <si>
    <t>E7 Permanent share</t>
  </si>
  <si>
    <t>E8 SWBC</t>
  </si>
  <si>
    <t>E9 ALAS</t>
  </si>
  <si>
    <t>E10 CRI</t>
  </si>
  <si>
    <t>Input F — CIS drought-management capacity</t>
  </si>
  <si>
    <t>Composite indicator</t>
  </si>
  <si>
    <t>Component code</t>
  </si>
  <si>
    <t>Component name</t>
  </si>
  <si>
    <t>Score</t>
  </si>
  <si>
    <t>P1</t>
  </si>
  <si>
    <t>Drought or extreme-event management plan</t>
  </si>
  <si>
    <t>P2</t>
  </si>
  <si>
    <t>Drought alert levels or reservoir-storage thresholds</t>
  </si>
  <si>
    <t>P3</t>
  </si>
  <si>
    <t>Flood or emergency-trigger thresholds for discharge structures, gates, spillways or emergency outlets</t>
  </si>
  <si>
    <t>P4</t>
  </si>
  <si>
    <t>Allocation, restriction or rationing rules under water shortage</t>
  </si>
  <si>
    <t>M1</t>
  </si>
  <si>
    <t>Reservoir level or stored-volume monitoring</t>
  </si>
  <si>
    <t>M2</t>
  </si>
  <si>
    <t>Irrigation demand, supplied volume or water consumption monitoring</t>
  </si>
  <si>
    <t>M3</t>
  </si>
  <si>
    <t>Network, pressure, energy or service-condition monitoring</t>
  </si>
  <si>
    <t>M4</t>
  </si>
  <si>
    <t>Operational status and functionality of safety and control structures</t>
  </si>
  <si>
    <t>I1</t>
  </si>
  <si>
    <t>Preventive maintenance plan</t>
  </si>
  <si>
    <t>I2</t>
  </si>
  <si>
    <t>Financial capacity to cover MOM and energy costs</t>
  </si>
  <si>
    <t>I3</t>
  </si>
  <si>
    <t>Emergency or strategic resources</t>
  </si>
  <si>
    <t>Farmer participation or consultation</t>
  </si>
  <si>
    <t>Communication of water availability, tariffs, restrictions, service interruptions or emergency measures</t>
  </si>
  <si>
    <t>Enforcement and compliance control</t>
  </si>
  <si>
    <t>Conflict-resolution and complaint-handling mechanisms</t>
  </si>
  <si>
    <t>Calculation, normalisation and classes</t>
  </si>
  <si>
    <t>Raw mean</t>
  </si>
  <si>
    <t>SD</t>
  </si>
  <si>
    <t>Min</t>
  </si>
  <si>
    <t>Max</t>
  </si>
  <si>
    <t>Low</t>
  </si>
  <si>
    <t>Moderate</t>
  </si>
  <si>
    <t>Good</t>
  </si>
  <si>
    <t>Excellent</t>
  </si>
  <si>
    <t>Normalised score</t>
  </si>
  <si>
    <t>Class</t>
  </si>
  <si>
    <t>Dashboard and export-ready summaries</t>
  </si>
  <si>
    <t>Overall CIS resilience score</t>
  </si>
  <si>
    <t>Assessment period</t>
  </si>
  <si>
    <t>Years</t>
  </si>
  <si>
    <t>Case study</t>
  </si>
  <si>
    <t>Scenario rule</t>
  </si>
  <si>
    <t>Subsystem name</t>
  </si>
  <si>
    <t>Indicator</t>
  </si>
  <si>
    <t>Water-resource resilience</t>
  </si>
  <si>
    <t>Reservoir and service performance</t>
  </si>
  <si>
    <t>Conveyance and distribution-network performance</t>
  </si>
  <si>
    <t>Pumping and energy resilience</t>
  </si>
  <si>
    <t>Farm-level adaptive capacity</t>
  </si>
  <si>
    <t>CIS drought-management capacity</t>
  </si>
  <si>
    <t>Quality checks and user guide</t>
  </si>
  <si>
    <t>Check</t>
  </si>
  <si>
    <t>Status</t>
  </si>
  <si>
    <t>Action</t>
  </si>
  <si>
    <t>Step</t>
  </si>
  <si>
    <t>Sheet</t>
  </si>
  <si>
    <t>Assessment period is 10 or 30 years</t>
  </si>
  <si>
    <t>Use 10 years now; 30 years for projections</t>
  </si>
  <si>
    <t>Set start/end year and assessment mode</t>
  </si>
  <si>
    <t>CONTROL_YEARS</t>
  </si>
  <si>
    <t>Normalised scores within 0–1</t>
  </si>
  <si>
    <t>Check thresholds and raw values</t>
  </si>
  <si>
    <t>Fill yellow input cells for A–F</t>
  </si>
  <si>
    <t>INPUT_A_TO_C; INPUT_D_E; INPUT_F</t>
  </si>
  <si>
    <t>F scores between 0 and 1</t>
  </si>
  <si>
    <t>Fill/validate evidence-based scores</t>
  </si>
  <si>
    <t>Review thresholds and weights</t>
  </si>
  <si>
    <t>THRESHOLDS_WEIGHTS</t>
  </si>
  <si>
    <t>Check normalised scores and classes</t>
  </si>
  <si>
    <t>CALC_NORMALISATION</t>
  </si>
  <si>
    <t>Use dashboard and export-ready summaries</t>
  </si>
  <si>
    <t>DASHBOARD_EXPORTS</t>
  </si>
  <si>
    <t>PAR</t>
  </si>
  <si>
    <t>OMC</t>
  </si>
  <si>
    <t>FIM</t>
  </si>
  <si>
    <t>PCC</t>
  </si>
  <si>
    <t>verificação dos treshold</t>
  </si>
  <si>
    <t>% of failed hydrants</t>
  </si>
  <si>
    <t>% de falhas</t>
  </si>
  <si>
    <t>min relative deficit</t>
  </si>
  <si>
    <t>(Benavides-Muñoz, 2025; Wei et al., 2025).</t>
  </si>
  <si>
    <t>(Hashimoto et al., 1982; Hisdal et al., 2024).</t>
  </si>
  <si>
    <t>Lema et al., 2025; Nalbantis and Tsakiris, 2009)</t>
  </si>
  <si>
    <t>(Ariano and Ali, 2025; Botter et al., 2013; Kupzig et al., 2024).</t>
  </si>
  <si>
    <t>(Granados et al., 2021; Ren et al., 2023).</t>
  </si>
  <si>
    <t>hashimoto et al., 1982</t>
  </si>
  <si>
    <r>
      <t>RPD&lt;-0.5 in some case can be reverse by increasinf Z</t>
    </r>
    <r>
      <rPr>
        <vertAlign val="subscript"/>
        <sz val="11"/>
        <color theme="1"/>
        <rFont val="Calibri"/>
        <family val="2"/>
        <scheme val="minor"/>
      </rPr>
      <t xml:space="preserve">o, </t>
    </r>
    <r>
      <rPr>
        <sz val="11"/>
        <color theme="1"/>
        <rFont val="Calibri"/>
        <family val="2"/>
        <scheme val="minor"/>
      </rPr>
      <t xml:space="preserve">but RPD&lt;-1 can be a strcutural problem </t>
    </r>
    <r>
      <rPr>
        <vertAlign val="subscript"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(Calejo et al.,  2008)</t>
    </r>
  </si>
  <si>
    <t xml:space="preserve">Represent extent of wich the service failure depende on reservoir capacity </t>
  </si>
  <si>
    <t xml:space="preserve">reprents de capacity to return to normal conditon after a failure </t>
  </si>
  <si>
    <t>Represent the average failura volume in percentage</t>
  </si>
  <si>
    <t>Represent the severity os the failure</t>
  </si>
  <si>
    <t xml:space="preserve">represent de failure frequency </t>
  </si>
  <si>
    <t xml:space="preserve">Represent de failure frequency </t>
  </si>
  <si>
    <t>Represent how long is a failure duration</t>
  </si>
  <si>
    <t xml:space="preserve">Interanual variability </t>
  </si>
  <si>
    <t>Capacity to regulate inflow</t>
  </si>
  <si>
    <t>Represent de dependence on multiseason inflow</t>
  </si>
  <si>
    <t>Rodríguez-Díaz et al. (2011) propose that CISs with a value greater than 0.4 kWh m-3 are considered large consumers, CISs with values between 0.4 and 0.3 kWh m-3 are considered  average consumers and CISs with values below 0.3 kWh m-3 are small consumers. however recent work reported 0.14–0.75 kWh m-3 (van de Loo et al., 2025)</t>
  </si>
  <si>
    <t>Energy cost per area is usually tariff- and country-specific. Cameira et al 2024 reported 0.052 ± 0.008 € m-3; Rodríguez-Díaz et al. (2011), report values between 0.01 and 0.08 € m-3 for 10 Spanish CISs, with an average value of 0.04 € m-3. Córcoles et al. (2012) reported 0.025 € m-3. Lima et al. (2019) reported ECostVo ranging from  0.0175 to 0.0185 € m-3. For Portugal, Chibeles (2007) gives the average value of 0.034 € ha-1 for four AFMA irrigation blocks.</t>
  </si>
  <si>
    <t>Represents the number o times that the hydrant failed carneiroo et al 2024 and prasad and Park 2004</t>
  </si>
  <si>
    <t>Represents the exten of the netwok that is afected. carneiroo et al 2024 and prasad and Park 2004</t>
  </si>
  <si>
    <t>Rodríguez-Díaz et al. (2011) propose that CISs with a value greater than 0.4 kWh m-3 are considered large consumers, CISs with values between 0.4 and 0.3 kWh m-3 are considered  average consumers and CISs with values below 0.3 kWh m-3 are small consumers. however recent work reported 0.14–0.75 kWh m-3 (van de Loo et al., 2025); carneiro et al 2024 ; 0.27- 0.43; 0.43-0.6; 0.6 ind</t>
  </si>
  <si>
    <t xml:space="preserve">Carneiro et al reported 75% good; 50-75% moderete; 50 pouco </t>
  </si>
  <si>
    <t xml:space="preserve">Carneiro et al reported 10% good; 5-10% moderete; 5 pouco, European Green Deal aims to increase the share of energy derived from renewable sources, such as wind and solar, to 40 % by 2030 and reach climate neutrality by 2050 </t>
  </si>
  <si>
    <r>
      <t xml:space="preserve">2919.9 ± 502.3 kWh ha-1 by Cameira et al., 2024 (Portugal); 455 kWh ha-1 to 2000 kWh ha-1 by Rodríguez-Díaz et al. (2011);326 to 1,119 kWh ha-1 across systems in 2022 (van de Loo et al., 2025;  energy  consumption of more than 2000 kWh ha-1 is classified as as large energy consumers by </t>
    </r>
    <r>
      <rPr>
        <b/>
        <sz val="11"/>
        <color theme="1"/>
        <rFont val="Calibri"/>
        <family val="2"/>
        <scheme val="minor"/>
      </rPr>
      <t>IDAE (2008)</t>
    </r>
    <r>
      <rPr>
        <sz val="11"/>
        <color theme="1"/>
        <rFont val="Calibri"/>
        <family val="2"/>
        <scheme val="minor"/>
      </rPr>
      <t xml:space="preserve"> lima et al 2019 - (from 1199 to 839 € ha−1) in 2015 and 16% (from 914 to 771 € ha−1) in 2016, when RDI is applied to all crops</t>
    </r>
  </si>
  <si>
    <t xml:space="preserve">Cameira reported 386.0 ± 81 € ha-1; Córcoles et al. (2012) about 118.5 € ha-1 and Lima et al. (2019) reported values between 56.3 and 59.0 € ha-1; zapata et al., 2023; The average difference is 134 € ha 1 yr 1, with a maximum of 187 and a minimum of 91 € ha 1 yr 1, again for 2005 and 2018; </t>
  </si>
  <si>
    <t>* Alqueva tem 83 culturas permanents</t>
  </si>
  <si>
    <t>*</t>
  </si>
  <si>
    <t xml:space="preserve">British English </t>
  </si>
  <si>
    <t>E1 GIR</t>
  </si>
  <si>
    <t>E2 PDF</t>
  </si>
  <si>
    <t>E3 PDS</t>
  </si>
  <si>
    <t>E4 ISF</t>
  </si>
  <si>
    <t>Period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</si>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</sst>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"/>
    <numFmt numFmtId="167" formatCode="0.00000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EADCF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4">
    <xf numFmtId="0" fontId="0" fillId="0" borderId="0"/>
    <xf numFmtId="0" fontId="7" fillId="0" borderId="0"/>
    <xf numFmtId="0" fontId="1" fillId="0" borderId="0"/>
    <xf numFmtId="0" fontId="8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165" fontId="0" fillId="3" borderId="1" xfId="0" applyNumberFormat="1" applyFill="1" applyBorder="1" applyAlignment="1">
      <alignment vertical="top" wrapText="1"/>
    </xf>
    <xf numFmtId="2" fontId="0" fillId="4" borderId="1" xfId="0" applyNumberFormat="1" applyFill="1" applyBorder="1" applyAlignment="1">
      <alignment vertical="top" wrapText="1"/>
    </xf>
    <xf numFmtId="2" fontId="0" fillId="3" borderId="1" xfId="0" applyNumberFormat="1" applyFill="1" applyBorder="1" applyAlignment="1">
      <alignment vertical="top" wrapText="1"/>
    </xf>
    <xf numFmtId="166" fontId="0" fillId="4" borderId="1" xfId="0" applyNumberFormat="1" applyFill="1" applyBorder="1" applyAlignment="1">
      <alignment vertical="top" wrapText="1"/>
    </xf>
    <xf numFmtId="165" fontId="0" fillId="6" borderId="1" xfId="0" applyNumberFormat="1" applyFill="1" applyBorder="1" applyAlignment="1">
      <alignment vertical="top" wrapText="1"/>
    </xf>
    <xf numFmtId="2" fontId="0" fillId="5" borderId="1" xfId="0" applyNumberFormat="1" applyFill="1" applyBorder="1" applyAlignment="1">
      <alignment vertical="top" wrapText="1"/>
    </xf>
    <xf numFmtId="0" fontId="5" fillId="0" borderId="0" xfId="0" applyFont="1"/>
    <xf numFmtId="2" fontId="0" fillId="6" borderId="1" xfId="0" applyNumberFormat="1" applyFill="1" applyBorder="1" applyAlignment="1">
      <alignment vertical="top" wrapText="1"/>
    </xf>
    <xf numFmtId="167" fontId="0" fillId="3" borderId="1" xfId="0" applyNumberFormat="1" applyFill="1" applyBorder="1" applyAlignment="1">
      <alignment vertical="top" wrapText="1"/>
    </xf>
    <xf numFmtId="165" fontId="0" fillId="4" borderId="1" xfId="0" applyNumberFormat="1" applyFill="1" applyBorder="1" applyAlignment="1">
      <alignment vertical="top" wrapText="1"/>
    </xf>
    <xf numFmtId="164" fontId="0" fillId="4" borderId="1" xfId="0" applyNumberFormat="1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</cellXfs>
  <cellStyles count="4">
    <cellStyle name="Hyperlink 2" xfId="3" xr:uid="{A4FFFE47-1CC0-4374-B968-927635EFEF59}"/>
    <cellStyle name="Normal" xfId="0" builtinId="0"/>
    <cellStyle name="Normal 2" xfId="1" xr:uid="{918DBB3B-E1B2-421F-87EF-AFD848105238}"/>
    <cellStyle name="Normal 3" xfId="2" xr:uid="{4BD25C5B-4A22-46BF-B10C-C25151659053}"/>
  </cellStyles>
  <dxfs count="0"/>
  <tableStyles count="0" defaultTableStyle="TableStyleMedium9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autoTitleDeleted val="1"/>
    <c:plotArea>
      <c:layout>
        <c:manualLayout>
          <c:layoutTarget val="inner"/>
          <c:xMode val="edge"/>
          <c:yMode val="edge"/>
          <c:x val="4.4434531228815966E-2"/>
          <c:y val="4.8506944444444443E-2"/>
          <c:w val="0.86639761033190299"/>
          <c:h val="0.90298611111111116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DASHBOARD_EXPORTS!$C$8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DASHBOARD_EXPORTS!$A$9:$A$14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DASHBOARD_EXPORTS!$C$9:$C$14</c:f>
              <c:numCache>
                <c:formatCode>0.00</c:formatCode>
                <c:ptCount val="6"/>
                <c:pt idx="0">
                  <c:v>0.58253405921228907</c:v>
                </c:pt>
                <c:pt idx="1">
                  <c:v>0.7940625</c:v>
                </c:pt>
                <c:pt idx="2">
                  <c:v>0.7574868154702159</c:v>
                </c:pt>
                <c:pt idx="3">
                  <c:v>0.70585081907786484</c:v>
                </c:pt>
                <c:pt idx="4">
                  <c:v>0.70466671504645562</c:v>
                </c:pt>
                <c:pt idx="5">
                  <c:v>0.59375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1-4BEF-9547-F7F20E8FB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Score</a:t>
                </a:r>
              </a:p>
            </c:rich>
          </c:tx>
          <c:layout>
            <c:manualLayout>
              <c:xMode val="edge"/>
              <c:yMode val="edge"/>
              <c:x val="2.5198412698412696E-3"/>
              <c:y val="0.42751493055555545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Subsystem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846802599019489"/>
          <c:y val="0.11740011665208516"/>
          <c:w val="0.58499888612827133"/>
          <c:h val="0.83739136774569845"/>
        </c:manualLayout>
      </c:layout>
      <c:radarChart>
        <c:radarStyle val="marker"/>
        <c:varyColors val="0"/>
        <c:ser>
          <c:idx val="4"/>
          <c:order val="0"/>
          <c:marker>
            <c:symbol val="none"/>
          </c:marker>
          <c:cat>
            <c:strRef>
              <c:f>DASHBOARD_EXPORTS!$I$9:$I$14</c:f>
              <c:strCache>
                <c:ptCount val="6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A4</c:v>
                </c:pt>
                <c:pt idx="4">
                  <c:v>A5</c:v>
                </c:pt>
                <c:pt idx="5">
                  <c:v>A6</c:v>
                </c:pt>
              </c:strCache>
            </c:strRef>
          </c:cat>
          <c:val>
            <c:numRef>
              <c:f>DASHBOARD_EXPORTS!$K$9:$K$14</c:f>
              <c:numCache>
                <c:formatCode>0.00</c:formatCode>
                <c:ptCount val="6"/>
                <c:pt idx="0">
                  <c:v>0.65625000000000011</c:v>
                </c:pt>
                <c:pt idx="1">
                  <c:v>0.77147865420915174</c:v>
                </c:pt>
                <c:pt idx="2">
                  <c:v>0.77083333333333337</c:v>
                </c:pt>
                <c:pt idx="3">
                  <c:v>0.25</c:v>
                </c:pt>
                <c:pt idx="4">
                  <c:v>0.79664236773124908</c:v>
                </c:pt>
                <c:pt idx="5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D31-4F49-9018-227062EFABC9}"/>
            </c:ext>
          </c:extLst>
        </c:ser>
        <c:ser>
          <c:idx val="5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DASHBOARD_EXPORTS!$I$9:$I$14</c:f>
              <c:strCache>
                <c:ptCount val="6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A4</c:v>
                </c:pt>
                <c:pt idx="4">
                  <c:v>A5</c:v>
                </c:pt>
                <c:pt idx="5">
                  <c:v>A6</c:v>
                </c:pt>
              </c:strCache>
            </c:strRef>
          </c:cat>
          <c:val>
            <c:numRef>
              <c:f>DASHBOARD_EXPORTS!$K$9:$K$14</c:f>
              <c:numCache>
                <c:formatCode>0.00</c:formatCode>
                <c:ptCount val="6"/>
                <c:pt idx="0">
                  <c:v>0.65625000000000011</c:v>
                </c:pt>
                <c:pt idx="1">
                  <c:v>0.77147865420915174</c:v>
                </c:pt>
                <c:pt idx="2">
                  <c:v>0.77083333333333337</c:v>
                </c:pt>
                <c:pt idx="3">
                  <c:v>0.25</c:v>
                </c:pt>
                <c:pt idx="4">
                  <c:v>0.79664236773124908</c:v>
                </c:pt>
                <c:pt idx="5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D31-4F49-9018-227062EFABC9}"/>
            </c:ext>
          </c:extLst>
        </c:ser>
        <c:ser>
          <c:idx val="6"/>
          <c:order val="2"/>
          <c:marker>
            <c:symbol val="none"/>
          </c:marker>
          <c:cat>
            <c:strRef>
              <c:f>DASHBOARD_EXPORTS!$I$9:$I$14</c:f>
              <c:strCache>
                <c:ptCount val="6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A4</c:v>
                </c:pt>
                <c:pt idx="4">
                  <c:v>A5</c:v>
                </c:pt>
                <c:pt idx="5">
                  <c:v>A6</c:v>
                </c:pt>
              </c:strCache>
            </c:strRef>
          </c:cat>
          <c:val>
            <c:numRef>
              <c:f>DASHBOARD_EXPORTS!$K$9:$K$14</c:f>
              <c:numCache>
                <c:formatCode>0.00</c:formatCode>
                <c:ptCount val="6"/>
                <c:pt idx="0">
                  <c:v>0.65625000000000011</c:v>
                </c:pt>
                <c:pt idx="1">
                  <c:v>0.77147865420915174</c:v>
                </c:pt>
                <c:pt idx="2">
                  <c:v>0.77083333333333337</c:v>
                </c:pt>
                <c:pt idx="3">
                  <c:v>0.25</c:v>
                </c:pt>
                <c:pt idx="4">
                  <c:v>0.79664236773124908</c:v>
                </c:pt>
                <c:pt idx="5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D31-4F49-9018-227062EFABC9}"/>
            </c:ext>
          </c:extLst>
        </c:ser>
        <c:ser>
          <c:idx val="7"/>
          <c:order val="3"/>
          <c:spPr>
            <a:effectLst/>
          </c:spPr>
          <c:marker>
            <c:symbol val="none"/>
          </c:marker>
          <c:cat>
            <c:strRef>
              <c:f>DASHBOARD_EXPORTS!$I$9:$I$14</c:f>
              <c:strCache>
                <c:ptCount val="6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A4</c:v>
                </c:pt>
                <c:pt idx="4">
                  <c:v>A5</c:v>
                </c:pt>
                <c:pt idx="5">
                  <c:v>A6</c:v>
                </c:pt>
              </c:strCache>
            </c:strRef>
          </c:cat>
          <c:val>
            <c:numRef>
              <c:f>DASHBOARD_EXPORTS!$K$9:$K$14</c:f>
              <c:numCache>
                <c:formatCode>0.00</c:formatCode>
                <c:ptCount val="6"/>
                <c:pt idx="0">
                  <c:v>0.65625000000000011</c:v>
                </c:pt>
                <c:pt idx="1">
                  <c:v>0.77147865420915174</c:v>
                </c:pt>
                <c:pt idx="2">
                  <c:v>0.77083333333333337</c:v>
                </c:pt>
                <c:pt idx="3">
                  <c:v>0.25</c:v>
                </c:pt>
                <c:pt idx="4">
                  <c:v>0.79664236773124908</c:v>
                </c:pt>
                <c:pt idx="5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D31-4F49-9018-227062EFABC9}"/>
            </c:ext>
          </c:extLst>
        </c:ser>
        <c:ser>
          <c:idx val="2"/>
          <c:order val="4"/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DASHBOARD_EXPORTS!$I$9:$I$14</c:f>
              <c:strCache>
                <c:ptCount val="6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A4</c:v>
                </c:pt>
                <c:pt idx="4">
                  <c:v>A5</c:v>
                </c:pt>
                <c:pt idx="5">
                  <c:v>A6</c:v>
                </c:pt>
              </c:strCache>
            </c:strRef>
          </c:cat>
          <c:val>
            <c:numRef>
              <c:f>DASHBOARD_EXPORTS!$K$9:$K$14</c:f>
              <c:numCache>
                <c:formatCode>0.00</c:formatCode>
                <c:ptCount val="6"/>
                <c:pt idx="0">
                  <c:v>0.65625000000000011</c:v>
                </c:pt>
                <c:pt idx="1">
                  <c:v>0.77147865420915174</c:v>
                </c:pt>
                <c:pt idx="2">
                  <c:v>0.77083333333333337</c:v>
                </c:pt>
                <c:pt idx="3">
                  <c:v>0.25</c:v>
                </c:pt>
                <c:pt idx="4">
                  <c:v>0.79664236773124908</c:v>
                </c:pt>
                <c:pt idx="5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D31-4F49-9018-227062EFABC9}"/>
            </c:ext>
          </c:extLst>
        </c:ser>
        <c:ser>
          <c:idx val="3"/>
          <c:order val="5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DASHBOARD_EXPORTS!$I$9:$I$14</c:f>
              <c:strCache>
                <c:ptCount val="6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A4</c:v>
                </c:pt>
                <c:pt idx="4">
                  <c:v>A5</c:v>
                </c:pt>
                <c:pt idx="5">
                  <c:v>A6</c:v>
                </c:pt>
              </c:strCache>
            </c:strRef>
          </c:cat>
          <c:val>
            <c:numRef>
              <c:f>DASHBOARD_EXPORTS!$K$9:$K$14</c:f>
              <c:numCache>
                <c:formatCode>0.00</c:formatCode>
                <c:ptCount val="6"/>
                <c:pt idx="0">
                  <c:v>0.65625000000000011</c:v>
                </c:pt>
                <c:pt idx="1">
                  <c:v>0.77147865420915174</c:v>
                </c:pt>
                <c:pt idx="2">
                  <c:v>0.77083333333333337</c:v>
                </c:pt>
                <c:pt idx="3">
                  <c:v>0.25</c:v>
                </c:pt>
                <c:pt idx="4">
                  <c:v>0.79664236773124908</c:v>
                </c:pt>
                <c:pt idx="5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D31-4F49-9018-227062EFABC9}"/>
            </c:ext>
          </c:extLst>
        </c:ser>
        <c:ser>
          <c:idx val="1"/>
          <c:order val="6"/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DASHBOARD_EXPORTS!$I$9:$I$14</c:f>
              <c:strCache>
                <c:ptCount val="6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A4</c:v>
                </c:pt>
                <c:pt idx="4">
                  <c:v>A5</c:v>
                </c:pt>
                <c:pt idx="5">
                  <c:v>A6</c:v>
                </c:pt>
              </c:strCache>
            </c:strRef>
          </c:cat>
          <c:val>
            <c:numRef>
              <c:f>DASHBOARD_EXPORTS!$K$9:$K$14</c:f>
              <c:numCache>
                <c:formatCode>0.00</c:formatCode>
                <c:ptCount val="6"/>
                <c:pt idx="0">
                  <c:v>0.65625000000000011</c:v>
                </c:pt>
                <c:pt idx="1">
                  <c:v>0.77147865420915174</c:v>
                </c:pt>
                <c:pt idx="2">
                  <c:v>0.77083333333333337</c:v>
                </c:pt>
                <c:pt idx="3">
                  <c:v>0.25</c:v>
                </c:pt>
                <c:pt idx="4">
                  <c:v>0.79664236773124908</c:v>
                </c:pt>
                <c:pt idx="5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D31-4F49-9018-227062EFABC9}"/>
            </c:ext>
          </c:extLst>
        </c:ser>
        <c:ser>
          <c:idx val="0"/>
          <c:order val="7"/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DASHBOARD_EXPORTS!$I$9:$I$14</c:f>
              <c:strCache>
                <c:ptCount val="6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A4</c:v>
                </c:pt>
                <c:pt idx="4">
                  <c:v>A5</c:v>
                </c:pt>
                <c:pt idx="5">
                  <c:v>A6</c:v>
                </c:pt>
              </c:strCache>
            </c:strRef>
          </c:cat>
          <c:val>
            <c:numRef>
              <c:f>DASHBOARD_EXPORTS!$K$9:$K$14</c:f>
              <c:numCache>
                <c:formatCode>0.00</c:formatCode>
                <c:ptCount val="6"/>
                <c:pt idx="0">
                  <c:v>0.65625000000000011</c:v>
                </c:pt>
                <c:pt idx="1">
                  <c:v>0.77147865420915174</c:v>
                </c:pt>
                <c:pt idx="2">
                  <c:v>0.77083333333333337</c:v>
                </c:pt>
                <c:pt idx="3">
                  <c:v>0.25</c:v>
                </c:pt>
                <c:pt idx="4">
                  <c:v>0.79664236773124908</c:v>
                </c:pt>
                <c:pt idx="5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D31-4F49-9018-227062EFA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542976"/>
        <c:axId val="2021555936"/>
      </c:radarChart>
      <c:catAx>
        <c:axId val="202154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2021555936"/>
        <c:crosses val="autoZero"/>
        <c:auto val="1"/>
        <c:lblAlgn val="ctr"/>
        <c:lblOffset val="100"/>
        <c:noMultiLvlLbl val="0"/>
      </c:catAx>
      <c:valAx>
        <c:axId val="202155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ot"/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vert="horz"/>
          <a:lstStyle/>
          <a:p>
            <a:pPr>
              <a:defRPr sz="1400"/>
            </a:pPr>
            <a:endParaRPr lang="en-US"/>
          </a:p>
        </c:txPr>
        <c:crossAx val="2021542976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lt1"/>
    </a:solidFill>
    <a:ln w="25400" cap="flat" cmpd="sng" algn="ctr">
      <a:noFill/>
      <a:prstDash val="solid"/>
      <a:round/>
    </a:ln>
    <a:effectLst/>
  </c:spPr>
  <c:txPr>
    <a:bodyPr/>
    <a:lstStyle/>
    <a:p>
      <a:pPr>
        <a:defRPr sz="1600">
          <a:solidFill>
            <a:schemeClr val="dk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radarChart>
        <c:radarStyle val="marker"/>
        <c:varyColors val="0"/>
        <c:ser>
          <c:idx val="1"/>
          <c:order val="0"/>
          <c:spPr>
            <a:ln w="28575" cap="rnd" cmpd="sng" algn="ctr">
              <a:solidFill>
                <a:schemeClr val="accent5">
                  <a:shade val="76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DASHBOARD_EXPORTS!$I$15:$I$19</c:f>
              <c:strCache>
                <c:ptCount val="5"/>
                <c:pt idx="0">
                  <c:v>B1</c:v>
                </c:pt>
                <c:pt idx="1">
                  <c:v>B2</c:v>
                </c:pt>
                <c:pt idx="2">
                  <c:v>B3</c:v>
                </c:pt>
                <c:pt idx="3">
                  <c:v>B4</c:v>
                </c:pt>
                <c:pt idx="4">
                  <c:v>B5</c:v>
                </c:pt>
              </c:strCache>
            </c:strRef>
          </c:cat>
          <c:val>
            <c:numRef>
              <c:f>DASHBOARD_EXPORTS!$K$15:$K$19</c:f>
              <c:numCache>
                <c:formatCode>0.00</c:formatCode>
                <c:ptCount val="5"/>
                <c:pt idx="0">
                  <c:v>0.9921875</c:v>
                </c:pt>
                <c:pt idx="1">
                  <c:v>0.9921875</c:v>
                </c:pt>
                <c:pt idx="2">
                  <c:v>0.9921875</c:v>
                </c:pt>
                <c:pt idx="3">
                  <c:v>0.99375000000000002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84-401B-A553-BA79A6E244C7}"/>
            </c:ext>
          </c:extLst>
        </c:ser>
        <c:ser>
          <c:idx val="0"/>
          <c:order val="1"/>
          <c:spPr>
            <a:ln w="28575" cap="rnd" cmpd="sng" algn="ctr">
              <a:solidFill>
                <a:schemeClr val="accent5">
                  <a:tint val="77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DASHBOARD_EXPORTS!$I$15:$I$19</c:f>
              <c:strCache>
                <c:ptCount val="5"/>
                <c:pt idx="0">
                  <c:v>B1</c:v>
                </c:pt>
                <c:pt idx="1">
                  <c:v>B2</c:v>
                </c:pt>
                <c:pt idx="2">
                  <c:v>B3</c:v>
                </c:pt>
                <c:pt idx="3">
                  <c:v>B4</c:v>
                </c:pt>
                <c:pt idx="4">
                  <c:v>B5</c:v>
                </c:pt>
              </c:strCache>
            </c:strRef>
          </c:cat>
          <c:val>
            <c:numRef>
              <c:f>DASHBOARD_EXPORTS!$K$15:$K$19</c:f>
              <c:numCache>
                <c:formatCode>0.00</c:formatCode>
                <c:ptCount val="5"/>
                <c:pt idx="0">
                  <c:v>0.9921875</c:v>
                </c:pt>
                <c:pt idx="1">
                  <c:v>0.9921875</c:v>
                </c:pt>
                <c:pt idx="2">
                  <c:v>0.9921875</c:v>
                </c:pt>
                <c:pt idx="3">
                  <c:v>0.99375000000000002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84-401B-A553-BA79A6E24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542976"/>
        <c:axId val="2021555936"/>
      </c:radarChart>
      <c:catAx>
        <c:axId val="202154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21555936"/>
        <c:crosses val="autoZero"/>
        <c:auto val="1"/>
        <c:lblAlgn val="ctr"/>
        <c:lblOffset val="100"/>
        <c:noMultiLvlLbl val="0"/>
      </c:catAx>
      <c:valAx>
        <c:axId val="202155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ot"/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2154297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957285801157428"/>
          <c:y val="0.12709900845727617"/>
          <c:w val="0.44085406578454428"/>
          <c:h val="0.73654272382618835"/>
        </c:manualLayout>
      </c:layout>
      <c:radarChart>
        <c:radarStyle val="marker"/>
        <c:varyColors val="0"/>
        <c:ser>
          <c:idx val="4"/>
          <c:order val="0"/>
          <c:spPr>
            <a:ln w="28575" cap="rnd" cmpd="sng" algn="ctr">
              <a:solidFill>
                <a:schemeClr val="accent4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DASHBOARD_EXPORTS!$I$20:$I$24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DASHBOARD_EXPORTS!$K$20:$K$24</c:f>
              <c:numCache>
                <c:formatCode>0.00</c:formatCode>
                <c:ptCount val="5"/>
                <c:pt idx="0">
                  <c:v>0.96995632103047347</c:v>
                </c:pt>
                <c:pt idx="1">
                  <c:v>0.91093090717299563</c:v>
                </c:pt>
                <c:pt idx="2">
                  <c:v>0.62762314533440067</c:v>
                </c:pt>
                <c:pt idx="3">
                  <c:v>0.69468318868450218</c:v>
                </c:pt>
                <c:pt idx="4">
                  <c:v>0.58424051512870734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83B-4BD9-8A6D-E78CA8B996FC}"/>
            </c:ext>
          </c:extLst>
        </c:ser>
        <c:ser>
          <c:idx val="5"/>
          <c:order val="1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DASHBOARD_EXPORTS!$I$20:$I$24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DASHBOARD_EXPORTS!$K$20:$K$24</c:f>
              <c:numCache>
                <c:formatCode>0.00</c:formatCode>
                <c:ptCount val="5"/>
                <c:pt idx="0">
                  <c:v>0.96995632103047347</c:v>
                </c:pt>
                <c:pt idx="1">
                  <c:v>0.91093090717299563</c:v>
                </c:pt>
                <c:pt idx="2">
                  <c:v>0.62762314533440067</c:v>
                </c:pt>
                <c:pt idx="3">
                  <c:v>0.69468318868450218</c:v>
                </c:pt>
                <c:pt idx="4">
                  <c:v>0.58424051512870734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83B-4BD9-8A6D-E78CA8B996FC}"/>
            </c:ext>
          </c:extLst>
        </c:ser>
        <c:ser>
          <c:idx val="6"/>
          <c:order val="2"/>
          <c:spPr>
            <a:ln w="28575" cap="rnd" cmpd="sng" algn="ctr">
              <a:solidFill>
                <a:schemeClr val="accent2">
                  <a:lumMod val="80000"/>
                  <a:lumOff val="2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DASHBOARD_EXPORTS!$I$20:$I$24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DASHBOARD_EXPORTS!$K$20:$K$24</c:f>
              <c:numCache>
                <c:formatCode>0.00</c:formatCode>
                <c:ptCount val="5"/>
                <c:pt idx="0">
                  <c:v>0.96995632103047347</c:v>
                </c:pt>
                <c:pt idx="1">
                  <c:v>0.91093090717299563</c:v>
                </c:pt>
                <c:pt idx="2">
                  <c:v>0.62762314533440067</c:v>
                </c:pt>
                <c:pt idx="3">
                  <c:v>0.69468318868450218</c:v>
                </c:pt>
                <c:pt idx="4">
                  <c:v>0.58424051512870734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83B-4BD9-8A6D-E78CA8B996FC}"/>
            </c:ext>
          </c:extLst>
        </c:ser>
        <c:ser>
          <c:idx val="7"/>
          <c:order val="3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DASHBOARD_EXPORTS!$I$20:$I$24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DASHBOARD_EXPORTS!$K$20:$K$24</c:f>
              <c:numCache>
                <c:formatCode>0.00</c:formatCode>
                <c:ptCount val="5"/>
                <c:pt idx="0">
                  <c:v>0.96995632103047347</c:v>
                </c:pt>
                <c:pt idx="1">
                  <c:v>0.91093090717299563</c:v>
                </c:pt>
                <c:pt idx="2">
                  <c:v>0.62762314533440067</c:v>
                </c:pt>
                <c:pt idx="3">
                  <c:v>0.69468318868450218</c:v>
                </c:pt>
                <c:pt idx="4">
                  <c:v>0.58424051512870734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83B-4BD9-8A6D-E78CA8B996FC}"/>
            </c:ext>
          </c:extLst>
        </c:ser>
        <c:ser>
          <c:idx val="2"/>
          <c:order val="4"/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DASHBOARD_EXPORTS!$I$20:$I$24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DASHBOARD_EXPORTS!$K$20:$K$24</c:f>
              <c:numCache>
                <c:formatCode>0.00</c:formatCode>
                <c:ptCount val="5"/>
                <c:pt idx="0">
                  <c:v>0.96995632103047347</c:v>
                </c:pt>
                <c:pt idx="1">
                  <c:v>0.91093090717299563</c:v>
                </c:pt>
                <c:pt idx="2">
                  <c:v>0.62762314533440067</c:v>
                </c:pt>
                <c:pt idx="3">
                  <c:v>0.69468318868450218</c:v>
                </c:pt>
                <c:pt idx="4">
                  <c:v>0.58424051512870734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83B-4BD9-8A6D-E78CA8B996FC}"/>
            </c:ext>
          </c:extLst>
        </c:ser>
        <c:ser>
          <c:idx val="3"/>
          <c:order val="5"/>
          <c:spPr>
            <a:ln w="28575" cap="rnd" cmpd="sng" algn="ctr">
              <a:solidFill>
                <a:schemeClr val="accent2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DASHBOARD_EXPORTS!$I$20:$I$24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DASHBOARD_EXPORTS!$K$20:$K$24</c:f>
              <c:numCache>
                <c:formatCode>0.00</c:formatCode>
                <c:ptCount val="5"/>
                <c:pt idx="0">
                  <c:v>0.96995632103047347</c:v>
                </c:pt>
                <c:pt idx="1">
                  <c:v>0.91093090717299563</c:v>
                </c:pt>
                <c:pt idx="2">
                  <c:v>0.62762314533440067</c:v>
                </c:pt>
                <c:pt idx="3">
                  <c:v>0.69468318868450218</c:v>
                </c:pt>
                <c:pt idx="4">
                  <c:v>0.58424051512870734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83B-4BD9-8A6D-E78CA8B996FC}"/>
            </c:ext>
          </c:extLst>
        </c:ser>
        <c:ser>
          <c:idx val="1"/>
          <c:order val="6"/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DASHBOARD_EXPORTS!$I$20:$I$24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DASHBOARD_EXPORTS!$K$20:$K$24</c:f>
              <c:numCache>
                <c:formatCode>0.00</c:formatCode>
                <c:ptCount val="5"/>
                <c:pt idx="0">
                  <c:v>0.96995632103047347</c:v>
                </c:pt>
                <c:pt idx="1">
                  <c:v>0.91093090717299563</c:v>
                </c:pt>
                <c:pt idx="2">
                  <c:v>0.62762314533440067</c:v>
                </c:pt>
                <c:pt idx="3">
                  <c:v>0.69468318868450218</c:v>
                </c:pt>
                <c:pt idx="4">
                  <c:v>0.58424051512870734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83B-4BD9-8A6D-E78CA8B996FC}"/>
            </c:ext>
          </c:extLst>
        </c:ser>
        <c:ser>
          <c:idx val="0"/>
          <c:order val="7"/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DASHBOARD_EXPORTS!$I$20:$I$24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DASHBOARD_EXPORTS!$K$20:$K$24</c:f>
              <c:numCache>
                <c:formatCode>0.00</c:formatCode>
                <c:ptCount val="5"/>
                <c:pt idx="0">
                  <c:v>0.96995632103047347</c:v>
                </c:pt>
                <c:pt idx="1">
                  <c:v>0.91093090717299563</c:v>
                </c:pt>
                <c:pt idx="2">
                  <c:v>0.62762314533440067</c:v>
                </c:pt>
                <c:pt idx="3">
                  <c:v>0.69468318868450218</c:v>
                </c:pt>
                <c:pt idx="4">
                  <c:v>0.58424051512870734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83B-4BD9-8A6D-E78CA8B99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542976"/>
        <c:axId val="2021555936"/>
      </c:radarChart>
      <c:catAx>
        <c:axId val="202154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21555936"/>
        <c:crosses val="autoZero"/>
        <c:auto val="1"/>
        <c:lblAlgn val="ctr"/>
        <c:lblOffset val="100"/>
        <c:noMultiLvlLbl val="0"/>
      </c:catAx>
      <c:valAx>
        <c:axId val="202155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ot"/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21542976"/>
        <c:crosses val="autoZero"/>
        <c:crossBetween val="between"/>
        <c:majorUnit val="0.2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radarChart>
        <c:radarStyle val="marker"/>
        <c:varyColors val="0"/>
        <c:ser>
          <c:idx val="1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DASHBOARD_EXPORTS!$I$25:$I$32</c:f>
              <c:strCache>
                <c:ptCount val="8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</c:strCache>
            </c:strRef>
          </c:cat>
          <c:val>
            <c:numRef>
              <c:f>DASHBOARD_EXPORTS!$K$25:$K$32</c:f>
              <c:numCache>
                <c:formatCode>0.00</c:formatCode>
                <c:ptCount val="8"/>
                <c:pt idx="0">
                  <c:v>0.8332917366096011</c:v>
                </c:pt>
                <c:pt idx="1">
                  <c:v>0.79078849249258187</c:v>
                </c:pt>
                <c:pt idx="2">
                  <c:v>0.69324934064152555</c:v>
                </c:pt>
                <c:pt idx="3">
                  <c:v>0.62486094739811837</c:v>
                </c:pt>
                <c:pt idx="4">
                  <c:v>0.65912862469411215</c:v>
                </c:pt>
                <c:pt idx="5">
                  <c:v>0.67951273293740422</c:v>
                </c:pt>
                <c:pt idx="6">
                  <c:v>0.4629151880828779</c:v>
                </c:pt>
                <c:pt idx="7">
                  <c:v>0.90305948976669703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A00-478D-9569-4E3E65AAF76F}"/>
            </c:ext>
          </c:extLst>
        </c:ser>
        <c:ser>
          <c:idx val="0"/>
          <c:order val="1"/>
          <c:spPr>
            <a:ln w="28575" cap="rnd">
              <a:solidFill>
                <a:srgbClr val="F79646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DASHBOARD_EXPORTS!$I$25:$I$32</c:f>
              <c:strCache>
                <c:ptCount val="8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</c:strCache>
            </c:strRef>
          </c:cat>
          <c:val>
            <c:numRef>
              <c:f>DASHBOARD_EXPORTS!$K$25:$K$32</c:f>
              <c:numCache>
                <c:formatCode>0.00</c:formatCode>
                <c:ptCount val="8"/>
                <c:pt idx="0">
                  <c:v>0.8332917366096011</c:v>
                </c:pt>
                <c:pt idx="1">
                  <c:v>0.79078849249258187</c:v>
                </c:pt>
                <c:pt idx="2">
                  <c:v>0.69324934064152555</c:v>
                </c:pt>
                <c:pt idx="3">
                  <c:v>0.62486094739811837</c:v>
                </c:pt>
                <c:pt idx="4">
                  <c:v>0.65912862469411215</c:v>
                </c:pt>
                <c:pt idx="5">
                  <c:v>0.67951273293740422</c:v>
                </c:pt>
                <c:pt idx="6">
                  <c:v>0.4629151880828779</c:v>
                </c:pt>
                <c:pt idx="7">
                  <c:v>0.90305948976669703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A00-478D-9569-4E3E65AAF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542976"/>
        <c:axId val="2021555936"/>
      </c:radarChart>
      <c:catAx>
        <c:axId val="202154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21555936"/>
        <c:crosses val="autoZero"/>
        <c:auto val="1"/>
        <c:lblAlgn val="ctr"/>
        <c:lblOffset val="100"/>
        <c:noMultiLvlLbl val="0"/>
      </c:catAx>
      <c:valAx>
        <c:axId val="202155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ot"/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21542976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rgbClr val="9BBB59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DASHBOARD_EXPORTS!$I$33:$I$42</c:f>
              <c:strCache>
                <c:ptCount val="10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E6</c:v>
                </c:pt>
                <c:pt idx="6">
                  <c:v>E7</c:v>
                </c:pt>
                <c:pt idx="7">
                  <c:v>E8</c:v>
                </c:pt>
                <c:pt idx="8">
                  <c:v>E9</c:v>
                </c:pt>
                <c:pt idx="9">
                  <c:v>E10</c:v>
                </c:pt>
              </c:strCache>
            </c:strRef>
          </c:cat>
          <c:val>
            <c:numRef>
              <c:f>DASHBOARD_EXPORTS!$K$33:$K$42</c:f>
              <c:numCache>
                <c:formatCode>0.00</c:formatCode>
                <c:ptCount val="10"/>
                <c:pt idx="0">
                  <c:v>0.61807973524616644</c:v>
                </c:pt>
                <c:pt idx="1">
                  <c:v>0.50850506843618515</c:v>
                </c:pt>
                <c:pt idx="2">
                  <c:v>0.81614636989131051</c:v>
                </c:pt>
                <c:pt idx="3">
                  <c:v>0.53568748784014864</c:v>
                </c:pt>
                <c:pt idx="4">
                  <c:v>0.56628899075120642</c:v>
                </c:pt>
                <c:pt idx="5">
                  <c:v>1</c:v>
                </c:pt>
                <c:pt idx="6">
                  <c:v>1</c:v>
                </c:pt>
                <c:pt idx="7">
                  <c:v>0.74426692822589191</c:v>
                </c:pt>
                <c:pt idx="8">
                  <c:v>0.41686880937942183</c:v>
                </c:pt>
                <c:pt idx="9">
                  <c:v>0.8408237606942246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FA-43FD-B39F-8256BC8C5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542976"/>
        <c:axId val="2021555936"/>
      </c:radarChart>
      <c:catAx>
        <c:axId val="202154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21555936"/>
        <c:crosses val="autoZero"/>
        <c:auto val="1"/>
        <c:lblAlgn val="ctr"/>
        <c:lblOffset val="100"/>
        <c:noMultiLvlLbl val="0"/>
      </c:catAx>
      <c:valAx>
        <c:axId val="202155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ot"/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21542976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DASHBOARD_EXPORTS!$I$43:$I$46</c:f>
              <c:strCache>
                <c:ptCount val="4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</c:strCache>
            </c:strRef>
          </c:cat>
          <c:val>
            <c:numRef>
              <c:f>DASHBOARD_EXPORTS!$K$43:$K$46</c:f>
              <c:numCache>
                <c:formatCode>0.00</c:formatCode>
                <c:ptCount val="4"/>
                <c:pt idx="0">
                  <c:v>0.8125</c:v>
                </c:pt>
                <c:pt idx="1">
                  <c:v>0.625</c:v>
                </c:pt>
                <c:pt idx="2">
                  <c:v>0.5</c:v>
                </c:pt>
                <c:pt idx="3">
                  <c:v>0.4375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8-4E9A-8A0F-2B3EE30CD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542976"/>
        <c:axId val="2021555936"/>
      </c:radarChart>
      <c:catAx>
        <c:axId val="202154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21555936"/>
        <c:crosses val="autoZero"/>
        <c:auto val="1"/>
        <c:lblAlgn val="ctr"/>
        <c:lblOffset val="100"/>
        <c:noMultiLvlLbl val="0"/>
      </c:catAx>
      <c:valAx>
        <c:axId val="202155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ot"/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21542976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5316418780985717E-2"/>
          <c:y val="4.6161101520064002E-2"/>
          <c:w val="0.73840575483620108"/>
          <c:h val="0.77000575462826504"/>
        </c:manualLayout>
      </c:layout>
      <c:radarChart>
        <c:radarStyle val="marker"/>
        <c:varyColors val="0"/>
        <c:ser>
          <c:idx val="0"/>
          <c:order val="0"/>
          <c:spPr>
            <a:ln w="28575" cap="rnd" cmpd="sng" algn="ctr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DASHBOARD_EXPORTS!$A$9:$A$14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DASHBOARD_EXPORTS!$C$9:$C$14</c:f>
              <c:numCache>
                <c:formatCode>0.00</c:formatCode>
                <c:ptCount val="6"/>
                <c:pt idx="0">
                  <c:v>0.58253405921228907</c:v>
                </c:pt>
                <c:pt idx="1">
                  <c:v>0.7940625</c:v>
                </c:pt>
                <c:pt idx="2">
                  <c:v>0.7574868154702159</c:v>
                </c:pt>
                <c:pt idx="3">
                  <c:v>0.70585081907786484</c:v>
                </c:pt>
                <c:pt idx="4">
                  <c:v>0.70466671504645562</c:v>
                </c:pt>
                <c:pt idx="5">
                  <c:v>0.59375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C9-4891-9381-30B3CCAFB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542976"/>
        <c:axId val="2021555936"/>
      </c:radarChart>
      <c:catAx>
        <c:axId val="202154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555936"/>
        <c:crosses val="autoZero"/>
        <c:auto val="1"/>
        <c:lblAlgn val="ctr"/>
        <c:lblOffset val="100"/>
        <c:noMultiLvlLbl val="0"/>
      </c:catAx>
      <c:valAx>
        <c:axId val="202155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ot"/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542976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lt1"/>
    </a:solidFill>
    <a:ln w="25400" cap="flat" cmpd="sng" algn="ctr">
      <a:noFill/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16</xdr:row>
      <xdr:rowOff>66675</xdr:rowOff>
    </xdr:from>
    <xdr:ext cx="5716275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12</xdr:col>
      <xdr:colOff>166694</xdr:colOff>
      <xdr:row>2</xdr:row>
      <xdr:rowOff>515942</xdr:rowOff>
    </xdr:from>
    <xdr:to>
      <xdr:col>19</xdr:col>
      <xdr:colOff>471494</xdr:colOff>
      <xdr:row>16</xdr:row>
      <xdr:rowOff>128592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17D29F-E271-E02D-830F-CC7EAE2160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114300</xdr:colOff>
      <xdr:row>3</xdr:row>
      <xdr:rowOff>3174</xdr:rowOff>
    </xdr:from>
    <xdr:to>
      <xdr:col>25</xdr:col>
      <xdr:colOff>419100</xdr:colOff>
      <xdr:row>16</xdr:row>
      <xdr:rowOff>79374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421F898-4DF7-4C86-BA17-6DB875BD9A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57150</xdr:colOff>
      <xdr:row>16</xdr:row>
      <xdr:rowOff>114300</xdr:rowOff>
    </xdr:from>
    <xdr:to>
      <xdr:col>19</xdr:col>
      <xdr:colOff>361950</xdr:colOff>
      <xdr:row>31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AE029C1-F87B-4E30-A9DF-1A39F78C5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85725</xdr:colOff>
      <xdr:row>16</xdr:row>
      <xdr:rowOff>104775</xdr:rowOff>
    </xdr:from>
    <xdr:to>
      <xdr:col>25</xdr:col>
      <xdr:colOff>390525</xdr:colOff>
      <xdr:row>30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029A499-1A0E-4CEE-9FA3-E3C854FCA9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47625</xdr:colOff>
      <xdr:row>31</xdr:row>
      <xdr:rowOff>9525</xdr:rowOff>
    </xdr:from>
    <xdr:to>
      <xdr:col>19</xdr:col>
      <xdr:colOff>352425</xdr:colOff>
      <xdr:row>45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AC04E86-3F68-4F3E-8F37-BC8CF14F3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76200</xdr:colOff>
      <xdr:row>31</xdr:row>
      <xdr:rowOff>9525</xdr:rowOff>
    </xdr:from>
    <xdr:to>
      <xdr:col>25</xdr:col>
      <xdr:colOff>381000</xdr:colOff>
      <xdr:row>45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2235523-FC39-4BAC-987F-816E6B1CB3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66675</xdr:colOff>
      <xdr:row>3</xdr:row>
      <xdr:rowOff>247650</xdr:rowOff>
    </xdr:from>
    <xdr:to>
      <xdr:col>7</xdr:col>
      <xdr:colOff>428625</xdr:colOff>
      <xdr:row>12</xdr:row>
      <xdr:rowOff>180975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8DE4093-1198-4329-BE02-4F61B2EE18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ackup_words\Tool\Done\UPLOAD\RI_SA_water_availability_tool_v1.xlsx" TargetMode="External"/><Relationship Id="rId1" Type="http://schemas.openxmlformats.org/officeDocument/2006/relationships/externalLinkPath" Target="RI_SA_water_availability_tool_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ackup_words\Tool\Done\UPLOAD\RI_SB_reservoir_service_tool_v1.xlsx" TargetMode="External"/><Relationship Id="rId1" Type="http://schemas.openxmlformats.org/officeDocument/2006/relationships/externalLinkPath" Target="RI_SB_reservoir_service_tool_v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ackup_words\Tool\Done\UPLOAD\RI_SC_conveyance_distribution_tool_v1.xlsx" TargetMode="External"/><Relationship Id="rId1" Type="http://schemas.openxmlformats.org/officeDocument/2006/relationships/externalLinkPath" Target="RI_SC_conveyance_distribution_tool_v1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ackup_words\Tool\Done\UPLOAD\RI_SD_energy_performance_tool_v1.xlsx" TargetMode="External"/><Relationship Id="rId1" Type="http://schemas.openxmlformats.org/officeDocument/2006/relationships/externalLinkPath" Target="RI_SD_energy_performance_tool_v1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ackup_words\Tool\Done\UPLOAD\RI_SE_on_farm_performance_tool_v1.xlsx" TargetMode="External"/><Relationship Id="rId1" Type="http://schemas.openxmlformats.org/officeDocument/2006/relationships/externalLinkPath" Target="RI_SE_on_farm_performance_tool_v1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ackup_words\Tool\Done\UPLOAD\RI_SF_drought_management_tool_v1.xlsx" TargetMode="External"/><Relationship Id="rId1" Type="http://schemas.openxmlformats.org/officeDocument/2006/relationships/externalLinkPath" Target="RI_SF_drought_management_tool_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_input"/>
      <sheetName val="SA_calcu_indicators"/>
    </sheetNames>
    <sheetDataSet>
      <sheetData sheetId="0"/>
      <sheetData sheetId="1">
        <row r="4">
          <cell r="G4">
            <v>1</v>
          </cell>
          <cell r="H4">
            <v>1</v>
          </cell>
          <cell r="I4">
            <v>0</v>
          </cell>
          <cell r="J4">
            <v>1.5612658867377252</v>
          </cell>
          <cell r="K4">
            <v>25.869852424958317</v>
          </cell>
          <cell r="L4">
            <v>6.7561038801348081</v>
          </cell>
        </row>
        <row r="5">
          <cell r="G5">
            <v>0.75</v>
          </cell>
          <cell r="H5">
            <v>0.96357804573573891</v>
          </cell>
          <cell r="I5">
            <v>1</v>
          </cell>
          <cell r="J5">
            <v>2.3320146325846425</v>
          </cell>
          <cell r="K5">
            <v>90.830935457300612</v>
          </cell>
          <cell r="L5">
            <v>23.721172637510001</v>
          </cell>
        </row>
        <row r="6">
          <cell r="G6">
            <v>0.83333333333333337</v>
          </cell>
          <cell r="H6">
            <v>0.93986503921045683</v>
          </cell>
          <cell r="I6">
            <v>4</v>
          </cell>
          <cell r="J6">
            <v>2.2886757337171111</v>
          </cell>
          <cell r="K6">
            <v>4.8587336492057336</v>
          </cell>
          <cell r="L6">
            <v>1.2688943377300037</v>
          </cell>
        </row>
        <row r="7">
          <cell r="G7">
            <v>0.25</v>
          </cell>
          <cell r="H7">
            <v>5.9809026275220334E-2</v>
          </cell>
          <cell r="I7">
            <v>9</v>
          </cell>
          <cell r="J7">
            <v>2.3680953229908295</v>
          </cell>
          <cell r="K7">
            <v>27.329636227286098</v>
          </cell>
          <cell r="L7">
            <v>7.1373372497364729</v>
          </cell>
        </row>
        <row r="8">
          <cell r="G8">
            <v>0.91666666666666663</v>
          </cell>
          <cell r="H8">
            <v>0.98303477797853234</v>
          </cell>
          <cell r="I8">
            <v>1</v>
          </cell>
          <cell r="J8">
            <v>1.5273719669165629</v>
          </cell>
          <cell r="K8">
            <v>12.700056464861085</v>
          </cell>
          <cell r="L8">
            <v>3.3167139630607068</v>
          </cell>
        </row>
        <row r="9">
          <cell r="G9">
            <v>0.91666666666666663</v>
          </cell>
          <cell r="H9">
            <v>0.99999758993955734</v>
          </cell>
          <cell r="I9">
            <v>0</v>
          </cell>
          <cell r="J9">
            <v>1.8549709911156431</v>
          </cell>
          <cell r="K9">
            <v>5.2828921077305413</v>
          </cell>
          <cell r="L9">
            <v>1.3796664658565163</v>
          </cell>
        </row>
        <row r="10">
          <cell r="G10">
            <v>0.16666666666666666</v>
          </cell>
          <cell r="H10">
            <v>0.8777645866741588</v>
          </cell>
          <cell r="I10">
            <v>5.5</v>
          </cell>
          <cell r="J10">
            <v>2.3569792876042075</v>
          </cell>
          <cell r="K10">
            <v>10.67244792253225</v>
          </cell>
          <cell r="L10">
            <v>2.7871889501152802</v>
          </cell>
        </row>
        <row r="11">
          <cell r="G11">
            <v>0.41666666666666669</v>
          </cell>
          <cell r="H11">
            <v>0.3477801678595499</v>
          </cell>
          <cell r="I11">
            <v>7</v>
          </cell>
          <cell r="J11">
            <v>2.4581428636806364</v>
          </cell>
          <cell r="K11">
            <v>9.9082908802905845</v>
          </cell>
          <cell r="L11">
            <v>2.5876236695209296</v>
          </cell>
        </row>
        <row r="12">
          <cell r="G12">
            <v>1</v>
          </cell>
          <cell r="H12">
            <v>1</v>
          </cell>
          <cell r="I12">
            <v>0</v>
          </cell>
          <cell r="J12">
            <v>1.1979349328248481</v>
          </cell>
          <cell r="K12">
            <v>4.0023524371363521</v>
          </cell>
          <cell r="L12">
            <v>1.045244031006392</v>
          </cell>
        </row>
        <row r="13">
          <cell r="G13">
            <v>1</v>
          </cell>
          <cell r="H13">
            <v>1</v>
          </cell>
          <cell r="I13">
            <v>0</v>
          </cell>
          <cell r="J13">
            <v>1.6766237856729889</v>
          </cell>
          <cell r="K13">
            <v>2.4105140198593156</v>
          </cell>
          <cell r="L13">
            <v>0.62952361904388077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CONTROL_PANEL"/>
      <sheetName val="B_METHOD"/>
      <sheetName val="DATA_DICTIONARY"/>
      <sheetName val="DATA_INPUT"/>
      <sheetName val="STORAGE_BALANCE_ENSEMBLE"/>
      <sheetName val="B_INPUT_RESERVOIR"/>
      <sheetName val="B_CALC_ANNUAL"/>
      <sheetName val="B_CALC_PERIOD"/>
      <sheetName val="B_EXPORT_TABLE"/>
      <sheetName val="QUALITY_CHEC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9">
          <cell r="B9">
            <v>0.99375000000000002</v>
          </cell>
        </row>
      </sheetData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_YEARS"/>
      <sheetName val="C_PREPROCESSING_RULES"/>
      <sheetName val="C_PYTHON_WORKFLOW"/>
      <sheetName val="C_INPUT_HYDRANT_SUMMARY"/>
      <sheetName val="C_CRITICAL_HYDRANTS"/>
      <sheetName val="C_INPUT_PREPROCESSED"/>
      <sheetName val="C_CALC_ANNUAL"/>
      <sheetName val="C_FINAL_TO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9">
          <cell r="B9">
            <v>0.97626513317191288</v>
          </cell>
          <cell r="C9">
            <v>0.94936708860759489</v>
          </cell>
          <cell r="D9">
            <v>0.60129413079420369</v>
          </cell>
          <cell r="E9">
            <v>0.49990097303378367</v>
          </cell>
          <cell r="F9">
            <v>0.55037188596831987</v>
          </cell>
        </row>
        <row r="10">
          <cell r="B10">
            <v>0.97501815980629536</v>
          </cell>
          <cell r="C10">
            <v>0.96202531645569622</v>
          </cell>
          <cell r="D10">
            <v>0.648332470898067</v>
          </cell>
          <cell r="E10">
            <v>0.50104233997860215</v>
          </cell>
          <cell r="F10">
            <v>0.55458603892268399</v>
          </cell>
        </row>
        <row r="11">
          <cell r="B11">
            <v>0.97593220338983055</v>
          </cell>
          <cell r="C11">
            <v>0.96202531645569622</v>
          </cell>
          <cell r="D11">
            <v>0.61001838122224517</v>
          </cell>
          <cell r="E11">
            <v>0.49936023851783951</v>
          </cell>
          <cell r="F11">
            <v>0.55690083336291918</v>
          </cell>
        </row>
        <row r="12">
          <cell r="B12">
            <v>0.97490920096852296</v>
          </cell>
          <cell r="C12">
            <v>0.94936708860759489</v>
          </cell>
          <cell r="D12">
            <v>0.63987617542859798</v>
          </cell>
          <cell r="E12">
            <v>0.50076626991574302</v>
          </cell>
          <cell r="F12">
            <v>0.55432799525165355</v>
          </cell>
        </row>
        <row r="13">
          <cell r="B13">
            <v>0.97582324455205816</v>
          </cell>
          <cell r="C13">
            <v>0.96202531645569622</v>
          </cell>
          <cell r="D13">
            <v>0.61031491861637843</v>
          </cell>
          <cell r="E13">
            <v>0.49944204348617283</v>
          </cell>
          <cell r="F13">
            <v>0.55392088872786138</v>
          </cell>
        </row>
        <row r="14">
          <cell r="B14">
            <v>0.97512106537530263</v>
          </cell>
          <cell r="C14">
            <v>0.96202531645569622</v>
          </cell>
          <cell r="D14">
            <v>0.63629196442602565</v>
          </cell>
          <cell r="E14">
            <v>0.50087192680142212</v>
          </cell>
          <cell r="F14">
            <v>0.55567438180648487</v>
          </cell>
        </row>
        <row r="15">
          <cell r="B15">
            <v>0.99161486486486483</v>
          </cell>
          <cell r="C15">
            <v>0.92708333333333337</v>
          </cell>
          <cell r="D15">
            <v>5.8028261146902925E-2</v>
          </cell>
          <cell r="E15">
            <v>0.10650384456983088</v>
          </cell>
          <cell r="F15">
            <v>0.27403071283385083</v>
          </cell>
        </row>
        <row r="16">
          <cell r="B16">
            <v>0.99130405405405408</v>
          </cell>
          <cell r="C16">
            <v>0.91666666666666663</v>
          </cell>
          <cell r="D16">
            <v>6.1643261613781433E-2</v>
          </cell>
          <cell r="E16">
            <v>0.10963377767787187</v>
          </cell>
          <cell r="F16">
            <v>0.23593792807775574</v>
          </cell>
        </row>
        <row r="17">
          <cell r="B17">
            <v>0.99172972972972973</v>
          </cell>
          <cell r="C17">
            <v>0.95833333333333337</v>
          </cell>
          <cell r="D17">
            <v>5.7374540416067828E-2</v>
          </cell>
          <cell r="E17">
            <v>0.11192854642322791</v>
          </cell>
          <cell r="F17">
            <v>0.24219633706031113</v>
          </cell>
        </row>
        <row r="18">
          <cell r="B18">
            <v>0.99202027027027029</v>
          </cell>
          <cell r="C18">
            <v>0.91666666666666663</v>
          </cell>
          <cell r="D18">
            <v>5.5840732762524957E-2</v>
          </cell>
          <cell r="E18">
            <v>0.11308453011948852</v>
          </cell>
          <cell r="F18">
            <v>0.24812887695850092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D_SE_CALC_INDICATORS"/>
    </sheetNames>
    <sheetDataSet>
      <sheetData sheetId="0">
        <row r="4">
          <cell r="Z4">
            <v>0</v>
          </cell>
          <cell r="AA4">
            <v>0</v>
          </cell>
          <cell r="AB4">
            <v>0</v>
          </cell>
          <cell r="AC4">
            <v>107.93797254668246</v>
          </cell>
          <cell r="AD4">
            <v>2.5065524696230419E-2</v>
          </cell>
          <cell r="AE4">
            <v>2.3566606319395837E-2</v>
          </cell>
          <cell r="AF4" t="str">
            <v/>
          </cell>
          <cell r="AG4">
            <v>0.88133140376266283</v>
          </cell>
        </row>
        <row r="5">
          <cell r="Z5">
            <v>0</v>
          </cell>
          <cell r="AA5">
            <v>0</v>
          </cell>
          <cell r="AB5">
            <v>0</v>
          </cell>
          <cell r="AC5">
            <v>135.18125805475879</v>
          </cell>
          <cell r="AD5">
            <v>2.5830693359741353E-2</v>
          </cell>
          <cell r="AE5">
            <v>2.4286017896828816E-2</v>
          </cell>
          <cell r="AF5" t="str">
            <v/>
          </cell>
          <cell r="AG5">
            <v>0.73796791443850263</v>
          </cell>
        </row>
        <row r="6">
          <cell r="Z6">
            <v>953.71314134288934</v>
          </cell>
          <cell r="AA6">
            <v>0.23565531927995431</v>
          </cell>
          <cell r="AB6">
            <v>0.22156313118701304</v>
          </cell>
          <cell r="AC6">
            <v>110.20523379094266</v>
          </cell>
          <cell r="AD6">
            <v>2.7230881519319888E-2</v>
          </cell>
          <cell r="AE6">
            <v>2.5602474804464558E-2</v>
          </cell>
          <cell r="AF6">
            <v>0</v>
          </cell>
          <cell r="AG6">
            <v>0.8571428571428571</v>
          </cell>
        </row>
        <row r="7">
          <cell r="Z7">
            <v>1171.1746220996829</v>
          </cell>
          <cell r="AA7">
            <v>0.24376313146067866</v>
          </cell>
          <cell r="AB7">
            <v>0.22918609619933006</v>
          </cell>
          <cell r="AC7">
            <v>150.02021101856926</v>
          </cell>
          <cell r="AD7">
            <v>3.1224546476866618E-2</v>
          </cell>
          <cell r="AE7">
            <v>2.9357318597549992E-2</v>
          </cell>
          <cell r="AF7">
            <v>0</v>
          </cell>
          <cell r="AG7">
            <v>0.84397163120567376</v>
          </cell>
        </row>
        <row r="8">
          <cell r="Z8">
            <v>1171.7135443582608</v>
          </cell>
          <cell r="AA8">
            <v>0.25221274244667352</v>
          </cell>
          <cell r="AB8">
            <v>0.23713042044836244</v>
          </cell>
          <cell r="AC8">
            <v>134.09215326625181</v>
          </cell>
          <cell r="AD8">
            <v>2.8863496439638651E-2</v>
          </cell>
          <cell r="AE8">
            <v>2.7137459352548257E-2</v>
          </cell>
          <cell r="AF8">
            <v>0</v>
          </cell>
          <cell r="AG8">
            <v>0.84921763869132294</v>
          </cell>
        </row>
        <row r="9">
          <cell r="Z9">
            <v>1080.7629333221587</v>
          </cell>
          <cell r="AA9">
            <v>0.24008390755399256</v>
          </cell>
          <cell r="AB9">
            <v>0.2257268898822638</v>
          </cell>
          <cell r="AC9">
            <v>126.57948015435585</v>
          </cell>
          <cell r="AD9">
            <v>2.8118743967463684E-2</v>
          </cell>
          <cell r="AE9">
            <v>2.6437243078209351E-2</v>
          </cell>
          <cell r="AF9">
            <v>0</v>
          </cell>
          <cell r="AG9">
            <v>0.70940170940170943</v>
          </cell>
        </row>
        <row r="10">
          <cell r="Z10">
            <v>1062.6300992946042</v>
          </cell>
          <cell r="AA10">
            <v>0.2392316466750761</v>
          </cell>
          <cell r="AB10">
            <v>0.22492559420390654</v>
          </cell>
          <cell r="AC10">
            <v>77.248966977154453</v>
          </cell>
          <cell r="AD10">
            <v>1.7391185875650333E-2</v>
          </cell>
          <cell r="AE10">
            <v>1.6351192960286445E-2</v>
          </cell>
          <cell r="AF10">
            <v>0</v>
          </cell>
          <cell r="AG10">
            <v>0.54761904761904767</v>
          </cell>
        </row>
        <row r="11">
          <cell r="Z11">
            <v>1150.982546884472</v>
          </cell>
          <cell r="AA11">
            <v>0.2345321654194201</v>
          </cell>
          <cell r="AB11">
            <v>0.22050714192733875</v>
          </cell>
          <cell r="AC11">
            <v>137.06124608474536</v>
          </cell>
          <cell r="AD11">
            <v>2.7928547592968738E-2</v>
          </cell>
          <cell r="AE11">
            <v>2.6258420446909205E-2</v>
          </cell>
          <cell r="AF11">
            <v>0</v>
          </cell>
          <cell r="AG11">
            <v>0.7567567567567568</v>
          </cell>
        </row>
        <row r="12">
          <cell r="Z12">
            <v>975.21534653120534</v>
          </cell>
          <cell r="AA12">
            <v>0.22582221329630761</v>
          </cell>
          <cell r="AB12">
            <v>0.21231804494118842</v>
          </cell>
          <cell r="AC12">
            <v>151.33049327935572</v>
          </cell>
          <cell r="AD12">
            <v>3.50422981479123E-2</v>
          </cell>
          <cell r="AE12">
            <v>3.2946768718667148E-2</v>
          </cell>
          <cell r="AF12">
            <v>0</v>
          </cell>
          <cell r="AG12">
            <v>0.94756554307116103</v>
          </cell>
        </row>
        <row r="13">
          <cell r="Z13">
            <v>767.9730339747058</v>
          </cell>
          <cell r="AA13">
            <v>0.16554490389756937</v>
          </cell>
          <cell r="AB13">
            <v>0.15564531864449471</v>
          </cell>
          <cell r="AC13">
            <v>120.62109003094692</v>
          </cell>
          <cell r="AD13">
            <v>2.6001182168918252E-2</v>
          </cell>
          <cell r="AE13">
            <v>2.4446311475216937E-2</v>
          </cell>
          <cell r="AF13">
            <v>9.2583037616575589E-2</v>
          </cell>
          <cell r="AG13">
            <v>0.93021529324424646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D_SE_CALC_INDICATORS"/>
      <sheetName val="GIR"/>
      <sheetName val="DPF"/>
      <sheetName val="PDS"/>
      <sheetName val="ISF"/>
      <sheetName val="SWBC"/>
      <sheetName val="ALAS"/>
      <sheetName val="CRI"/>
    </sheetNames>
    <sheetDataSet>
      <sheetData sheetId="0">
        <row r="4">
          <cell r="AK4">
            <v>406.89192218129409</v>
          </cell>
          <cell r="AP4">
            <v>0.35340834689694334</v>
          </cell>
          <cell r="AU4">
            <v>0.81292855224228133</v>
          </cell>
          <cell r="AZ4">
            <v>0.99981950378735995</v>
          </cell>
          <cell r="BC4">
            <v>0.55455786648911143</v>
          </cell>
          <cell r="BD4">
            <v>0.56121245187502822</v>
          </cell>
          <cell r="BE4">
            <v>0.18425818155180682</v>
          </cell>
          <cell r="BF4">
            <v>77.802488074839403</v>
          </cell>
          <cell r="BG4">
            <v>0.41686880937942189</v>
          </cell>
          <cell r="BH4">
            <v>0.90774403395678427</v>
          </cell>
        </row>
        <row r="5">
          <cell r="AK5">
            <v>482.62173243018134</v>
          </cell>
          <cell r="AP5">
            <v>0.33727586313918034</v>
          </cell>
          <cell r="AU5">
            <v>0.76089644606145046</v>
          </cell>
          <cell r="AZ5">
            <v>0.99818253804123991</v>
          </cell>
          <cell r="BC5">
            <v>0.55516189212957423</v>
          </cell>
          <cell r="BD5">
            <v>0.55299896282606664</v>
          </cell>
          <cell r="BE5">
            <v>0.1871527537435988</v>
          </cell>
          <cell r="BF5">
            <v>82.29730039763146</v>
          </cell>
          <cell r="BG5">
            <v>0.41686880937942189</v>
          </cell>
          <cell r="BH5">
            <v>0.99163820023766347</v>
          </cell>
        </row>
        <row r="6">
          <cell r="AK6">
            <v>400.87365243029393</v>
          </cell>
          <cell r="AP6">
            <v>0.38707723342781108</v>
          </cell>
          <cell r="AU6">
            <v>0.77318822166446699</v>
          </cell>
          <cell r="AZ6">
            <v>1.0032589556721154</v>
          </cell>
          <cell r="BC6">
            <v>0.55516189212957423</v>
          </cell>
          <cell r="BD6">
            <v>0.55748011400458419</v>
          </cell>
          <cell r="BE6">
            <v>0.1871527537435988</v>
          </cell>
          <cell r="BF6">
            <v>79.692025485014781</v>
          </cell>
          <cell r="BG6">
            <v>0.41686880937942189</v>
          </cell>
          <cell r="BH6">
            <v>1</v>
          </cell>
        </row>
        <row r="7">
          <cell r="AK7">
            <v>464.89143694789624</v>
          </cell>
          <cell r="AP7">
            <v>0.3279172772371331</v>
          </cell>
          <cell r="AU7">
            <v>0.72842579536528695</v>
          </cell>
          <cell r="AZ7">
            <v>0.99871949108789382</v>
          </cell>
          <cell r="BC7">
            <v>0.55516189212957423</v>
          </cell>
          <cell r="BD7">
            <v>0.55765976178413035</v>
          </cell>
          <cell r="BE7">
            <v>0.20262277159400291</v>
          </cell>
          <cell r="BF7">
            <v>80.615102399512992</v>
          </cell>
          <cell r="BG7">
            <v>0.41686880937942189</v>
          </cell>
          <cell r="BH7">
            <v>1</v>
          </cell>
        </row>
        <row r="8">
          <cell r="AK8">
            <v>431.36817740029494</v>
          </cell>
          <cell r="AP8">
            <v>0.36246288771104057</v>
          </cell>
          <cell r="AU8">
            <v>0.7413715574087123</v>
          </cell>
          <cell r="AZ8">
            <v>1.0122146914819721</v>
          </cell>
          <cell r="BC8">
            <v>0.55994262540535855</v>
          </cell>
          <cell r="BD8">
            <v>0.54353886211674873</v>
          </cell>
          <cell r="BE8">
            <v>0.1871527537435988</v>
          </cell>
          <cell r="BF8">
            <v>83.676408426611275</v>
          </cell>
          <cell r="BG8">
            <v>0.41686880937942189</v>
          </cell>
          <cell r="BH8">
            <v>0.94883683706907995</v>
          </cell>
        </row>
        <row r="9">
          <cell r="AK9">
            <v>481.1503887450632</v>
          </cell>
          <cell r="AP9">
            <v>0.3462157559170298</v>
          </cell>
          <cell r="AU9">
            <v>0.71324851887558316</v>
          </cell>
          <cell r="AZ9">
            <v>1.0469067090437436</v>
          </cell>
          <cell r="BC9">
            <v>0.55066357946839872</v>
          </cell>
          <cell r="BD9">
            <v>0.55486945066359095</v>
          </cell>
          <cell r="BE9">
            <v>0.12103906004078691</v>
          </cell>
          <cell r="BF9">
            <v>79.319116356552954</v>
          </cell>
          <cell r="BG9">
            <v>0.41686880937942189</v>
          </cell>
          <cell r="BH9">
            <v>0.98958161186994997</v>
          </cell>
        </row>
        <row r="10">
          <cell r="AK10">
            <v>479.99876616816738</v>
          </cell>
          <cell r="AP10">
            <v>0.34887856833892966</v>
          </cell>
          <cell r="AU10">
            <v>0.71248078470569154</v>
          </cell>
          <cell r="AZ10">
            <v>1.0277026320428202</v>
          </cell>
          <cell r="BC10">
            <v>0.56843095635134788</v>
          </cell>
          <cell r="BD10">
            <v>0.54461098528685847</v>
          </cell>
          <cell r="BE10">
            <v>0.17976295133803533</v>
          </cell>
          <cell r="BF10">
            <v>76.014548182493527</v>
          </cell>
          <cell r="BG10">
            <v>0.41686880937942189</v>
          </cell>
          <cell r="BH10">
            <v>1</v>
          </cell>
        </row>
        <row r="11">
          <cell r="AK11">
            <v>506.22936099883856</v>
          </cell>
          <cell r="AP11">
            <v>0.31597817268449846</v>
          </cell>
          <cell r="AU11">
            <v>0.80941028391815495</v>
          </cell>
          <cell r="AZ11">
            <v>0.98955180552375355</v>
          </cell>
          <cell r="BC11">
            <v>0.58371871919065321</v>
          </cell>
          <cell r="BD11">
            <v>0.53718610879616346</v>
          </cell>
          <cell r="BE11">
            <v>0.24275114860722377</v>
          </cell>
          <cell r="BF11">
            <v>76.838659103237973</v>
          </cell>
          <cell r="BG11">
            <v>0.41686880937942189</v>
          </cell>
          <cell r="BH11">
            <v>0.99184776446104894</v>
          </cell>
        </row>
        <row r="12">
          <cell r="AK12">
            <v>404.86383094350265</v>
          </cell>
          <cell r="AP12">
            <v>0.3548355123155652</v>
          </cell>
          <cell r="AU12">
            <v>0.78188388455336244</v>
          </cell>
          <cell r="AZ12">
            <v>0.99877192951032678</v>
          </cell>
          <cell r="BC12">
            <v>0.58860678293529012</v>
          </cell>
          <cell r="BD12">
            <v>0.53393449636806356</v>
          </cell>
          <cell r="BE12">
            <v>0.2412656128209919</v>
          </cell>
          <cell r="BF12">
            <v>77.255666510500873</v>
          </cell>
          <cell r="BG12">
            <v>0.41686880937942189</v>
          </cell>
          <cell r="BH12">
            <v>0.91166330779459448</v>
          </cell>
        </row>
        <row r="13">
          <cell r="AK13">
            <v>468.79179076980188</v>
          </cell>
          <cell r="AP13">
            <v>0.33193010858712813</v>
          </cell>
          <cell r="AU13">
            <v>0.79845869498763133</v>
          </cell>
          <cell r="AZ13">
            <v>0.99662188972699206</v>
          </cell>
          <cell r="BC13">
            <v>0.59148370128318173</v>
          </cell>
          <cell r="BD13">
            <v>0.54493570459504248</v>
          </cell>
          <cell r="BE13">
            <v>0.2412656128209919</v>
          </cell>
          <cell r="BF13">
            <v>81.902227644318216</v>
          </cell>
          <cell r="BG13">
            <v>0.41686880937942189</v>
          </cell>
          <cell r="BH13">
            <v>0.94033576599932711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_Defenition"/>
    </sheetNames>
    <sheetDataSet>
      <sheetData sheetId="0">
        <row r="4">
          <cell r="D4">
            <v>0.75</v>
          </cell>
        </row>
        <row r="5">
          <cell r="D5">
            <v>1</v>
          </cell>
        </row>
        <row r="6">
          <cell r="D6">
            <v>0.5</v>
          </cell>
        </row>
        <row r="7">
          <cell r="D7">
            <v>1</v>
          </cell>
        </row>
        <row r="8">
          <cell r="D8">
            <v>1</v>
          </cell>
        </row>
        <row r="9">
          <cell r="D9">
            <v>0.5</v>
          </cell>
        </row>
        <row r="10">
          <cell r="D10">
            <v>0.5</v>
          </cell>
        </row>
        <row r="11">
          <cell r="D11">
            <v>0.5</v>
          </cell>
        </row>
        <row r="12">
          <cell r="D12">
            <v>0.5</v>
          </cell>
        </row>
        <row r="13">
          <cell r="D13">
            <v>0.75</v>
          </cell>
        </row>
        <row r="14">
          <cell r="D14">
            <v>0.25</v>
          </cell>
        </row>
        <row r="15">
          <cell r="D15">
            <v>0.5</v>
          </cell>
        </row>
        <row r="16">
          <cell r="D16">
            <v>0.5</v>
          </cell>
        </row>
        <row r="17">
          <cell r="D17">
            <v>0.5</v>
          </cell>
        </row>
        <row r="18">
          <cell r="D18">
            <v>0.25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H10"/>
  <sheetViews>
    <sheetView showGridLines="0" workbookViewId="0">
      <pane ySplit="3" topLeftCell="A4" activePane="bottomLeft" state="frozen"/>
      <selection pane="bottomLeft" activeCell="E32" sqref="E32"/>
    </sheetView>
  </sheetViews>
  <sheetFormatPr defaultRowHeight="15" x14ac:dyDescent="0.25"/>
  <cols>
    <col min="1" max="1" width="25" customWidth="1"/>
    <col min="2" max="2" width="100" customWidth="1"/>
  </cols>
  <sheetData>
    <row r="1" spans="1:8" ht="27.95" customHeight="1" x14ac:dyDescent="0.25">
      <c r="A1" s="20" t="s">
        <v>0</v>
      </c>
      <c r="B1" s="21"/>
      <c r="C1" s="21"/>
      <c r="D1" s="21"/>
      <c r="E1" s="21"/>
      <c r="F1" s="21"/>
      <c r="G1" s="21"/>
      <c r="H1" s="21"/>
    </row>
    <row r="3" spans="1:8" x14ac:dyDescent="0.25">
      <c r="A3" s="1" t="s">
        <v>1</v>
      </c>
      <c r="B3" s="1" t="s">
        <v>2</v>
      </c>
    </row>
    <row r="4" spans="1:8" ht="30" x14ac:dyDescent="0.25">
      <c r="A4" s="2" t="s">
        <v>3</v>
      </c>
      <c r="B4" s="2" t="s">
        <v>4</v>
      </c>
    </row>
    <row r="5" spans="1:8" x14ac:dyDescent="0.25">
      <c r="A5" s="2" t="s">
        <v>5</v>
      </c>
      <c r="B5" s="2" t="s">
        <v>6</v>
      </c>
    </row>
    <row r="6" spans="1:8" x14ac:dyDescent="0.25">
      <c r="A6" s="2" t="s">
        <v>7</v>
      </c>
      <c r="B6" s="2" t="s">
        <v>8</v>
      </c>
    </row>
    <row r="7" spans="1:8" ht="30" x14ac:dyDescent="0.25">
      <c r="A7" s="2" t="s">
        <v>9</v>
      </c>
      <c r="B7" s="2" t="s">
        <v>10</v>
      </c>
    </row>
    <row r="8" spans="1:8" x14ac:dyDescent="0.25">
      <c r="A8" s="2" t="s">
        <v>11</v>
      </c>
      <c r="B8" s="2" t="s">
        <v>12</v>
      </c>
    </row>
    <row r="9" spans="1:8" x14ac:dyDescent="0.25">
      <c r="A9" s="2" t="s">
        <v>13</v>
      </c>
      <c r="B9" s="2" t="s">
        <v>282</v>
      </c>
    </row>
    <row r="10" spans="1:8" x14ac:dyDescent="0.25">
      <c r="A10" s="2" t="s">
        <v>14</v>
      </c>
      <c r="B10" s="2" t="s">
        <v>15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H43"/>
  <sheetViews>
    <sheetView showGridLines="0" workbookViewId="0">
      <pane ySplit="3" topLeftCell="A4" activePane="bottomLeft" state="frozen"/>
      <selection pane="bottomLeft" sqref="A1:H1"/>
    </sheetView>
  </sheetViews>
  <sheetFormatPr defaultRowHeight="15" x14ac:dyDescent="0.25"/>
  <cols>
    <col min="1" max="1" width="24" customWidth="1"/>
    <col min="2" max="2" width="28" customWidth="1"/>
    <col min="3" max="3" width="25" customWidth="1"/>
    <col min="4" max="4" width="45" customWidth="1"/>
  </cols>
  <sheetData>
    <row r="1" spans="1:8" ht="27.95" customHeight="1" x14ac:dyDescent="0.25">
      <c r="A1" s="20" t="s">
        <v>16</v>
      </c>
      <c r="B1" s="21"/>
      <c r="C1" s="21"/>
      <c r="D1" s="21"/>
      <c r="E1" s="21"/>
      <c r="F1" s="21"/>
      <c r="G1" s="21"/>
      <c r="H1" s="21"/>
    </row>
    <row r="3" spans="1:8" x14ac:dyDescent="0.25">
      <c r="A3" s="1" t="s">
        <v>17</v>
      </c>
      <c r="B3" s="1" t="s">
        <v>18</v>
      </c>
      <c r="C3" s="1" t="s">
        <v>19</v>
      </c>
      <c r="D3" s="1" t="s">
        <v>20</v>
      </c>
    </row>
    <row r="4" spans="1:8" ht="30" x14ac:dyDescent="0.25">
      <c r="A4" s="3" t="s">
        <v>21</v>
      </c>
      <c r="B4" s="4" t="s">
        <v>22</v>
      </c>
      <c r="C4" s="3"/>
      <c r="D4" s="3" t="s">
        <v>23</v>
      </c>
    </row>
    <row r="5" spans="1:8" ht="30" x14ac:dyDescent="0.25">
      <c r="A5" s="3" t="s">
        <v>24</v>
      </c>
      <c r="B5" s="4" t="s">
        <v>25</v>
      </c>
      <c r="C5" s="3" t="s">
        <v>26</v>
      </c>
      <c r="D5" s="3" t="s">
        <v>23</v>
      </c>
    </row>
    <row r="6" spans="1:8" x14ac:dyDescent="0.25">
      <c r="A6" s="3" t="s">
        <v>27</v>
      </c>
      <c r="B6" s="4">
        <v>2016</v>
      </c>
      <c r="C6" s="3" t="s">
        <v>28</v>
      </c>
      <c r="D6" s="3" t="s">
        <v>23</v>
      </c>
    </row>
    <row r="7" spans="1:8" x14ac:dyDescent="0.25">
      <c r="A7" s="3" t="s">
        <v>29</v>
      </c>
      <c r="B7" s="4">
        <v>2025</v>
      </c>
      <c r="C7" s="3" t="s">
        <v>28</v>
      </c>
      <c r="D7" s="3" t="s">
        <v>23</v>
      </c>
    </row>
    <row r="8" spans="1:8" x14ac:dyDescent="0.25">
      <c r="A8" s="3" t="s">
        <v>30</v>
      </c>
      <c r="B8" s="4">
        <f>B7-B6+1</f>
        <v>10</v>
      </c>
      <c r="C8" s="3" t="s">
        <v>31</v>
      </c>
      <c r="D8" s="3" t="s">
        <v>32</v>
      </c>
    </row>
    <row r="9" spans="1:8" ht="30" x14ac:dyDescent="0.25">
      <c r="A9" s="3" t="s">
        <v>33</v>
      </c>
      <c r="B9" s="4" t="s">
        <v>34</v>
      </c>
      <c r="C9" s="3" t="s">
        <v>35</v>
      </c>
      <c r="D9" s="3" t="s">
        <v>36</v>
      </c>
    </row>
    <row r="10" spans="1:8" x14ac:dyDescent="0.25">
      <c r="A10" s="3" t="s">
        <v>37</v>
      </c>
      <c r="B10" s="4" t="s">
        <v>34</v>
      </c>
      <c r="C10" s="3" t="s">
        <v>35</v>
      </c>
      <c r="D10" s="3" t="s">
        <v>38</v>
      </c>
    </row>
    <row r="13" spans="1:8" x14ac:dyDescent="0.25">
      <c r="A13" s="1" t="s">
        <v>39</v>
      </c>
      <c r="B13" s="1" t="s">
        <v>40</v>
      </c>
      <c r="C13" s="1" t="s">
        <v>41</v>
      </c>
      <c r="D13" s="1" t="s">
        <v>20</v>
      </c>
    </row>
    <row r="14" spans="1:8" x14ac:dyDescent="0.25">
      <c r="A14" s="4">
        <f t="shared" ref="A14:A43" si="0">IF(ROW()-13&lt;=$B$8,$B$6+ROW()-14,"")</f>
        <v>2016</v>
      </c>
      <c r="B14" s="4" t="str">
        <f>IF(A14="","",$B$5)</f>
        <v>Present 10-year period</v>
      </c>
      <c r="C14" s="4" t="str">
        <f t="shared" ref="C14:C43" si="1">IF(A14="","",IF($B$8&lt;=10,"Present period","Projection horizon"))</f>
        <v>Present period</v>
      </c>
      <c r="D14" s="2"/>
    </row>
    <row r="15" spans="1:8" x14ac:dyDescent="0.25">
      <c r="A15" s="4">
        <f t="shared" si="0"/>
        <v>2017</v>
      </c>
      <c r="B15" s="4" t="str">
        <f t="shared" ref="B15:B43" si="2">IF(A15="","",$B$5)</f>
        <v>Present 10-year period</v>
      </c>
      <c r="C15" s="4" t="str">
        <f t="shared" si="1"/>
        <v>Present period</v>
      </c>
      <c r="D15" s="2"/>
    </row>
    <row r="16" spans="1:8" x14ac:dyDescent="0.25">
      <c r="A16" s="4">
        <f t="shared" si="0"/>
        <v>2018</v>
      </c>
      <c r="B16" s="4" t="str">
        <f t="shared" si="2"/>
        <v>Present 10-year period</v>
      </c>
      <c r="C16" s="4" t="str">
        <f t="shared" si="1"/>
        <v>Present period</v>
      </c>
      <c r="D16" s="2"/>
    </row>
    <row r="17" spans="1:4" x14ac:dyDescent="0.25">
      <c r="A17" s="4">
        <f>IF(ROW()-13&lt;=$B$8,$B$6+ROW()-14,"")</f>
        <v>2019</v>
      </c>
      <c r="B17" s="4" t="str">
        <f t="shared" si="2"/>
        <v>Present 10-year period</v>
      </c>
      <c r="C17" s="4" t="str">
        <f t="shared" si="1"/>
        <v>Present period</v>
      </c>
      <c r="D17" s="2"/>
    </row>
    <row r="18" spans="1:4" x14ac:dyDescent="0.25">
      <c r="A18" s="4">
        <f t="shared" si="0"/>
        <v>2020</v>
      </c>
      <c r="B18" s="4" t="str">
        <f t="shared" si="2"/>
        <v>Present 10-year period</v>
      </c>
      <c r="C18" s="4" t="str">
        <f t="shared" si="1"/>
        <v>Present period</v>
      </c>
      <c r="D18" s="2"/>
    </row>
    <row r="19" spans="1:4" x14ac:dyDescent="0.25">
      <c r="A19" s="4">
        <f t="shared" si="0"/>
        <v>2021</v>
      </c>
      <c r="B19" s="4" t="str">
        <f t="shared" si="2"/>
        <v>Present 10-year period</v>
      </c>
      <c r="C19" s="4" t="str">
        <f t="shared" si="1"/>
        <v>Present period</v>
      </c>
      <c r="D19" s="2"/>
    </row>
    <row r="20" spans="1:4" x14ac:dyDescent="0.25">
      <c r="A20" s="4">
        <f t="shared" si="0"/>
        <v>2022</v>
      </c>
      <c r="B20" s="4" t="str">
        <f t="shared" si="2"/>
        <v>Present 10-year period</v>
      </c>
      <c r="C20" s="4" t="str">
        <f t="shared" si="1"/>
        <v>Present period</v>
      </c>
      <c r="D20" s="2"/>
    </row>
    <row r="21" spans="1:4" x14ac:dyDescent="0.25">
      <c r="A21" s="4">
        <f t="shared" si="0"/>
        <v>2023</v>
      </c>
      <c r="B21" s="4" t="str">
        <f t="shared" si="2"/>
        <v>Present 10-year period</v>
      </c>
      <c r="C21" s="4" t="str">
        <f t="shared" si="1"/>
        <v>Present period</v>
      </c>
      <c r="D21" s="2"/>
    </row>
    <row r="22" spans="1:4" x14ac:dyDescent="0.25">
      <c r="A22" s="4">
        <f t="shared" si="0"/>
        <v>2024</v>
      </c>
      <c r="B22" s="4" t="str">
        <f t="shared" si="2"/>
        <v>Present 10-year period</v>
      </c>
      <c r="C22" s="4" t="str">
        <f t="shared" si="1"/>
        <v>Present period</v>
      </c>
      <c r="D22" s="2"/>
    </row>
    <row r="23" spans="1:4" x14ac:dyDescent="0.25">
      <c r="A23" s="4">
        <f t="shared" si="0"/>
        <v>2025</v>
      </c>
      <c r="B23" s="4" t="str">
        <f t="shared" si="2"/>
        <v>Present 10-year period</v>
      </c>
      <c r="C23" s="4" t="str">
        <f t="shared" si="1"/>
        <v>Present period</v>
      </c>
      <c r="D23" s="2"/>
    </row>
    <row r="24" spans="1:4" x14ac:dyDescent="0.25">
      <c r="A24" s="4" t="str">
        <f t="shared" si="0"/>
        <v/>
      </c>
      <c r="B24" s="4" t="str">
        <f t="shared" si="2"/>
        <v/>
      </c>
      <c r="C24" s="4" t="str">
        <f t="shared" si="1"/>
        <v/>
      </c>
      <c r="D24" s="2"/>
    </row>
    <row r="25" spans="1:4" x14ac:dyDescent="0.25">
      <c r="A25" s="4" t="str">
        <f t="shared" si="0"/>
        <v/>
      </c>
      <c r="B25" s="4" t="str">
        <f t="shared" si="2"/>
        <v/>
      </c>
      <c r="C25" s="4" t="str">
        <f t="shared" si="1"/>
        <v/>
      </c>
      <c r="D25" s="2"/>
    </row>
    <row r="26" spans="1:4" x14ac:dyDescent="0.25">
      <c r="A26" s="4" t="str">
        <f t="shared" si="0"/>
        <v/>
      </c>
      <c r="B26" s="4" t="str">
        <f t="shared" si="2"/>
        <v/>
      </c>
      <c r="C26" s="4" t="str">
        <f t="shared" si="1"/>
        <v/>
      </c>
      <c r="D26" s="2"/>
    </row>
    <row r="27" spans="1:4" x14ac:dyDescent="0.25">
      <c r="A27" s="4" t="str">
        <f t="shared" si="0"/>
        <v/>
      </c>
      <c r="B27" s="4" t="str">
        <f t="shared" si="2"/>
        <v/>
      </c>
      <c r="C27" s="4" t="str">
        <f t="shared" si="1"/>
        <v/>
      </c>
      <c r="D27" s="2"/>
    </row>
    <row r="28" spans="1:4" x14ac:dyDescent="0.25">
      <c r="A28" s="4" t="str">
        <f t="shared" si="0"/>
        <v/>
      </c>
      <c r="B28" s="4" t="str">
        <f t="shared" si="2"/>
        <v/>
      </c>
      <c r="C28" s="4" t="str">
        <f t="shared" si="1"/>
        <v/>
      </c>
      <c r="D28" s="2"/>
    </row>
    <row r="29" spans="1:4" x14ac:dyDescent="0.25">
      <c r="A29" s="4" t="str">
        <f t="shared" si="0"/>
        <v/>
      </c>
      <c r="B29" s="4" t="str">
        <f t="shared" si="2"/>
        <v/>
      </c>
      <c r="C29" s="4" t="str">
        <f t="shared" si="1"/>
        <v/>
      </c>
      <c r="D29" s="2"/>
    </row>
    <row r="30" spans="1:4" x14ac:dyDescent="0.25">
      <c r="A30" s="4" t="str">
        <f t="shared" si="0"/>
        <v/>
      </c>
      <c r="B30" s="4" t="str">
        <f t="shared" si="2"/>
        <v/>
      </c>
      <c r="C30" s="4" t="str">
        <f t="shared" si="1"/>
        <v/>
      </c>
      <c r="D30" s="2"/>
    </row>
    <row r="31" spans="1:4" x14ac:dyDescent="0.25">
      <c r="A31" s="4" t="str">
        <f t="shared" si="0"/>
        <v/>
      </c>
      <c r="B31" s="4" t="str">
        <f t="shared" si="2"/>
        <v/>
      </c>
      <c r="C31" s="4" t="str">
        <f t="shared" si="1"/>
        <v/>
      </c>
      <c r="D31" s="2"/>
    </row>
    <row r="32" spans="1:4" x14ac:dyDescent="0.25">
      <c r="A32" s="4" t="str">
        <f t="shared" si="0"/>
        <v/>
      </c>
      <c r="B32" s="4" t="str">
        <f t="shared" si="2"/>
        <v/>
      </c>
      <c r="C32" s="4" t="str">
        <f t="shared" si="1"/>
        <v/>
      </c>
      <c r="D32" s="2"/>
    </row>
    <row r="33" spans="1:4" x14ac:dyDescent="0.25">
      <c r="A33" s="4" t="str">
        <f t="shared" si="0"/>
        <v/>
      </c>
      <c r="B33" s="4" t="str">
        <f t="shared" si="2"/>
        <v/>
      </c>
      <c r="C33" s="4" t="str">
        <f t="shared" si="1"/>
        <v/>
      </c>
      <c r="D33" s="2"/>
    </row>
    <row r="34" spans="1:4" x14ac:dyDescent="0.25">
      <c r="A34" s="4" t="str">
        <f t="shared" si="0"/>
        <v/>
      </c>
      <c r="B34" s="4" t="str">
        <f t="shared" si="2"/>
        <v/>
      </c>
      <c r="C34" s="4" t="str">
        <f t="shared" si="1"/>
        <v/>
      </c>
      <c r="D34" s="2"/>
    </row>
    <row r="35" spans="1:4" x14ac:dyDescent="0.25">
      <c r="A35" s="4" t="str">
        <f t="shared" si="0"/>
        <v/>
      </c>
      <c r="B35" s="4" t="str">
        <f t="shared" si="2"/>
        <v/>
      </c>
      <c r="C35" s="4" t="str">
        <f t="shared" si="1"/>
        <v/>
      </c>
      <c r="D35" s="2"/>
    </row>
    <row r="36" spans="1:4" x14ac:dyDescent="0.25">
      <c r="A36" s="4" t="str">
        <f t="shared" si="0"/>
        <v/>
      </c>
      <c r="B36" s="4" t="str">
        <f t="shared" si="2"/>
        <v/>
      </c>
      <c r="C36" s="4" t="str">
        <f t="shared" si="1"/>
        <v/>
      </c>
      <c r="D36" s="2"/>
    </row>
    <row r="37" spans="1:4" x14ac:dyDescent="0.25">
      <c r="A37" s="4" t="str">
        <f t="shared" si="0"/>
        <v/>
      </c>
      <c r="B37" s="4" t="str">
        <f t="shared" si="2"/>
        <v/>
      </c>
      <c r="C37" s="4" t="str">
        <f t="shared" si="1"/>
        <v/>
      </c>
      <c r="D37" s="2"/>
    </row>
    <row r="38" spans="1:4" x14ac:dyDescent="0.25">
      <c r="A38" s="4" t="str">
        <f t="shared" si="0"/>
        <v/>
      </c>
      <c r="B38" s="4" t="str">
        <f t="shared" si="2"/>
        <v/>
      </c>
      <c r="C38" s="4" t="str">
        <f t="shared" si="1"/>
        <v/>
      </c>
      <c r="D38" s="2"/>
    </row>
    <row r="39" spans="1:4" x14ac:dyDescent="0.25">
      <c r="A39" s="4" t="str">
        <f t="shared" si="0"/>
        <v/>
      </c>
      <c r="B39" s="4" t="str">
        <f t="shared" si="2"/>
        <v/>
      </c>
      <c r="C39" s="4" t="str">
        <f t="shared" si="1"/>
        <v/>
      </c>
      <c r="D39" s="2"/>
    </row>
    <row r="40" spans="1:4" x14ac:dyDescent="0.25">
      <c r="A40" s="4" t="str">
        <f t="shared" si="0"/>
        <v/>
      </c>
      <c r="B40" s="4" t="str">
        <f t="shared" si="2"/>
        <v/>
      </c>
      <c r="C40" s="4" t="str">
        <f t="shared" si="1"/>
        <v/>
      </c>
      <c r="D40" s="2"/>
    </row>
    <row r="41" spans="1:4" x14ac:dyDescent="0.25">
      <c r="A41" s="4" t="str">
        <f t="shared" si="0"/>
        <v/>
      </c>
      <c r="B41" s="4" t="str">
        <f t="shared" si="2"/>
        <v/>
      </c>
      <c r="C41" s="4" t="str">
        <f t="shared" si="1"/>
        <v/>
      </c>
      <c r="D41" s="2"/>
    </row>
    <row r="42" spans="1:4" x14ac:dyDescent="0.25">
      <c r="A42" s="4" t="str">
        <f t="shared" si="0"/>
        <v/>
      </c>
      <c r="B42" s="4" t="str">
        <f t="shared" si="2"/>
        <v/>
      </c>
      <c r="C42" s="4" t="str">
        <f t="shared" si="1"/>
        <v/>
      </c>
      <c r="D42" s="2"/>
    </row>
    <row r="43" spans="1:4" x14ac:dyDescent="0.25">
      <c r="A43" s="4" t="str">
        <f t="shared" si="0"/>
        <v/>
      </c>
      <c r="B43" s="4" t="str">
        <f t="shared" si="2"/>
        <v/>
      </c>
      <c r="C43" s="4" t="str">
        <f t="shared" si="1"/>
        <v/>
      </c>
      <c r="D43" s="2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L41"/>
  <sheetViews>
    <sheetView showGridLines="0" zoomScale="80" zoomScaleNormal="80" workbookViewId="0">
      <pane ySplit="3" topLeftCell="A4" activePane="bottomLeft" state="frozen"/>
      <selection pane="bottomLeft" activeCell="G47" sqref="G47"/>
    </sheetView>
  </sheetViews>
  <sheetFormatPr defaultRowHeight="15" x14ac:dyDescent="0.25"/>
  <cols>
    <col min="1" max="1" width="12" customWidth="1"/>
    <col min="2" max="2" width="14" customWidth="1"/>
    <col min="3" max="3" width="34.85546875" customWidth="1"/>
    <col min="4" max="4" width="11.85546875" customWidth="1"/>
    <col min="5" max="6" width="14" customWidth="1"/>
    <col min="7" max="7" width="16" customWidth="1"/>
    <col min="8" max="8" width="14" customWidth="1"/>
    <col min="9" max="9" width="18" customWidth="1"/>
    <col min="10" max="10" width="12" customWidth="1"/>
    <col min="11" max="11" width="127.85546875" customWidth="1"/>
    <col min="12" max="12" width="56.140625" customWidth="1"/>
  </cols>
  <sheetData>
    <row r="1" spans="1:12" ht="27.95" customHeight="1" x14ac:dyDescent="0.25">
      <c r="A1" s="20" t="s">
        <v>42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3" spans="1:12" ht="30" x14ac:dyDescent="0.25">
      <c r="A3" s="1" t="s">
        <v>43</v>
      </c>
      <c r="B3" s="1" t="s">
        <v>44</v>
      </c>
      <c r="C3" s="1" t="s">
        <v>45</v>
      </c>
      <c r="D3" s="1" t="s">
        <v>46</v>
      </c>
      <c r="E3" s="1" t="s">
        <v>47</v>
      </c>
      <c r="F3" s="1" t="s">
        <v>48</v>
      </c>
      <c r="G3" s="1" t="s">
        <v>49</v>
      </c>
      <c r="H3" s="1" t="s">
        <v>50</v>
      </c>
      <c r="I3" s="1" t="s">
        <v>51</v>
      </c>
      <c r="J3" s="1" t="s">
        <v>52</v>
      </c>
      <c r="K3" s="1" t="s">
        <v>20</v>
      </c>
    </row>
    <row r="4" spans="1:12" ht="15" customHeight="1" x14ac:dyDescent="0.25">
      <c r="A4" s="2" t="s">
        <v>53</v>
      </c>
      <c r="B4" s="2" t="s">
        <v>54</v>
      </c>
      <c r="C4" s="2" t="s">
        <v>55</v>
      </c>
      <c r="D4" s="2" t="s">
        <v>56</v>
      </c>
      <c r="E4" s="2" t="s">
        <v>57</v>
      </c>
      <c r="F4" s="2">
        <v>0.4</v>
      </c>
      <c r="G4" s="2">
        <v>0.6</v>
      </c>
      <c r="H4" s="2">
        <v>0.8</v>
      </c>
      <c r="I4" s="2">
        <v>1</v>
      </c>
      <c r="J4" s="9">
        <v>0.16666666666666671</v>
      </c>
      <c r="K4" s="2" t="s">
        <v>266</v>
      </c>
      <c r="L4" s="13" t="s">
        <v>254</v>
      </c>
    </row>
    <row r="5" spans="1:12" ht="15" customHeight="1" x14ac:dyDescent="0.25">
      <c r="A5" s="2" t="s">
        <v>53</v>
      </c>
      <c r="B5" s="2" t="s">
        <v>58</v>
      </c>
      <c r="C5" s="2" t="s">
        <v>59</v>
      </c>
      <c r="D5" s="2" t="s">
        <v>56</v>
      </c>
      <c r="E5" s="2" t="s">
        <v>57</v>
      </c>
      <c r="F5" s="2">
        <v>0.4</v>
      </c>
      <c r="G5" s="2">
        <v>0.6</v>
      </c>
      <c r="H5" s="2">
        <v>0.8</v>
      </c>
      <c r="I5" s="2">
        <v>1</v>
      </c>
      <c r="J5" s="9">
        <v>0.16666666666666671</v>
      </c>
      <c r="K5" s="2" t="s">
        <v>264</v>
      </c>
      <c r="L5" s="13" t="s">
        <v>255</v>
      </c>
    </row>
    <row r="6" spans="1:12" ht="15" customHeight="1" x14ac:dyDescent="0.25">
      <c r="A6" s="2" t="s">
        <v>53</v>
      </c>
      <c r="B6" s="2" t="s">
        <v>60</v>
      </c>
      <c r="C6" s="2" t="s">
        <v>61</v>
      </c>
      <c r="D6" s="2" t="s">
        <v>62</v>
      </c>
      <c r="E6" s="2" t="s">
        <v>63</v>
      </c>
      <c r="F6" s="2">
        <v>12</v>
      </c>
      <c r="G6" s="2">
        <v>6</v>
      </c>
      <c r="H6" s="2">
        <v>3</v>
      </c>
      <c r="I6" s="2">
        <v>0</v>
      </c>
      <c r="J6" s="9">
        <v>0.16666666666666671</v>
      </c>
      <c r="K6" s="2" t="s">
        <v>267</v>
      </c>
      <c r="L6" s="13" t="s">
        <v>256</v>
      </c>
    </row>
    <row r="7" spans="1:12" ht="15" customHeight="1" x14ac:dyDescent="0.25">
      <c r="A7" s="2" t="s">
        <v>53</v>
      </c>
      <c r="B7" s="2" t="s">
        <v>64</v>
      </c>
      <c r="C7" s="2" t="s">
        <v>65</v>
      </c>
      <c r="D7" s="2" t="s">
        <v>56</v>
      </c>
      <c r="E7" s="2" t="s">
        <v>63</v>
      </c>
      <c r="F7" s="2">
        <v>1.1000000000000001</v>
      </c>
      <c r="G7" s="2">
        <v>0.9</v>
      </c>
      <c r="H7" s="2">
        <v>0.5</v>
      </c>
      <c r="I7" s="2">
        <v>0</v>
      </c>
      <c r="J7" s="9">
        <v>0.16666666666666671</v>
      </c>
      <c r="K7" s="2" t="s">
        <v>268</v>
      </c>
      <c r="L7" s="13" t="s">
        <v>257</v>
      </c>
    </row>
    <row r="8" spans="1:12" ht="15" customHeight="1" x14ac:dyDescent="0.25">
      <c r="A8" s="2" t="s">
        <v>53</v>
      </c>
      <c r="B8" s="2" t="s">
        <v>66</v>
      </c>
      <c r="C8" s="2" t="s">
        <v>67</v>
      </c>
      <c r="D8" s="2" t="s">
        <v>56</v>
      </c>
      <c r="E8" s="2" t="s">
        <v>63</v>
      </c>
      <c r="F8" s="9">
        <v>0.75</v>
      </c>
      <c r="G8" s="2">
        <v>1.5</v>
      </c>
      <c r="H8" s="2">
        <v>3</v>
      </c>
      <c r="I8" s="7">
        <f>MAX(INPUT_A_TO_C!F4:F33)</f>
        <v>90.830935457300612</v>
      </c>
      <c r="J8" s="9">
        <v>0.16666666666666671</v>
      </c>
      <c r="K8" s="2" t="s">
        <v>269</v>
      </c>
      <c r="L8" s="13" t="s">
        <v>258</v>
      </c>
    </row>
    <row r="9" spans="1:12" ht="15" customHeight="1" x14ac:dyDescent="0.25">
      <c r="A9" s="2" t="s">
        <v>53</v>
      </c>
      <c r="B9" s="2" t="s">
        <v>68</v>
      </c>
      <c r="C9" s="2" t="s">
        <v>69</v>
      </c>
      <c r="D9" s="2" t="s">
        <v>56</v>
      </c>
      <c r="E9" s="2" t="s">
        <v>63</v>
      </c>
      <c r="F9" s="2">
        <v>1.5</v>
      </c>
      <c r="G9" s="2">
        <v>1.2</v>
      </c>
      <c r="H9" s="2">
        <v>1.05</v>
      </c>
      <c r="I9" s="2">
        <v>1</v>
      </c>
      <c r="J9" s="9">
        <v>0.16666666666666671</v>
      </c>
      <c r="K9" s="2" t="s">
        <v>270</v>
      </c>
      <c r="L9" s="13" t="s">
        <v>258</v>
      </c>
    </row>
    <row r="10" spans="1:12" ht="15" customHeight="1" x14ac:dyDescent="0.25">
      <c r="A10" s="2" t="s">
        <v>70</v>
      </c>
      <c r="B10" s="2" t="s">
        <v>71</v>
      </c>
      <c r="C10" s="2" t="s">
        <v>72</v>
      </c>
      <c r="D10" s="2" t="s">
        <v>56</v>
      </c>
      <c r="E10" s="2" t="s">
        <v>57</v>
      </c>
      <c r="F10" s="2">
        <v>0.5</v>
      </c>
      <c r="G10" s="2">
        <v>0.6</v>
      </c>
      <c r="H10" s="2">
        <v>0.8</v>
      </c>
      <c r="I10" s="2">
        <v>1</v>
      </c>
      <c r="J10" s="9">
        <v>0.2</v>
      </c>
      <c r="K10" s="2" t="s">
        <v>265</v>
      </c>
      <c r="L10" s="13" t="s">
        <v>259</v>
      </c>
    </row>
    <row r="11" spans="1:12" ht="15" customHeight="1" x14ac:dyDescent="0.25">
      <c r="A11" s="2" t="s">
        <v>70</v>
      </c>
      <c r="B11" s="2" t="s">
        <v>73</v>
      </c>
      <c r="C11" s="2" t="s">
        <v>74</v>
      </c>
      <c r="D11" s="2" t="s">
        <v>56</v>
      </c>
      <c r="E11" s="2" t="s">
        <v>57</v>
      </c>
      <c r="F11" s="2">
        <v>0.5</v>
      </c>
      <c r="G11" s="2">
        <v>0.6</v>
      </c>
      <c r="H11" s="2">
        <v>0.8</v>
      </c>
      <c r="I11" s="2">
        <v>1</v>
      </c>
      <c r="J11" s="9">
        <v>0.2</v>
      </c>
      <c r="K11" s="2" t="s">
        <v>264</v>
      </c>
    </row>
    <row r="12" spans="1:12" ht="14.25" customHeight="1" x14ac:dyDescent="0.25">
      <c r="A12" s="2" t="s">
        <v>70</v>
      </c>
      <c r="B12" s="2" t="s">
        <v>75</v>
      </c>
      <c r="C12" s="2" t="s">
        <v>76</v>
      </c>
      <c r="D12" s="2" t="s">
        <v>56</v>
      </c>
      <c r="E12" s="2" t="s">
        <v>57</v>
      </c>
      <c r="F12" s="2">
        <v>0.7</v>
      </c>
      <c r="G12" s="2">
        <v>0.75</v>
      </c>
      <c r="H12" s="2">
        <v>0.8</v>
      </c>
      <c r="I12" s="2">
        <v>1</v>
      </c>
      <c r="J12" s="9">
        <v>0.2</v>
      </c>
      <c r="K12" s="2" t="s">
        <v>263</v>
      </c>
    </row>
    <row r="13" spans="1:12" ht="15" customHeight="1" x14ac:dyDescent="0.25">
      <c r="A13" s="19" t="s">
        <v>70</v>
      </c>
      <c r="B13" s="2" t="s">
        <v>77</v>
      </c>
      <c r="C13" s="2" t="s">
        <v>78</v>
      </c>
      <c r="D13" s="2" t="s">
        <v>56</v>
      </c>
      <c r="E13" s="2" t="s">
        <v>57</v>
      </c>
      <c r="F13" s="2">
        <v>0.25</v>
      </c>
      <c r="G13" s="2">
        <v>0.5</v>
      </c>
      <c r="H13" s="2">
        <v>0.75</v>
      </c>
      <c r="I13" s="2">
        <v>1</v>
      </c>
      <c r="J13" s="9">
        <v>0.2</v>
      </c>
      <c r="K13" s="2" t="s">
        <v>262</v>
      </c>
    </row>
    <row r="14" spans="1:12" ht="15" customHeight="1" x14ac:dyDescent="0.25">
      <c r="A14" s="2" t="s">
        <v>70</v>
      </c>
      <c r="B14" s="2" t="s">
        <v>79</v>
      </c>
      <c r="C14" s="2" t="s">
        <v>80</v>
      </c>
      <c r="D14" s="2" t="s">
        <v>56</v>
      </c>
      <c r="E14" s="2" t="s">
        <v>63</v>
      </c>
      <c r="F14" s="2">
        <v>0.3</v>
      </c>
      <c r="G14" s="2">
        <v>0.1</v>
      </c>
      <c r="H14" s="2">
        <v>0.01</v>
      </c>
      <c r="I14" s="2">
        <v>0</v>
      </c>
      <c r="J14" s="9">
        <v>0.2</v>
      </c>
      <c r="K14" s="2" t="s">
        <v>261</v>
      </c>
    </row>
    <row r="15" spans="1:12" ht="15" customHeight="1" x14ac:dyDescent="0.25">
      <c r="A15" s="2" t="s">
        <v>81</v>
      </c>
      <c r="B15" s="2" t="s">
        <v>82</v>
      </c>
      <c r="C15" s="2" t="s">
        <v>83</v>
      </c>
      <c r="D15" s="2" t="s">
        <v>56</v>
      </c>
      <c r="E15" s="2" t="s">
        <v>57</v>
      </c>
      <c r="F15" s="2">
        <v>0.5</v>
      </c>
      <c r="G15" s="2">
        <v>0.75</v>
      </c>
      <c r="H15" s="2">
        <v>0.85</v>
      </c>
      <c r="I15" s="2">
        <v>1</v>
      </c>
      <c r="J15" s="9">
        <v>0.2</v>
      </c>
      <c r="K15" s="2" t="s">
        <v>273</v>
      </c>
      <c r="L15" t="s">
        <v>252</v>
      </c>
    </row>
    <row r="16" spans="1:12" ht="15" customHeight="1" x14ac:dyDescent="0.25">
      <c r="A16" s="2" t="s">
        <v>81</v>
      </c>
      <c r="B16" s="2" t="s">
        <v>84</v>
      </c>
      <c r="C16" s="2" t="s">
        <v>85</v>
      </c>
      <c r="D16" s="2" t="s">
        <v>56</v>
      </c>
      <c r="E16" s="2" t="s">
        <v>57</v>
      </c>
      <c r="F16" s="2">
        <v>0.5</v>
      </c>
      <c r="G16" s="2">
        <v>0.75</v>
      </c>
      <c r="H16" s="2">
        <v>0.85</v>
      </c>
      <c r="I16" s="2">
        <v>1</v>
      </c>
      <c r="J16" s="9">
        <v>0.2</v>
      </c>
      <c r="K16" s="2" t="s">
        <v>274</v>
      </c>
      <c r="L16" t="s">
        <v>251</v>
      </c>
    </row>
    <row r="17" spans="1:12" ht="15" customHeight="1" x14ac:dyDescent="0.25">
      <c r="A17" s="2" t="s">
        <v>81</v>
      </c>
      <c r="B17" s="2" t="s">
        <v>86</v>
      </c>
      <c r="C17" s="2" t="s">
        <v>87</v>
      </c>
      <c r="D17" s="2" t="s">
        <v>56</v>
      </c>
      <c r="E17" s="2" t="s">
        <v>63</v>
      </c>
      <c r="F17" s="2">
        <v>1</v>
      </c>
      <c r="G17" s="2">
        <v>0.5</v>
      </c>
      <c r="H17" s="2">
        <v>0.3</v>
      </c>
      <c r="I17" s="2">
        <v>0.05</v>
      </c>
      <c r="J17" s="9">
        <v>0.2</v>
      </c>
      <c r="K17" s="2" t="s">
        <v>260</v>
      </c>
      <c r="L17" t="s">
        <v>253</v>
      </c>
    </row>
    <row r="18" spans="1:12" ht="15" customHeight="1" x14ac:dyDescent="0.25">
      <c r="A18" s="2" t="s">
        <v>81</v>
      </c>
      <c r="B18" s="2" t="s">
        <v>88</v>
      </c>
      <c r="C18" s="2" t="s">
        <v>89</v>
      </c>
      <c r="D18" s="2" t="s">
        <v>56</v>
      </c>
      <c r="E18" s="2" t="s">
        <v>63</v>
      </c>
      <c r="F18" s="2">
        <v>1</v>
      </c>
      <c r="G18" s="2">
        <v>0.5</v>
      </c>
      <c r="H18" s="2">
        <v>0.3</v>
      </c>
      <c r="I18" s="2">
        <v>0.05</v>
      </c>
      <c r="J18" s="9">
        <v>0.2</v>
      </c>
      <c r="K18" s="2" t="s">
        <v>260</v>
      </c>
      <c r="L18" t="s">
        <v>250</v>
      </c>
    </row>
    <row r="19" spans="1:12" ht="15" customHeight="1" x14ac:dyDescent="0.25">
      <c r="A19" s="2" t="s">
        <v>81</v>
      </c>
      <c r="B19" s="2" t="s">
        <v>90</v>
      </c>
      <c r="C19" s="2" t="s">
        <v>91</v>
      </c>
      <c r="D19" s="2" t="s">
        <v>56</v>
      </c>
      <c r="E19" s="2" t="s">
        <v>63</v>
      </c>
      <c r="F19" s="2">
        <v>1</v>
      </c>
      <c r="G19" s="2">
        <v>0.5</v>
      </c>
      <c r="H19" s="2">
        <v>0.3</v>
      </c>
      <c r="I19" s="2">
        <v>0.05</v>
      </c>
      <c r="J19" s="9">
        <v>0.2</v>
      </c>
      <c r="K19" s="2" t="s">
        <v>260</v>
      </c>
      <c r="L19" t="s">
        <v>250</v>
      </c>
    </row>
    <row r="20" spans="1:12" ht="14.25" customHeight="1" x14ac:dyDescent="0.25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63</v>
      </c>
      <c r="F20" s="2">
        <v>2000</v>
      </c>
      <c r="G20" s="2">
        <v>1500</v>
      </c>
      <c r="H20" s="2">
        <v>1000</v>
      </c>
      <c r="I20" s="2">
        <v>500</v>
      </c>
      <c r="J20" s="9">
        <v>0.125</v>
      </c>
      <c r="K20" s="2" t="s">
        <v>278</v>
      </c>
    </row>
    <row r="21" spans="1:12" ht="12.75" customHeight="1" x14ac:dyDescent="0.25">
      <c r="A21" s="2" t="s">
        <v>92</v>
      </c>
      <c r="B21" s="2" t="s">
        <v>96</v>
      </c>
      <c r="C21" s="2" t="s">
        <v>97</v>
      </c>
      <c r="D21" s="2" t="s">
        <v>98</v>
      </c>
      <c r="E21" s="2" t="s">
        <v>63</v>
      </c>
      <c r="F21" s="2">
        <v>0.4</v>
      </c>
      <c r="G21" s="2">
        <v>0.3</v>
      </c>
      <c r="H21" s="2">
        <v>0.2</v>
      </c>
      <c r="I21" s="2">
        <v>0.1</v>
      </c>
      <c r="J21" s="9">
        <v>0.125</v>
      </c>
      <c r="K21" s="2" t="s">
        <v>275</v>
      </c>
      <c r="L21" t="s">
        <v>250</v>
      </c>
    </row>
    <row r="22" spans="1:12" ht="15" customHeight="1" x14ac:dyDescent="0.25">
      <c r="A22" s="2" t="s">
        <v>92</v>
      </c>
      <c r="B22" s="2" t="s">
        <v>99</v>
      </c>
      <c r="C22" s="2" t="s">
        <v>100</v>
      </c>
      <c r="D22" s="2" t="s">
        <v>98</v>
      </c>
      <c r="E22" s="2" t="s">
        <v>63</v>
      </c>
      <c r="F22" s="2">
        <v>0.35</v>
      </c>
      <c r="G22" s="2">
        <v>0.25</v>
      </c>
      <c r="H22" s="2">
        <v>0.15</v>
      </c>
      <c r="I22" s="2">
        <v>0.1</v>
      </c>
      <c r="J22" s="9">
        <v>0.125</v>
      </c>
      <c r="K22" s="2" t="s">
        <v>271</v>
      </c>
    </row>
    <row r="23" spans="1:12" ht="15" customHeight="1" x14ac:dyDescent="0.25">
      <c r="A23" s="2" t="s">
        <v>92</v>
      </c>
      <c r="B23" s="2" t="s">
        <v>101</v>
      </c>
      <c r="C23" s="2" t="s">
        <v>102</v>
      </c>
      <c r="D23" s="2" t="s">
        <v>103</v>
      </c>
      <c r="E23" s="2" t="s">
        <v>63</v>
      </c>
      <c r="F23" s="2">
        <v>200</v>
      </c>
      <c r="G23" s="2">
        <v>150</v>
      </c>
      <c r="H23" s="2">
        <v>100</v>
      </c>
      <c r="I23" s="2">
        <v>50</v>
      </c>
      <c r="J23" s="9">
        <v>0.125</v>
      </c>
      <c r="K23" s="2" t="s">
        <v>279</v>
      </c>
    </row>
    <row r="24" spans="1:12" ht="15" customHeight="1" x14ac:dyDescent="0.25">
      <c r="A24" s="2" t="s">
        <v>92</v>
      </c>
      <c r="B24" s="2" t="s">
        <v>104</v>
      </c>
      <c r="C24" s="2" t="s">
        <v>105</v>
      </c>
      <c r="D24" s="2" t="s">
        <v>106</v>
      </c>
      <c r="E24" s="2" t="s">
        <v>63</v>
      </c>
      <c r="F24" s="2">
        <v>0.06</v>
      </c>
      <c r="G24" s="2">
        <v>0.04</v>
      </c>
      <c r="H24" s="2">
        <v>0.02</v>
      </c>
      <c r="I24" s="2">
        <v>0.01</v>
      </c>
      <c r="J24" s="9">
        <v>0.125</v>
      </c>
      <c r="K24" s="2" t="s">
        <v>272</v>
      </c>
    </row>
    <row r="25" spans="1:12" ht="15" customHeight="1" x14ac:dyDescent="0.25">
      <c r="A25" s="2" t="s">
        <v>92</v>
      </c>
      <c r="B25" s="2" t="s">
        <v>107</v>
      </c>
      <c r="C25" s="2" t="s">
        <v>108</v>
      </c>
      <c r="D25" s="2" t="s">
        <v>106</v>
      </c>
      <c r="E25" s="2" t="s">
        <v>63</v>
      </c>
      <c r="F25" s="2">
        <v>0.06</v>
      </c>
      <c r="G25" s="2">
        <v>0.04</v>
      </c>
      <c r="H25" s="2">
        <v>0.02</v>
      </c>
      <c r="I25" s="2">
        <v>0.01</v>
      </c>
      <c r="J25" s="9">
        <v>0.125</v>
      </c>
      <c r="K25" s="2" t="s">
        <v>272</v>
      </c>
    </row>
    <row r="26" spans="1:12" ht="15" customHeight="1" x14ac:dyDescent="0.25">
      <c r="A26" s="2" t="s">
        <v>92</v>
      </c>
      <c r="B26" s="2" t="s">
        <v>109</v>
      </c>
      <c r="C26" s="2" t="s">
        <v>110</v>
      </c>
      <c r="D26" s="2" t="s">
        <v>56</v>
      </c>
      <c r="E26" s="2" t="s">
        <v>57</v>
      </c>
      <c r="F26" s="2">
        <v>0.05</v>
      </c>
      <c r="G26" s="2">
        <v>0.1</v>
      </c>
      <c r="H26" s="2">
        <v>0.2</v>
      </c>
      <c r="I26" s="2">
        <v>0.4</v>
      </c>
      <c r="J26" s="9">
        <v>0.125</v>
      </c>
      <c r="K26" s="2" t="s">
        <v>277</v>
      </c>
    </row>
    <row r="27" spans="1:12" ht="15" customHeight="1" x14ac:dyDescent="0.25">
      <c r="A27" s="2" t="s">
        <v>92</v>
      </c>
      <c r="B27" s="2" t="s">
        <v>111</v>
      </c>
      <c r="C27" s="2" t="s">
        <v>112</v>
      </c>
      <c r="D27" s="2" t="s">
        <v>56</v>
      </c>
      <c r="E27" s="2" t="s">
        <v>57</v>
      </c>
      <c r="F27" s="2">
        <v>0</v>
      </c>
      <c r="G27" s="2">
        <v>0.25</v>
      </c>
      <c r="H27" s="2">
        <v>0.5</v>
      </c>
      <c r="I27" s="2">
        <v>1</v>
      </c>
      <c r="J27" s="9">
        <v>0.125</v>
      </c>
      <c r="K27" s="2" t="s">
        <v>276</v>
      </c>
    </row>
    <row r="28" spans="1:12" ht="15" customHeight="1" x14ac:dyDescent="0.25">
      <c r="A28" s="2" t="s">
        <v>113</v>
      </c>
      <c r="B28" s="2" t="s">
        <v>114</v>
      </c>
      <c r="C28" s="2" t="s">
        <v>115</v>
      </c>
      <c r="D28" s="2" t="s">
        <v>116</v>
      </c>
      <c r="E28" s="2" t="s">
        <v>63</v>
      </c>
      <c r="F28" s="2">
        <v>600</v>
      </c>
      <c r="G28" s="2">
        <v>500</v>
      </c>
      <c r="H28" s="2">
        <v>400</v>
      </c>
      <c r="I28" s="2">
        <v>300</v>
      </c>
      <c r="J28" s="9">
        <v>0.1</v>
      </c>
      <c r="K28" s="2" t="s">
        <v>281</v>
      </c>
    </row>
    <row r="29" spans="1:12" ht="15" customHeight="1" x14ac:dyDescent="0.25">
      <c r="A29" s="2" t="s">
        <v>113</v>
      </c>
      <c r="B29" s="2" t="s">
        <v>117</v>
      </c>
      <c r="C29" s="2" t="s">
        <v>118</v>
      </c>
      <c r="D29" s="2" t="s">
        <v>56</v>
      </c>
      <c r="E29" s="2" t="s">
        <v>63</v>
      </c>
      <c r="F29" s="2">
        <v>0.45</v>
      </c>
      <c r="G29" s="2">
        <v>0.35</v>
      </c>
      <c r="H29" s="2">
        <v>0.25</v>
      </c>
      <c r="I29" s="2">
        <v>0.2</v>
      </c>
      <c r="J29" s="9">
        <v>0.1</v>
      </c>
      <c r="K29" s="2"/>
    </row>
    <row r="30" spans="1:12" ht="15" customHeight="1" x14ac:dyDescent="0.25">
      <c r="A30" s="2" t="s">
        <v>113</v>
      </c>
      <c r="B30" s="2" t="s">
        <v>119</v>
      </c>
      <c r="C30" s="2" t="s">
        <v>120</v>
      </c>
      <c r="D30" s="2" t="s">
        <v>56</v>
      </c>
      <c r="E30" s="2" t="s">
        <v>57</v>
      </c>
      <c r="F30" s="2">
        <v>0.25</v>
      </c>
      <c r="G30" s="2">
        <v>0.5</v>
      </c>
      <c r="H30" s="2">
        <v>0.75</v>
      </c>
      <c r="I30" s="2">
        <v>0.8</v>
      </c>
      <c r="J30" s="9">
        <v>0.1</v>
      </c>
      <c r="K30" s="2"/>
      <c r="L30" t="s">
        <v>250</v>
      </c>
    </row>
    <row r="31" spans="1:12" ht="15" customHeight="1" x14ac:dyDescent="0.25">
      <c r="A31" s="2" t="s">
        <v>113</v>
      </c>
      <c r="B31" s="2" t="s">
        <v>121</v>
      </c>
      <c r="C31" s="2" t="s">
        <v>122</v>
      </c>
      <c r="D31" s="2" t="s">
        <v>56</v>
      </c>
      <c r="E31" s="2" t="s">
        <v>63</v>
      </c>
      <c r="F31" s="2">
        <v>1.25</v>
      </c>
      <c r="G31" s="2">
        <v>1.05</v>
      </c>
      <c r="H31" s="2">
        <v>0.75</v>
      </c>
      <c r="I31" s="2">
        <v>0.5</v>
      </c>
      <c r="J31" s="9">
        <v>0.1</v>
      </c>
      <c r="K31" s="2"/>
    </row>
    <row r="32" spans="1:12" ht="15" customHeight="1" x14ac:dyDescent="0.25">
      <c r="A32" s="2" t="s">
        <v>113</v>
      </c>
      <c r="B32" s="2" t="s">
        <v>123</v>
      </c>
      <c r="C32" s="2" t="s">
        <v>124</v>
      </c>
      <c r="D32" s="2" t="s">
        <v>56</v>
      </c>
      <c r="E32" s="2" t="s">
        <v>57</v>
      </c>
      <c r="F32" s="2">
        <v>0.25</v>
      </c>
      <c r="G32" s="2">
        <v>0.5</v>
      </c>
      <c r="H32" s="2">
        <v>0.75</v>
      </c>
      <c r="I32" s="2">
        <v>1</v>
      </c>
      <c r="J32" s="9">
        <v>0.1</v>
      </c>
      <c r="K32" s="2"/>
    </row>
    <row r="33" spans="1:11" ht="15" customHeight="1" x14ac:dyDescent="0.25">
      <c r="A33" s="2" t="s">
        <v>113</v>
      </c>
      <c r="B33" s="2" t="s">
        <v>125</v>
      </c>
      <c r="C33" s="2" t="s">
        <v>126</v>
      </c>
      <c r="D33" s="2" t="s">
        <v>56</v>
      </c>
      <c r="E33" s="2" t="s">
        <v>57</v>
      </c>
      <c r="F33" s="2">
        <v>0</v>
      </c>
      <c r="G33" s="2">
        <v>0.2</v>
      </c>
      <c r="H33" s="2">
        <v>0.25</v>
      </c>
      <c r="I33" s="2">
        <v>0.3</v>
      </c>
      <c r="J33" s="9">
        <v>0.1</v>
      </c>
      <c r="K33" s="2"/>
    </row>
    <row r="34" spans="1:11" ht="15" customHeight="1" x14ac:dyDescent="0.25">
      <c r="A34" s="2" t="s">
        <v>113</v>
      </c>
      <c r="B34" s="2" t="s">
        <v>127</v>
      </c>
      <c r="C34" s="2" t="s">
        <v>128</v>
      </c>
      <c r="D34" s="2" t="s">
        <v>56</v>
      </c>
      <c r="E34" s="2" t="s">
        <v>63</v>
      </c>
      <c r="F34" s="2">
        <v>0.6</v>
      </c>
      <c r="G34" s="2">
        <v>0.4</v>
      </c>
      <c r="H34" s="2">
        <v>0.3</v>
      </c>
      <c r="I34" s="2">
        <v>0.2</v>
      </c>
      <c r="J34" s="9">
        <v>0.1</v>
      </c>
      <c r="K34" s="2" t="s">
        <v>280</v>
      </c>
    </row>
    <row r="35" spans="1:11" ht="15" customHeight="1" x14ac:dyDescent="0.25">
      <c r="A35" s="2" t="s">
        <v>113</v>
      </c>
      <c r="B35" s="2" t="s">
        <v>129</v>
      </c>
      <c r="C35" s="2" t="s">
        <v>130</v>
      </c>
      <c r="D35" s="2" t="s">
        <v>116</v>
      </c>
      <c r="E35" s="2" t="s">
        <v>57</v>
      </c>
      <c r="F35" s="2">
        <v>40</v>
      </c>
      <c r="G35" s="2">
        <v>60</v>
      </c>
      <c r="H35" s="2">
        <v>80</v>
      </c>
      <c r="I35" s="2">
        <v>100</v>
      </c>
      <c r="J35" s="9">
        <v>0.1</v>
      </c>
      <c r="K35" s="2"/>
    </row>
    <row r="36" spans="1:11" ht="15" customHeight="1" x14ac:dyDescent="0.25">
      <c r="A36" s="2" t="s">
        <v>113</v>
      </c>
      <c r="B36" s="2" t="s">
        <v>131</v>
      </c>
      <c r="C36" s="2" t="s">
        <v>132</v>
      </c>
      <c r="D36" s="2" t="s">
        <v>56</v>
      </c>
      <c r="E36" s="2" t="s">
        <v>57</v>
      </c>
      <c r="F36" s="2">
        <v>0.25</v>
      </c>
      <c r="G36" s="2">
        <v>0.5</v>
      </c>
      <c r="H36" s="2">
        <v>0.75</v>
      </c>
      <c r="I36" s="2">
        <v>1</v>
      </c>
      <c r="J36" s="9">
        <v>0.1</v>
      </c>
      <c r="K36" s="2"/>
    </row>
    <row r="37" spans="1:11" ht="15" customHeight="1" x14ac:dyDescent="0.25">
      <c r="A37" s="2" t="s">
        <v>113</v>
      </c>
      <c r="B37" s="2" t="s">
        <v>133</v>
      </c>
      <c r="C37" s="2" t="s">
        <v>134</v>
      </c>
      <c r="D37" s="2" t="s">
        <v>56</v>
      </c>
      <c r="E37" s="2" t="s">
        <v>57</v>
      </c>
      <c r="F37" s="2">
        <v>0.7</v>
      </c>
      <c r="G37" s="2">
        <v>0.85</v>
      </c>
      <c r="H37" s="2">
        <v>0.95</v>
      </c>
      <c r="I37" s="2">
        <v>1</v>
      </c>
      <c r="J37" s="9">
        <v>0.1</v>
      </c>
      <c r="K37" s="2"/>
    </row>
    <row r="38" spans="1:11" ht="15" customHeight="1" x14ac:dyDescent="0.25">
      <c r="A38" s="2" t="s">
        <v>135</v>
      </c>
      <c r="B38" s="2" t="s">
        <v>136</v>
      </c>
      <c r="C38" s="2" t="s">
        <v>137</v>
      </c>
      <c r="D38" s="2" t="s">
        <v>56</v>
      </c>
      <c r="E38" s="2" t="s">
        <v>57</v>
      </c>
      <c r="F38" s="2">
        <v>0.25</v>
      </c>
      <c r="G38" s="2">
        <v>0.5</v>
      </c>
      <c r="H38" s="2">
        <v>0.75</v>
      </c>
      <c r="I38" s="2">
        <v>1</v>
      </c>
      <c r="J38" s="9">
        <v>0.25</v>
      </c>
      <c r="K38" s="2"/>
    </row>
    <row r="39" spans="1:11" ht="15" customHeight="1" x14ac:dyDescent="0.25">
      <c r="A39" s="2" t="s">
        <v>135</v>
      </c>
      <c r="B39" s="2" t="s">
        <v>138</v>
      </c>
      <c r="C39" s="2" t="s">
        <v>139</v>
      </c>
      <c r="D39" s="2" t="s">
        <v>56</v>
      </c>
      <c r="E39" s="2" t="s">
        <v>57</v>
      </c>
      <c r="F39" s="2">
        <v>0.25</v>
      </c>
      <c r="G39" s="2">
        <v>0.5</v>
      </c>
      <c r="H39" s="2">
        <v>0.75</v>
      </c>
      <c r="I39" s="2">
        <v>1</v>
      </c>
      <c r="J39" s="9">
        <v>0.25</v>
      </c>
      <c r="K39" s="2"/>
    </row>
    <row r="40" spans="1:11" ht="15" customHeight="1" x14ac:dyDescent="0.25">
      <c r="A40" s="2" t="s">
        <v>135</v>
      </c>
      <c r="B40" s="2" t="s">
        <v>140</v>
      </c>
      <c r="C40" s="2" t="s">
        <v>141</v>
      </c>
      <c r="D40" s="2" t="s">
        <v>56</v>
      </c>
      <c r="E40" s="2" t="s">
        <v>57</v>
      </c>
      <c r="F40" s="2">
        <v>0.25</v>
      </c>
      <c r="G40" s="2">
        <v>0.5</v>
      </c>
      <c r="H40" s="2">
        <v>0.75</v>
      </c>
      <c r="I40" s="2">
        <v>1</v>
      </c>
      <c r="J40" s="9">
        <v>0.25</v>
      </c>
      <c r="K40" s="2"/>
    </row>
    <row r="41" spans="1:11" ht="15" customHeight="1" x14ac:dyDescent="0.25">
      <c r="A41" s="2" t="s">
        <v>135</v>
      </c>
      <c r="B41" s="2" t="s">
        <v>142</v>
      </c>
      <c r="C41" s="2" t="s">
        <v>143</v>
      </c>
      <c r="D41" s="2" t="s">
        <v>56</v>
      </c>
      <c r="E41" s="2" t="s">
        <v>57</v>
      </c>
      <c r="F41" s="2">
        <v>0.25</v>
      </c>
      <c r="G41" s="2">
        <v>0.5</v>
      </c>
      <c r="H41" s="2">
        <v>0.75</v>
      </c>
      <c r="I41" s="2">
        <v>1</v>
      </c>
      <c r="J41" s="9">
        <v>0.25</v>
      </c>
      <c r="K41" s="2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O41"/>
  <sheetViews>
    <sheetView showGridLines="0" workbookViewId="0">
      <pane ySplit="3" topLeftCell="A4" activePane="bottomLeft" state="frozen"/>
      <selection pane="bottomLeft" activeCell="V16" sqref="V16"/>
    </sheetView>
  </sheetViews>
  <sheetFormatPr defaultRowHeight="15" x14ac:dyDescent="0.25"/>
  <cols>
    <col min="1" max="2" width="12" customWidth="1"/>
    <col min="3" max="3" width="45.42578125" customWidth="1"/>
    <col min="4" max="4" width="14" customWidth="1"/>
    <col min="5" max="13" width="12" customWidth="1"/>
    <col min="14" max="14" width="18" customWidth="1"/>
    <col min="15" max="15" width="15" customWidth="1"/>
    <col min="17" max="17" width="20.42578125" customWidth="1"/>
  </cols>
  <sheetData>
    <row r="1" spans="1:15" ht="27.95" customHeight="1" x14ac:dyDescent="0.25">
      <c r="A1" s="20" t="s">
        <v>199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3" spans="1:15" ht="30" x14ac:dyDescent="0.25">
      <c r="A3" s="1" t="s">
        <v>43</v>
      </c>
      <c r="B3" s="1" t="s">
        <v>44</v>
      </c>
      <c r="C3" s="1" t="s">
        <v>45</v>
      </c>
      <c r="D3" s="1" t="s">
        <v>200</v>
      </c>
      <c r="E3" s="1" t="s">
        <v>201</v>
      </c>
      <c r="F3" s="1" t="s">
        <v>202</v>
      </c>
      <c r="G3" s="1" t="s">
        <v>203</v>
      </c>
      <c r="H3" s="1" t="s">
        <v>46</v>
      </c>
      <c r="I3" s="1" t="s">
        <v>47</v>
      </c>
      <c r="J3" s="1" t="s">
        <v>204</v>
      </c>
      <c r="K3" s="1" t="s">
        <v>205</v>
      </c>
      <c r="L3" s="1" t="s">
        <v>206</v>
      </c>
      <c r="M3" s="1" t="s">
        <v>207</v>
      </c>
      <c r="N3" s="1" t="s">
        <v>208</v>
      </c>
      <c r="O3" s="1" t="s">
        <v>209</v>
      </c>
    </row>
    <row r="4" spans="1:15" x14ac:dyDescent="0.25">
      <c r="A4" s="4" t="s">
        <v>53</v>
      </c>
      <c r="B4" s="4" t="s">
        <v>54</v>
      </c>
      <c r="C4" s="4" t="s">
        <v>55</v>
      </c>
      <c r="D4" s="8">
        <f>IFERROR(AVERAGE(INPUT_A_TO_C!B$4:B$33),"")</f>
        <v>0.72500000000000009</v>
      </c>
      <c r="E4" s="8">
        <f>IFERROR(_xlfn.STDEV.S(INPUT_A_TO_C!B$4:B$33),"")</f>
        <v>0.324060846290886</v>
      </c>
      <c r="F4" s="10">
        <f>IFERROR(MIN(INPUT_A_TO_C!B$4:B$33),"")</f>
        <v>0.16666666666666666</v>
      </c>
      <c r="G4" s="4">
        <f>IFERROR(MAX(INPUT_A_TO_C!B$4:B$33),"")</f>
        <v>1</v>
      </c>
      <c r="H4" s="4" t="s">
        <v>56</v>
      </c>
      <c r="I4" s="4" t="s">
        <v>57</v>
      </c>
      <c r="J4" s="4">
        <f>THRESHOLDS_WEIGHTS!F4</f>
        <v>0.4</v>
      </c>
      <c r="K4" s="4">
        <f>THRESHOLDS_WEIGHTS!G4</f>
        <v>0.6</v>
      </c>
      <c r="L4" s="4">
        <f>THRESHOLDS_WEIGHTS!H4</f>
        <v>0.8</v>
      </c>
      <c r="M4" s="4">
        <f>THRESHOLDS_WEIGHTS!I4</f>
        <v>1</v>
      </c>
      <c r="N4" s="11">
        <f>IFERROR(IF($I4="Positive",IF($D4&lt;$J4,0,IF($D4&lt;$K4,0.25+0.25*($D4-$J4)/($K4-$J4),IF($D4&lt;$L4,0.5+0.25*($D4-$K4)/($L4-$K4),IF($D4&lt;$M4,0.75+0.25*($D4-$L4)/($M4-$L4),1)))),IF($D4&gt;$J4,0,IF($D4&gt;$K4,0.25+0.25*($J4-$D4)/($J4-$K4),IF($D4&gt;$L4,0.5+0.25*($K4-$D4)/($K4-$L4),IF($D4&gt;$M4,0.75+0.25*($L4-$D4)/($L4-$M4),1))))),"")</f>
        <v>0.65625000000000011</v>
      </c>
      <c r="O4" s="5" t="str">
        <f>IF(N4="","",IF(N4&lt;0.25,"Low",IF(N4&lt;0.5,"Moderate",IF(N4&lt;0.75,"Good","Excellent"))))</f>
        <v>Good</v>
      </c>
    </row>
    <row r="5" spans="1:15" x14ac:dyDescent="0.25">
      <c r="A5" s="4" t="s">
        <v>53</v>
      </c>
      <c r="B5" s="4" t="s">
        <v>58</v>
      </c>
      <c r="C5" s="4" t="s">
        <v>59</v>
      </c>
      <c r="D5" s="8">
        <f>IFERROR(AVERAGE(INPUT_A_TO_C!C$4:C$33),"")</f>
        <v>0.81718292336732146</v>
      </c>
      <c r="E5" s="8">
        <f>IFERROR(_xlfn.STDEV.S(INPUT_A_TO_C!C$4:C$33),"")</f>
        <v>0.33254924927198587</v>
      </c>
      <c r="F5" s="10">
        <f>IFERROR(MIN(INPUT_A_TO_C!C$4:C$33),"")</f>
        <v>5.9809026275220334E-2</v>
      </c>
      <c r="G5" s="4">
        <f>IFERROR(MAX(INPUT_A_TO_C!C$4:C$33),"")</f>
        <v>1</v>
      </c>
      <c r="H5" s="4" t="s">
        <v>56</v>
      </c>
      <c r="I5" s="4" t="s">
        <v>57</v>
      </c>
      <c r="J5" s="4">
        <f>THRESHOLDS_WEIGHTS!F5</f>
        <v>0.4</v>
      </c>
      <c r="K5" s="4">
        <f>THRESHOLDS_WEIGHTS!G5</f>
        <v>0.6</v>
      </c>
      <c r="L5" s="4">
        <f>THRESHOLDS_WEIGHTS!H5</f>
        <v>0.8</v>
      </c>
      <c r="M5" s="4">
        <f>THRESHOLDS_WEIGHTS!I5</f>
        <v>1</v>
      </c>
      <c r="N5" s="11">
        <f>IFERROR(IF($I5="Positive",IF($D5&lt;$J5,0,IF($D5&lt;$K5,0.25+0.25*($D5-$J5)/($K5-$J5),IF($D5&lt;$L5,0.5+0.25*($D5-$K5)/($L5-$K5),IF($D5&lt;$M5,0.75+0.25*($D5-$L5)/($M5-$L5),1)))),IF($D5&gt;$J5,0,IF($D5&gt;$K5,0.25+0.25*($J5-$D5)/($J5-$K5),IF($D5&gt;$L5,0.5+0.25*($K5-$D5)/($K5-$L5),IF($D5&gt;$M5,0.75+0.25*($L5-$D5)/($L5-$M5),1))))),"")</f>
        <v>0.77147865420915174</v>
      </c>
      <c r="O5" s="5" t="str">
        <f t="shared" ref="O5:O41" si="0">IF(N5="","",IF(N5&lt;0.25,"Low",IF(N5&lt;0.5,"Moderate",IF(N5&lt;0.75,"Good","Excellent"))))</f>
        <v>Excellent</v>
      </c>
    </row>
    <row r="6" spans="1:15" x14ac:dyDescent="0.25">
      <c r="A6" s="4" t="s">
        <v>53</v>
      </c>
      <c r="B6" s="4" t="s">
        <v>60</v>
      </c>
      <c r="C6" s="4" t="s">
        <v>61</v>
      </c>
      <c r="D6" s="8">
        <f>IFERROR(AVERAGE(INPUT_A_TO_C!D$4:D$33),"")</f>
        <v>2.75</v>
      </c>
      <c r="E6" s="8">
        <f>IFERROR(_xlfn.STDEV.S(INPUT_A_TO_C!D$4:D$33),"")</f>
        <v>3.3767999315591348</v>
      </c>
      <c r="F6" s="10">
        <f>IFERROR(MIN(INPUT_A_TO_C!D$4:D$33),"")</f>
        <v>0</v>
      </c>
      <c r="G6" s="4">
        <f>IFERROR(MAX(INPUT_A_TO_C!D$4:D$33),"")</f>
        <v>9</v>
      </c>
      <c r="H6" s="4" t="s">
        <v>62</v>
      </c>
      <c r="I6" s="4" t="s">
        <v>63</v>
      </c>
      <c r="J6" s="4">
        <f>THRESHOLDS_WEIGHTS!F6</f>
        <v>12</v>
      </c>
      <c r="K6" s="4">
        <f>THRESHOLDS_WEIGHTS!G6</f>
        <v>6</v>
      </c>
      <c r="L6" s="4">
        <f>THRESHOLDS_WEIGHTS!H6</f>
        <v>3</v>
      </c>
      <c r="M6" s="4">
        <f>THRESHOLDS_WEIGHTS!I6</f>
        <v>0</v>
      </c>
      <c r="N6" s="11">
        <f t="shared" ref="N6:N41" si="1">IFERROR(IF($I6="Positive",IF($D6&lt;$J6,0,IF($D6&lt;$K6,0.25+0.25*($D6-$J6)/($K6-$J6),IF($D6&lt;$L6,0.5+0.25*($D6-$K6)/($L6-$K6),IF($D6&lt;$M6,0.75+0.25*($D6-$L6)/($M6-$L6),1)))),IF($D6&gt;$J6,0,IF($D6&gt;$K6,0.25+0.25*($J6-$D6)/($J6-$K6),IF($D6&gt;$L6,0.5+0.25*($K6-$D6)/($K6-$L6),IF($D6&gt;$M6,0.75+0.25*($L6-$D6)/($L6-$M6),1))))),"")</f>
        <v>0.77083333333333337</v>
      </c>
      <c r="O6" s="5" t="str">
        <f t="shared" si="0"/>
        <v>Excellent</v>
      </c>
    </row>
    <row r="7" spans="1:15" x14ac:dyDescent="0.25">
      <c r="A7" s="4" t="s">
        <v>53</v>
      </c>
      <c r="B7" s="4" t="s">
        <v>64</v>
      </c>
      <c r="C7" s="4" t="s">
        <v>65</v>
      </c>
      <c r="D7" s="8">
        <f>IFERROR(AVERAGE(INPUT_A_TO_C!E$4:E$33),"")</f>
        <v>1.9622075403845192</v>
      </c>
      <c r="E7" s="8">
        <f>IFERROR(_xlfn.STDEV.S(INPUT_A_TO_C!E$4:E$33),"")</f>
        <v>0.45177265653899051</v>
      </c>
      <c r="F7" s="10">
        <f>IFERROR(MIN(INPUT_A_TO_C!E$4:E$33),"")</f>
        <v>1.1979349328248481</v>
      </c>
      <c r="G7" s="4">
        <f>IFERROR(MAX(INPUT_A_TO_C!E$4:E$33),"")</f>
        <v>2.4581428636806364</v>
      </c>
      <c r="H7" s="4" t="s">
        <v>56</v>
      </c>
      <c r="I7" s="4" t="s">
        <v>63</v>
      </c>
      <c r="J7" s="8">
        <f>D7</f>
        <v>1.9622075403845192</v>
      </c>
      <c r="K7" s="4">
        <f>THRESHOLDS_WEIGHTS!G7</f>
        <v>0.9</v>
      </c>
      <c r="L7" s="4">
        <f>THRESHOLDS_WEIGHTS!H7</f>
        <v>0.5</v>
      </c>
      <c r="M7" s="4">
        <f>THRESHOLDS_WEIGHTS!I7</f>
        <v>0</v>
      </c>
      <c r="N7" s="11">
        <f>IFERROR(IF($I7="Positive",IF($D7&lt;$J7,0,IF($D7&lt;$K7,0.25+0.25*($D7-$J7)/($K7-$J7),IF($D7&lt;$L7,0.5+0.25*($D7-$K7)/($L7-$K7),IF($D7&lt;$M7,0.75+0.25*($D7-$L7)/($M7-$L7),1)))),IF($D7&gt;$J7,0,IF($D7&gt;$K7,0.25+0.25*($J7-$D7)/($J7-$K7),IF($D7&gt;$L7,0.5+0.25*($K7-$D7)/($K7-$L7),IF($D7&gt;$M7,0.75+0.25*($L7-$D7)/($L7-$M7),1))))),"")</f>
        <v>0.25</v>
      </c>
      <c r="O7" s="5" t="str">
        <f t="shared" si="0"/>
        <v>Moderate</v>
      </c>
    </row>
    <row r="8" spans="1:15" x14ac:dyDescent="0.25">
      <c r="A8" s="4" t="s">
        <v>53</v>
      </c>
      <c r="B8" s="4" t="s">
        <v>66</v>
      </c>
      <c r="C8" s="4" t="s">
        <v>67</v>
      </c>
      <c r="D8" s="8">
        <f>IFERROR(AVERAGE(INPUT_A_TO_C!F$4:F$33),"")</f>
        <v>19.386571159116091</v>
      </c>
      <c r="E8" s="8">
        <f>IFERROR(_xlfn.STDEV.S(INPUT_A_TO_C!F$4:F$33),"")</f>
        <v>26.572203846592124</v>
      </c>
      <c r="F8" s="10">
        <f>IFERROR(MIN(INPUT_A_TO_C!F$4:F$33),"")</f>
        <v>2.4105140198593156</v>
      </c>
      <c r="G8" s="4">
        <f>IFERROR(MAX(INPUT_A_TO_C!F$4:F$33),"")</f>
        <v>90.830935457300612</v>
      </c>
      <c r="H8" s="4" t="s">
        <v>56</v>
      </c>
      <c r="I8" s="4" t="s">
        <v>57</v>
      </c>
      <c r="J8" s="8">
        <f>D8</f>
        <v>19.386571159116091</v>
      </c>
      <c r="K8" s="4">
        <f>THRESHOLDS_WEIGHTS!G8</f>
        <v>1.5</v>
      </c>
      <c r="L8" s="4">
        <f>THRESHOLDS_WEIGHTS!H8</f>
        <v>3</v>
      </c>
      <c r="M8" s="4">
        <f>THRESHOLDS_WEIGHTS!I8</f>
        <v>90.830935457300612</v>
      </c>
      <c r="N8" s="11">
        <f>IFERROR(IF($I8="Positive",IF($D8&lt;$J8,0,IF($D8&lt;$K8,0.25+0.25*($D8-$J8)/($K8-$J8),IF($D8&lt;$L8,0.5+0.25*($D8-$K8)/($L8-$K8),IF($D8&lt;$M8,0.75+0.25*($D8-$L8)/($M8-$L8),1)))),IF($D8&gt;$J8,0,IF($D8&gt;$K8,0.25+0.25*($J8-$D8)/($J8-$K8),IF($D8&gt;$L8,0.5+0.25*($K8-$D8)/($K8-$L8),IF($D8&gt;$M8,0.75+0.25*($L8-$D8)/($L8-$M8),1))))),"")</f>
        <v>0.79664236773124908</v>
      </c>
      <c r="O8" s="5" t="str">
        <f t="shared" si="0"/>
        <v>Excellent</v>
      </c>
    </row>
    <row r="9" spans="1:15" x14ac:dyDescent="0.25">
      <c r="A9" s="4" t="s">
        <v>53</v>
      </c>
      <c r="B9" s="4" t="s">
        <v>68</v>
      </c>
      <c r="C9" s="4" t="s">
        <v>69</v>
      </c>
      <c r="D9" s="8">
        <f>IFERROR(AVERAGE(INPUT_A_TO_C!G$4:G$33),"")</f>
        <v>5.0629468803714994</v>
      </c>
      <c r="E9" s="8">
        <f>IFERROR(_xlfn.STDEV.S(INPUT_A_TO_C!G$4:G$33),"")</f>
        <v>6.9395281643932085</v>
      </c>
      <c r="F9" s="10">
        <f>IFERROR(MIN(INPUT_A_TO_C!G$4:G$33),"")</f>
        <v>0.62952361904388077</v>
      </c>
      <c r="G9" s="4">
        <f>IFERROR(MAX(INPUT_A_TO_C!G$4:G$33),"")</f>
        <v>23.721172637510001</v>
      </c>
      <c r="H9" s="4" t="s">
        <v>56</v>
      </c>
      <c r="I9" s="4" t="s">
        <v>63</v>
      </c>
      <c r="J9" s="8">
        <f>D9</f>
        <v>5.0629468803714994</v>
      </c>
      <c r="K9" s="4">
        <f>THRESHOLDS_WEIGHTS!G9</f>
        <v>1.2</v>
      </c>
      <c r="L9" s="4">
        <f>THRESHOLDS_WEIGHTS!H9</f>
        <v>1.05</v>
      </c>
      <c r="M9" s="4">
        <f>THRESHOLDS_WEIGHTS!I9</f>
        <v>1</v>
      </c>
      <c r="N9" s="11">
        <f>IFERROR(IF($I9="Positive",IF($D9&lt;$J9,0,IF($D9&lt;$K9,0.25+0.25*($D9-$J9)/($K9-$J9),IF($D9&lt;$L9,0.5+0.25*($D9-$K9)/($L9-$K9),IF($D9&lt;$M9,0.75+0.25*($D9-$L9)/($M9-$L9),1)))),IF($D9&gt;$J9,0,IF($D9&gt;$K9,0.25+0.25*($J9-$D9)/($J9-$K9),IF($D9&gt;$L9,0.5+0.25*($K9-$D9)/($K9-$L9),IF($D9&gt;$M9,0.75+0.25*($L9-$D9)/($L9-$M9),1))))),"")</f>
        <v>0.25</v>
      </c>
      <c r="O9" s="5" t="str">
        <f t="shared" si="0"/>
        <v>Moderate</v>
      </c>
    </row>
    <row r="10" spans="1:15" x14ac:dyDescent="0.25">
      <c r="A10" s="4" t="s">
        <v>70</v>
      </c>
      <c r="B10" s="4" t="s">
        <v>71</v>
      </c>
      <c r="C10" s="4" t="s">
        <v>72</v>
      </c>
      <c r="D10" s="8">
        <f>IFERROR(AVERAGE(INPUT_A_TO_C!L$4:L$33),"")</f>
        <v>0.99375000000000002</v>
      </c>
      <c r="E10" s="16" t="str">
        <f>IFERROR(_xlfn.STDEV.S(INPUT_A_TO_C!L4:L13),"")</f>
        <v/>
      </c>
      <c r="F10" s="8">
        <f>IFERROR(MIN(INPUT_A_TO_C!L$4:L$33),"")</f>
        <v>0.99375000000000002</v>
      </c>
      <c r="G10" s="17">
        <f>IFERROR(MAX(INPUT_A_TO_C!L$4:L$33),"")</f>
        <v>0.99375000000000002</v>
      </c>
      <c r="H10" s="4" t="s">
        <v>56</v>
      </c>
      <c r="I10" s="4" t="s">
        <v>57</v>
      </c>
      <c r="J10" s="4">
        <f>THRESHOLDS_WEIGHTS!F10</f>
        <v>0.5</v>
      </c>
      <c r="K10" s="4">
        <f>THRESHOLDS_WEIGHTS!G10</f>
        <v>0.6</v>
      </c>
      <c r="L10" s="4">
        <f>THRESHOLDS_WEIGHTS!H10</f>
        <v>0.8</v>
      </c>
      <c r="M10" s="4">
        <f>THRESHOLDS_WEIGHTS!I10</f>
        <v>1</v>
      </c>
      <c r="N10" s="11">
        <f t="shared" si="1"/>
        <v>0.9921875</v>
      </c>
      <c r="O10" s="5" t="str">
        <f t="shared" si="0"/>
        <v>Excellent</v>
      </c>
    </row>
    <row r="11" spans="1:15" x14ac:dyDescent="0.25">
      <c r="A11" s="4" t="s">
        <v>70</v>
      </c>
      <c r="B11" s="4" t="s">
        <v>73</v>
      </c>
      <c r="C11" s="4" t="s">
        <v>74</v>
      </c>
      <c r="D11" s="8">
        <f>IFERROR(AVERAGE(INPUT_A_TO_C!M$4:M$33),"")</f>
        <v>0.99375000000000002</v>
      </c>
      <c r="E11" s="8" t="str">
        <f>IFERROR(_xlfn.STDEV.S(INPUT_A_TO_C!M4:M33),"")</f>
        <v/>
      </c>
      <c r="F11" s="8">
        <f>IFERROR(MIN(INPUT_A_TO_C!M$4:M$33),"")</f>
        <v>0.99375000000000002</v>
      </c>
      <c r="G11" s="17">
        <f>IFERROR(MAX(INPUT_A_TO_C!M$4:M$33),"")</f>
        <v>0.99375000000000002</v>
      </c>
      <c r="H11" s="4" t="s">
        <v>56</v>
      </c>
      <c r="I11" s="4" t="s">
        <v>57</v>
      </c>
      <c r="J11" s="4">
        <f>THRESHOLDS_WEIGHTS!F11</f>
        <v>0.5</v>
      </c>
      <c r="K11" s="4">
        <f>THRESHOLDS_WEIGHTS!G11</f>
        <v>0.6</v>
      </c>
      <c r="L11" s="4">
        <f>THRESHOLDS_WEIGHTS!H11</f>
        <v>0.8</v>
      </c>
      <c r="M11" s="4">
        <f>THRESHOLDS_WEIGHTS!I11</f>
        <v>1</v>
      </c>
      <c r="N11" s="11">
        <f t="shared" si="1"/>
        <v>0.9921875</v>
      </c>
      <c r="O11" s="5" t="str">
        <f t="shared" si="0"/>
        <v>Excellent</v>
      </c>
    </row>
    <row r="12" spans="1:15" x14ac:dyDescent="0.25">
      <c r="A12" s="4" t="s">
        <v>70</v>
      </c>
      <c r="B12" s="4" t="s">
        <v>75</v>
      </c>
      <c r="C12" s="4" t="s">
        <v>76</v>
      </c>
      <c r="D12" s="8">
        <f>IFERROR(AVERAGE(INPUT_A_TO_C!N$4:N$33),"")</f>
        <v>0.99375000000000002</v>
      </c>
      <c r="E12" s="8" t="str">
        <f>IFERROR(_xlfn.STDEV.S(INPUT_A_TO_C!O$4:O$33),"")</f>
        <v/>
      </c>
      <c r="F12" s="8">
        <f>IFERROR(MIN(INPUT_A_TO_C!N$4:N$33),"")</f>
        <v>0.99375000000000002</v>
      </c>
      <c r="G12" s="17">
        <f>IFERROR(MAX(INPUT_A_TO_C!N$4:N$33),"")</f>
        <v>0.99375000000000002</v>
      </c>
      <c r="H12" s="4" t="s">
        <v>56</v>
      </c>
      <c r="I12" s="4" t="s">
        <v>57</v>
      </c>
      <c r="J12" s="4">
        <f>THRESHOLDS_WEIGHTS!F12</f>
        <v>0.7</v>
      </c>
      <c r="K12" s="4">
        <f>THRESHOLDS_WEIGHTS!G12</f>
        <v>0.75</v>
      </c>
      <c r="L12" s="4">
        <f>THRESHOLDS_WEIGHTS!H12</f>
        <v>0.8</v>
      </c>
      <c r="M12" s="4">
        <f>THRESHOLDS_WEIGHTS!I12</f>
        <v>1</v>
      </c>
      <c r="N12" s="11">
        <f>IFERROR(IF($I12="Positive",IF($D12&lt;$J12,0,IF($D12&lt;$K12,0.25+0.25*($D12-$J12)/($K12-$J12),IF($D12&lt;$L12,0.5+0.25*($D12-$K12)/($L12-$K12),IF($D12&lt;$M12,0.75+0.25*($D12-$L12)/($M12-$L12),1)))),IF($D12&gt;$J12,0,IF($D12&gt;$K12,0.25+0.25*($J12-$D12)/($J12-$K12),IF($D12&gt;$L12,0.5+0.25*($K12-$D12)/($K12-$L12),IF($D12&gt;$M12,0.75+0.25*($L12-$D12)/($L12-$M12),1))))),"")</f>
        <v>0.9921875</v>
      </c>
      <c r="O12" s="5" t="str">
        <f t="shared" si="0"/>
        <v>Excellent</v>
      </c>
    </row>
    <row r="13" spans="1:15" x14ac:dyDescent="0.25">
      <c r="A13" s="4" t="s">
        <v>70</v>
      </c>
      <c r="B13" s="4" t="s">
        <v>77</v>
      </c>
      <c r="C13" s="4" t="s">
        <v>78</v>
      </c>
      <c r="D13" s="8">
        <f>IFERROR(AVERAGE(INPUT_A_TO_C!O$4:O$33),"")</f>
        <v>0.99375000000000002</v>
      </c>
      <c r="E13" s="8" t="str">
        <f>IFERROR(_xlfn.STDEV.S(INPUT_A_TO_C!P$4:P$33),"")</f>
        <v/>
      </c>
      <c r="F13" s="8">
        <f>IFERROR(MIN(INPUT_A_TO_C!O$4:O$33),"")</f>
        <v>0.99375000000000002</v>
      </c>
      <c r="G13" s="17">
        <f>IFERROR(MAX(INPUT_A_TO_C!O$4:O$33),"")</f>
        <v>0.99375000000000002</v>
      </c>
      <c r="H13" s="4" t="s">
        <v>56</v>
      </c>
      <c r="I13" s="4" t="s">
        <v>57</v>
      </c>
      <c r="J13" s="4">
        <f>THRESHOLDS_WEIGHTS!F13</f>
        <v>0.25</v>
      </c>
      <c r="K13" s="4">
        <f>THRESHOLDS_WEIGHTS!G13</f>
        <v>0.5</v>
      </c>
      <c r="L13" s="4">
        <f>THRESHOLDS_WEIGHTS!H13</f>
        <v>0.75</v>
      </c>
      <c r="M13" s="4">
        <f>THRESHOLDS_WEIGHTS!I13</f>
        <v>1</v>
      </c>
      <c r="N13" s="11">
        <f>IFERROR(IF($I13="Positive",IF($D13&lt;$J13,0,IF($D13&lt;$K13,0.25+0.25*($D13-$J13)/($K13-$J13),IF($D13&lt;$L13,0.5+0.25*($D13-$K13)/($L13-$K13),IF($D13&lt;$M13,0.75+0.25*($D13-$L13)/($M13-$L13),1)))),IF($D13&gt;$J13,0,IF($D13&gt;$K13,0.25+0.25*($J13-$D13)/($J13-$K13),IF($D13&gt;$L13,0.5+0.25*($K13-$D13)/($K13-$L13),IF($D13&gt;$M13,0.75+0.25*($L13-$D13)/($L13-$M13),1))))),"")</f>
        <v>0.99375000000000002</v>
      </c>
      <c r="O13" s="5" t="str">
        <f t="shared" si="0"/>
        <v>Excellent</v>
      </c>
    </row>
    <row r="14" spans="1:15" x14ac:dyDescent="0.25">
      <c r="A14" s="4" t="s">
        <v>70</v>
      </c>
      <c r="B14" s="4" t="s">
        <v>79</v>
      </c>
      <c r="C14" s="4" t="s">
        <v>80</v>
      </c>
      <c r="D14" s="8">
        <f>IFERROR(AVERAGE(INPUT_A_TO_C!P$4:P$33),"")</f>
        <v>0.99375000000000002</v>
      </c>
      <c r="E14" s="16" t="str">
        <f>IFERROR(_xlfn.STDEV.S(INPUT_A_TO_C!Q$4:Q$33),"")</f>
        <v/>
      </c>
      <c r="F14" s="8">
        <f>IFERROR(MIN(INPUT_A_TO_C!P$4:P$33),"")</f>
        <v>0.99375000000000002</v>
      </c>
      <c r="G14" s="17">
        <f>IFERROR(MAX(INPUT_A_TO_C!P$4:P$33),"")</f>
        <v>0.99375000000000002</v>
      </c>
      <c r="H14" s="4" t="s">
        <v>56</v>
      </c>
      <c r="I14" s="4" t="s">
        <v>63</v>
      </c>
      <c r="J14" s="4">
        <f>THRESHOLDS_WEIGHTS!F14</f>
        <v>0.3</v>
      </c>
      <c r="K14" s="4">
        <f>THRESHOLDS_WEIGHTS!G14</f>
        <v>0.1</v>
      </c>
      <c r="L14" s="4">
        <f>THRESHOLDS_WEIGHTS!H14</f>
        <v>0.01</v>
      </c>
      <c r="M14" s="4">
        <f>THRESHOLDS_WEIGHTS!I14</f>
        <v>0</v>
      </c>
      <c r="N14" s="11">
        <f t="shared" si="1"/>
        <v>0</v>
      </c>
      <c r="O14" s="5" t="str">
        <f t="shared" si="0"/>
        <v>Low</v>
      </c>
    </row>
    <row r="15" spans="1:15" x14ac:dyDescent="0.25">
      <c r="A15" s="4" t="s">
        <v>81</v>
      </c>
      <c r="B15" s="4" t="s">
        <v>82</v>
      </c>
      <c r="C15" s="4" t="s">
        <v>83</v>
      </c>
      <c r="D15" s="8">
        <f>IFERROR(AVERAGE(INPUT_A_TO_C!T$4:T$33),"")</f>
        <v>0.9819737926182841</v>
      </c>
      <c r="E15" s="4">
        <f>IFERROR(_xlfn.STDEV.S(INPUT_A_TO_C!T$4:T$33),"")</f>
        <v>8.3551851027617065E-3</v>
      </c>
      <c r="F15" s="10">
        <f>IFERROR(MIN(INPUT_A_TO_C!T$4:T$33),"")</f>
        <v>0.97490920096852296</v>
      </c>
      <c r="G15" s="8">
        <f>IFERROR(MAX(INPUT_A_TO_C!T$4:T$33),"")</f>
        <v>0.99202027027027029</v>
      </c>
      <c r="H15" s="4" t="s">
        <v>56</v>
      </c>
      <c r="I15" s="4" t="s">
        <v>57</v>
      </c>
      <c r="J15" s="4">
        <f>THRESHOLDS_WEIGHTS!F15</f>
        <v>0.5</v>
      </c>
      <c r="K15" s="4">
        <f>THRESHOLDS_WEIGHTS!G15</f>
        <v>0.75</v>
      </c>
      <c r="L15" s="4">
        <f>THRESHOLDS_WEIGHTS!H15</f>
        <v>0.85</v>
      </c>
      <c r="M15" s="4">
        <f>THRESHOLDS_WEIGHTS!I15</f>
        <v>1</v>
      </c>
      <c r="N15" s="11">
        <f t="shared" si="1"/>
        <v>0.96995632103047347</v>
      </c>
      <c r="O15" s="5" t="str">
        <f t="shared" si="0"/>
        <v>Excellent</v>
      </c>
    </row>
    <row r="16" spans="1:15" x14ac:dyDescent="0.25">
      <c r="A16" s="4" t="s">
        <v>81</v>
      </c>
      <c r="B16" s="4" t="s">
        <v>84</v>
      </c>
      <c r="C16" s="4" t="s">
        <v>85</v>
      </c>
      <c r="D16" s="8">
        <f>IFERROR(AVERAGE(INPUT_A_TO_C!U$4:U$33),"")</f>
        <v>0.94655854430379738</v>
      </c>
      <c r="E16" s="4">
        <f>IFERROR(_xlfn.STDEV.S(INPUT_A_TO_C!U$4:U$33),"")</f>
        <v>1.9083553715724143E-2</v>
      </c>
      <c r="F16" s="10">
        <f>IFERROR(MIN(INPUT_A_TO_C!U$4:U$33),"")</f>
        <v>0.91666666666666663</v>
      </c>
      <c r="G16" s="8">
        <f>IFERROR(MAX(INPUT_A_TO_C!U$4:U$33),"")</f>
        <v>0.96202531645569622</v>
      </c>
      <c r="H16" s="4" t="s">
        <v>56</v>
      </c>
      <c r="I16" s="4" t="s">
        <v>57</v>
      </c>
      <c r="J16" s="4">
        <f>THRESHOLDS_WEIGHTS!F16</f>
        <v>0.5</v>
      </c>
      <c r="K16" s="4">
        <f>THRESHOLDS_WEIGHTS!G16</f>
        <v>0.75</v>
      </c>
      <c r="L16" s="4">
        <f>THRESHOLDS_WEIGHTS!H16</f>
        <v>0.85</v>
      </c>
      <c r="M16" s="4">
        <f>THRESHOLDS_WEIGHTS!I16</f>
        <v>1</v>
      </c>
      <c r="N16" s="11">
        <f t="shared" si="1"/>
        <v>0.91093090717299563</v>
      </c>
      <c r="O16" s="5" t="str">
        <f t="shared" si="0"/>
        <v>Excellent</v>
      </c>
    </row>
    <row r="17" spans="1:15" x14ac:dyDescent="0.25">
      <c r="A17" s="4" t="s">
        <v>81</v>
      </c>
      <c r="B17" s="4" t="s">
        <v>86</v>
      </c>
      <c r="C17" s="4" t="s">
        <v>87</v>
      </c>
      <c r="D17" s="8">
        <f>IFERROR(AVERAGE(INPUT_A_TO_C!V$4:V$33),"")</f>
        <v>0.39790148373247947</v>
      </c>
      <c r="E17" s="4">
        <f>IFERROR(_xlfn.STDEV.S(INPUT_A_TO_C!V$4:V$33),"")</f>
        <v>0.29271271890708017</v>
      </c>
      <c r="F17" s="10">
        <f>IFERROR(MIN(INPUT_A_TO_C!V$4:V$33),"")</f>
        <v>5.5840732762524957E-2</v>
      </c>
      <c r="G17" s="8">
        <f>IFERROR(MAX(INPUT_A_TO_C!V$4:V$33),"")</f>
        <v>0.648332470898067</v>
      </c>
      <c r="H17" s="4" t="s">
        <v>56</v>
      </c>
      <c r="I17" s="4" t="s">
        <v>63</v>
      </c>
      <c r="J17" s="4">
        <f>THRESHOLDS_WEIGHTS!F17</f>
        <v>1</v>
      </c>
      <c r="K17" s="4">
        <f>THRESHOLDS_WEIGHTS!G17</f>
        <v>0.5</v>
      </c>
      <c r="L17" s="4">
        <f>THRESHOLDS_WEIGHTS!H17</f>
        <v>0.3</v>
      </c>
      <c r="M17" s="4">
        <f>THRESHOLDS_WEIGHTS!I17</f>
        <v>0.05</v>
      </c>
      <c r="N17" s="11">
        <f t="shared" si="1"/>
        <v>0.62762314533440067</v>
      </c>
      <c r="O17" s="5" t="str">
        <f t="shared" si="0"/>
        <v>Good</v>
      </c>
    </row>
    <row r="18" spans="1:15" x14ac:dyDescent="0.25">
      <c r="A18" s="4" t="s">
        <v>81</v>
      </c>
      <c r="B18" s="4" t="s">
        <v>88</v>
      </c>
      <c r="C18" s="4" t="s">
        <v>89</v>
      </c>
      <c r="D18" s="8">
        <f>IFERROR(AVERAGE(INPUT_A_TO_C!W$4:W$33),"")</f>
        <v>0.3442534490523983</v>
      </c>
      <c r="E18" s="4">
        <f>IFERROR(_xlfn.STDEV.S(INPUT_A_TO_C!W$4:W$33),"")</f>
        <v>0.20137343109998032</v>
      </c>
      <c r="F18" s="10">
        <f>IFERROR(MIN(INPUT_A_TO_C!W$4:W$33),"")</f>
        <v>0.10650384456983088</v>
      </c>
      <c r="G18" s="8">
        <f>IFERROR(MAX(INPUT_A_TO_C!W$4:W$33),"")</f>
        <v>0.50104233997860215</v>
      </c>
      <c r="H18" s="4" t="s">
        <v>56</v>
      </c>
      <c r="I18" s="4" t="s">
        <v>63</v>
      </c>
      <c r="J18" s="4">
        <f>THRESHOLDS_WEIGHTS!F18</f>
        <v>1</v>
      </c>
      <c r="K18" s="4">
        <f>THRESHOLDS_WEIGHTS!G18</f>
        <v>0.5</v>
      </c>
      <c r="L18" s="4">
        <f>THRESHOLDS_WEIGHTS!H18</f>
        <v>0.3</v>
      </c>
      <c r="M18" s="4">
        <f>THRESHOLDS_WEIGHTS!I18</f>
        <v>0.05</v>
      </c>
      <c r="N18" s="11">
        <f t="shared" si="1"/>
        <v>0.69468318868450218</v>
      </c>
      <c r="O18" s="5" t="str">
        <f t="shared" si="0"/>
        <v>Good</v>
      </c>
    </row>
    <row r="19" spans="1:15" x14ac:dyDescent="0.25">
      <c r="A19" s="4" t="s">
        <v>81</v>
      </c>
      <c r="B19" s="4" t="s">
        <v>90</v>
      </c>
      <c r="C19" s="4" t="s">
        <v>91</v>
      </c>
      <c r="D19" s="8">
        <f>IFERROR(AVERAGE(INPUT_A_TO_C!X$4:X$33),"")</f>
        <v>0.43260758789703413</v>
      </c>
      <c r="E19" s="4">
        <f>IFERROR(_xlfn.STDEV.S(INPUT_A_TO_C!X$4:X$33),"")</f>
        <v>0.15740556717687462</v>
      </c>
      <c r="F19" s="10">
        <f>IFERROR(MIN(INPUT_A_TO_C!X$4:X$33),"")</f>
        <v>0.23593792807775574</v>
      </c>
      <c r="G19" s="8">
        <f>IFERROR(MAX(INPUT_A_TO_C!X$4:X$33),"")</f>
        <v>0.55690083336291918</v>
      </c>
      <c r="H19" s="4" t="s">
        <v>56</v>
      </c>
      <c r="I19" s="4" t="s">
        <v>63</v>
      </c>
      <c r="J19" s="4">
        <f>THRESHOLDS_WEIGHTS!F19</f>
        <v>1</v>
      </c>
      <c r="K19" s="4">
        <f>THRESHOLDS_WEIGHTS!G19</f>
        <v>0.5</v>
      </c>
      <c r="L19" s="4">
        <f>THRESHOLDS_WEIGHTS!H19</f>
        <v>0.3</v>
      </c>
      <c r="M19" s="4">
        <f>THRESHOLDS_WEIGHTS!I19</f>
        <v>0.05</v>
      </c>
      <c r="N19" s="11">
        <f t="shared" si="1"/>
        <v>0.58424051512870734</v>
      </c>
      <c r="O19" s="5" t="str">
        <f t="shared" si="0"/>
        <v>Good</v>
      </c>
    </row>
    <row r="20" spans="1:15" x14ac:dyDescent="0.25">
      <c r="A20" s="4" t="s">
        <v>92</v>
      </c>
      <c r="B20" s="4" t="s">
        <v>93</v>
      </c>
      <c r="C20" s="4" t="s">
        <v>94</v>
      </c>
      <c r="D20" s="8">
        <f>IFERROR(AVERAGE(INPUT_D_E!B$4:B$33),"")</f>
        <v>833.41652678079788</v>
      </c>
      <c r="E20" s="4">
        <f>IFERROR(_xlfn.STDEV.S(INPUT_D_E!B$4:B$33),"")</f>
        <v>455.96295324222058</v>
      </c>
      <c r="F20" s="10">
        <f>IFERROR(MIN(INPUT_D_E!B$4:B$33),"")</f>
        <v>0</v>
      </c>
      <c r="G20" s="8">
        <f>IFERROR(MAX(INPUT_D_E!B$4:B$33),"")</f>
        <v>1171.7135443582608</v>
      </c>
      <c r="H20" s="4" t="s">
        <v>95</v>
      </c>
      <c r="I20" s="4" t="s">
        <v>63</v>
      </c>
      <c r="J20" s="4">
        <f>THRESHOLDS_WEIGHTS!F20</f>
        <v>2000</v>
      </c>
      <c r="K20" s="4">
        <f>THRESHOLDS_WEIGHTS!G20</f>
        <v>1500</v>
      </c>
      <c r="L20" s="4">
        <f>THRESHOLDS_WEIGHTS!H20</f>
        <v>1000</v>
      </c>
      <c r="M20" s="4">
        <f>THRESHOLDS_WEIGHTS!I20</f>
        <v>500</v>
      </c>
      <c r="N20" s="11">
        <f t="shared" si="1"/>
        <v>0.8332917366096011</v>
      </c>
      <c r="O20" s="5" t="str">
        <f t="shared" si="0"/>
        <v>Excellent</v>
      </c>
    </row>
    <row r="21" spans="1:15" x14ac:dyDescent="0.25">
      <c r="A21" s="4" t="s">
        <v>92</v>
      </c>
      <c r="B21" s="4" t="s">
        <v>96</v>
      </c>
      <c r="C21" s="4" t="s">
        <v>97</v>
      </c>
      <c r="D21" s="8">
        <f>IFERROR(AVERAGE(INPUT_D_E!C$4:C$33),"")</f>
        <v>0.18368460300296724</v>
      </c>
      <c r="E21" s="4">
        <f>IFERROR(_xlfn.STDEV.S(INPUT_D_E!C$4:C$33),"")</f>
        <v>9.969008347620352E-2</v>
      </c>
      <c r="F21" s="10">
        <f>IFERROR(MIN(INPUT_D_E!C$4:C$33),"")</f>
        <v>0</v>
      </c>
      <c r="G21" s="8">
        <f>IFERROR(MAX(INPUT_D_E!C$4:C$33),"")</f>
        <v>0.25221274244667352</v>
      </c>
      <c r="H21" s="4" t="s">
        <v>98</v>
      </c>
      <c r="I21" s="4" t="s">
        <v>63</v>
      </c>
      <c r="J21" s="4">
        <f>THRESHOLDS_WEIGHTS!F21</f>
        <v>0.4</v>
      </c>
      <c r="K21" s="4">
        <f>THRESHOLDS_WEIGHTS!G21</f>
        <v>0.3</v>
      </c>
      <c r="L21" s="4">
        <f>THRESHOLDS_WEIGHTS!H21</f>
        <v>0.2</v>
      </c>
      <c r="M21" s="4">
        <f>THRESHOLDS_WEIGHTS!I21</f>
        <v>0.1</v>
      </c>
      <c r="N21" s="11">
        <f t="shared" si="1"/>
        <v>0.79078849249258187</v>
      </c>
      <c r="O21" s="5" t="str">
        <f t="shared" si="0"/>
        <v>Excellent</v>
      </c>
    </row>
    <row r="22" spans="1:15" x14ac:dyDescent="0.25">
      <c r="A22" s="4" t="s">
        <v>92</v>
      </c>
      <c r="B22" s="4" t="s">
        <v>99</v>
      </c>
      <c r="C22" s="4" t="s">
        <v>100</v>
      </c>
      <c r="D22" s="8">
        <f>IFERROR(AVERAGE(INPUT_D_E!D$4:D$33),"")</f>
        <v>0.17270026374338979</v>
      </c>
      <c r="E22" s="4">
        <f>IFERROR(_xlfn.STDEV.S(INPUT_D_E!D$4:D$33),"")</f>
        <v>9.372861648432658E-2</v>
      </c>
      <c r="F22" s="10">
        <f>IFERROR(MIN(INPUT_D_E!D$4:D$33),"")</f>
        <v>0</v>
      </c>
      <c r="G22" s="8">
        <f>IFERROR(MAX(INPUT_D_E!D$4:D$33),"")</f>
        <v>0.23713042044836244</v>
      </c>
      <c r="H22" s="4" t="s">
        <v>98</v>
      </c>
      <c r="I22" s="4" t="s">
        <v>63</v>
      </c>
      <c r="J22" s="4">
        <f>THRESHOLDS_WEIGHTS!F22</f>
        <v>0.35</v>
      </c>
      <c r="K22" s="4">
        <f>THRESHOLDS_WEIGHTS!G22</f>
        <v>0.25</v>
      </c>
      <c r="L22" s="4">
        <f>THRESHOLDS_WEIGHTS!H22</f>
        <v>0.15</v>
      </c>
      <c r="M22" s="4">
        <f>THRESHOLDS_WEIGHTS!I22</f>
        <v>0.1</v>
      </c>
      <c r="N22" s="11">
        <f t="shared" si="1"/>
        <v>0.69324934064152555</v>
      </c>
      <c r="O22" s="5" t="str">
        <f t="shared" si="0"/>
        <v>Good</v>
      </c>
    </row>
    <row r="23" spans="1:15" x14ac:dyDescent="0.25">
      <c r="A23" s="4" t="s">
        <v>92</v>
      </c>
      <c r="B23" s="4" t="s">
        <v>101</v>
      </c>
      <c r="C23" s="4" t="s">
        <v>102</v>
      </c>
      <c r="D23" s="8">
        <f>IFERROR(AVERAGE(INPUT_D_E!E$4:E$33),"")</f>
        <v>125.02781052037633</v>
      </c>
      <c r="E23" s="4">
        <f>IFERROR(_xlfn.STDEV.S(INPUT_D_E!E$4:E$33),"")</f>
        <v>22.268377374482522</v>
      </c>
      <c r="F23" s="10">
        <f>IFERROR(MIN(INPUT_D_E!E$4:E$33),"")</f>
        <v>77.248966977154453</v>
      </c>
      <c r="G23" s="8">
        <f>IFERROR(MAX(INPUT_D_E!E$4:E$33),"")</f>
        <v>151.33049327935572</v>
      </c>
      <c r="H23" s="4" t="s">
        <v>103</v>
      </c>
      <c r="I23" s="4" t="s">
        <v>63</v>
      </c>
      <c r="J23" s="4">
        <f>THRESHOLDS_WEIGHTS!F23</f>
        <v>200</v>
      </c>
      <c r="K23" s="4">
        <f>THRESHOLDS_WEIGHTS!G23</f>
        <v>150</v>
      </c>
      <c r="L23" s="4">
        <f>THRESHOLDS_WEIGHTS!H23</f>
        <v>100</v>
      </c>
      <c r="M23" s="4">
        <f>THRESHOLDS_WEIGHTS!I23</f>
        <v>50</v>
      </c>
      <c r="N23" s="11">
        <f t="shared" si="1"/>
        <v>0.62486094739811837</v>
      </c>
      <c r="O23" s="5" t="str">
        <f t="shared" si="0"/>
        <v>Good</v>
      </c>
    </row>
    <row r="24" spans="1:15" x14ac:dyDescent="0.25">
      <c r="A24" s="4" t="s">
        <v>92</v>
      </c>
      <c r="B24" s="4" t="s">
        <v>104</v>
      </c>
      <c r="C24" s="4" t="s">
        <v>105</v>
      </c>
      <c r="D24" s="8">
        <f>IFERROR(AVERAGE(INPUT_D_E!F$4:F$33),"")</f>
        <v>2.7269710024471028E-2</v>
      </c>
      <c r="E24" s="4">
        <f>IFERROR(_xlfn.STDEV.S(INPUT_D_E!F$4:F$33),"")</f>
        <v>4.5445211222062383E-3</v>
      </c>
      <c r="F24" s="10">
        <f>IFERROR(MIN(INPUT_D_E!F$4:F$33),"")</f>
        <v>1.7391185875650333E-2</v>
      </c>
      <c r="G24" s="8">
        <f>IFERROR(MAX(INPUT_D_E!F$4:F$33),"")</f>
        <v>3.50422981479123E-2</v>
      </c>
      <c r="H24" s="4" t="s">
        <v>106</v>
      </c>
      <c r="I24" s="4" t="s">
        <v>63</v>
      </c>
      <c r="J24" s="4">
        <f>THRESHOLDS_WEIGHTS!F24</f>
        <v>0.06</v>
      </c>
      <c r="K24" s="4">
        <f>THRESHOLDS_WEIGHTS!G24</f>
        <v>0.04</v>
      </c>
      <c r="L24" s="4">
        <f>THRESHOLDS_WEIGHTS!H24</f>
        <v>0.02</v>
      </c>
      <c r="M24" s="4">
        <f>THRESHOLDS_WEIGHTS!I24</f>
        <v>0.01</v>
      </c>
      <c r="N24" s="11">
        <f t="shared" si="1"/>
        <v>0.65912862469411215</v>
      </c>
      <c r="O24" s="5" t="str">
        <f t="shared" si="0"/>
        <v>Good</v>
      </c>
    </row>
    <row r="25" spans="1:15" x14ac:dyDescent="0.25">
      <c r="A25" s="4" t="s">
        <v>92</v>
      </c>
      <c r="B25" s="4" t="s">
        <v>107</v>
      </c>
      <c r="C25" s="4" t="s">
        <v>108</v>
      </c>
      <c r="D25" s="8">
        <f>IFERROR(AVERAGE(INPUT_D_E!G$4:G$33),"")</f>
        <v>2.5638981365007658E-2</v>
      </c>
      <c r="E25" s="4">
        <f>IFERROR(_xlfn.STDEV.S(INPUT_D_E!G$4:G$33),"")</f>
        <v>4.2727587590983057E-3</v>
      </c>
      <c r="F25" s="10">
        <f>IFERROR(MIN(INPUT_D_E!G$4:G$33),"")</f>
        <v>1.6351192960286445E-2</v>
      </c>
      <c r="G25" s="8">
        <f>IFERROR(MAX(INPUT_D_E!G$4:G$33),"")</f>
        <v>3.2946768718667148E-2</v>
      </c>
      <c r="H25" s="4" t="s">
        <v>106</v>
      </c>
      <c r="I25" s="4" t="s">
        <v>63</v>
      </c>
      <c r="J25" s="4">
        <f>THRESHOLDS_WEIGHTS!F25</f>
        <v>0.06</v>
      </c>
      <c r="K25" s="4">
        <f>THRESHOLDS_WEIGHTS!G25</f>
        <v>0.04</v>
      </c>
      <c r="L25" s="4">
        <f>THRESHOLDS_WEIGHTS!H25</f>
        <v>0.02</v>
      </c>
      <c r="M25" s="4">
        <f>THRESHOLDS_WEIGHTS!I25</f>
        <v>0.01</v>
      </c>
      <c r="N25" s="11">
        <f t="shared" si="1"/>
        <v>0.67951273293740422</v>
      </c>
      <c r="O25" s="5" t="str">
        <f t="shared" si="0"/>
        <v>Good</v>
      </c>
    </row>
    <row r="26" spans="1:15" x14ac:dyDescent="0.25">
      <c r="A26" s="4" t="s">
        <v>92</v>
      </c>
      <c r="B26" s="4" t="s">
        <v>109</v>
      </c>
      <c r="C26" s="4" t="s">
        <v>110</v>
      </c>
      <c r="D26" s="8">
        <f>[4]SD_SE_CALC_INDICATORS!AF13</f>
        <v>9.2583037616575589E-2</v>
      </c>
      <c r="E26" s="4">
        <f>IFERROR(_xlfn.STDEV.S(INPUT_D_E!H$4:H$33),"")</f>
        <v>3.2733046860764906E-2</v>
      </c>
      <c r="F26" s="10">
        <f>IFERROR(MIN(INPUT_D_E!H$4:H$33),"")</f>
        <v>0</v>
      </c>
      <c r="G26" s="10">
        <f>IFERROR(MAX(INPUT_D_E!H$4:H$33),"")</f>
        <v>9.2583037616575589E-2</v>
      </c>
      <c r="H26" s="4" t="s">
        <v>56</v>
      </c>
      <c r="I26" s="4" t="s">
        <v>57</v>
      </c>
      <c r="J26" s="4">
        <f>THRESHOLDS_WEIGHTS!F26</f>
        <v>0.05</v>
      </c>
      <c r="K26" s="4">
        <f>THRESHOLDS_WEIGHTS!G26</f>
        <v>0.1</v>
      </c>
      <c r="L26" s="4">
        <f>THRESHOLDS_WEIGHTS!H26</f>
        <v>0.2</v>
      </c>
      <c r="M26" s="4">
        <f>THRESHOLDS_WEIGHTS!I26</f>
        <v>0.4</v>
      </c>
      <c r="N26" s="14">
        <f>IFERROR(IF($I26="Positive",IF($D26&lt;$J26,0,IF($D26&lt;$K26,0.25+0.25*($D26-$J26)/($K26-$J26),IF($D26&lt;$L26,0.5+0.25*($D26-$K26)/($L26-$K26),IF($D26&lt;$M26,0.75+0.25*($D26-$L26)/($M26-$L26),1)))),IF($D26&gt;$J26,0,IF($D26&gt;$K26,0.25+0.25*($J26-$D26)/($J26-$K26),IF($D26&gt;$L26,0.5+0.25*($K26-$D26)/($K26-$L26),IF($D26&gt;$M26,0.75+0.25*($L26-$D26)/($L26-$M26),1))))),"")</f>
        <v>0.4629151880828779</v>
      </c>
      <c r="O26" s="5" t="str">
        <f t="shared" si="0"/>
        <v>Moderate</v>
      </c>
    </row>
    <row r="27" spans="1:15" x14ac:dyDescent="0.25">
      <c r="A27" s="4" t="s">
        <v>92</v>
      </c>
      <c r="B27" s="4" t="s">
        <v>111</v>
      </c>
      <c r="C27" s="4" t="s">
        <v>112</v>
      </c>
      <c r="D27" s="8">
        <f>IFERROR(AVERAGE(INPUT_D_E!I$4:I$33),"")</f>
        <v>0.80611897953339418</v>
      </c>
      <c r="E27" s="4">
        <f>IFERROR(_xlfn.STDEV.S(INPUT_D_E!I$4:I$33),"")</f>
        <v>0.12028453755358219</v>
      </c>
      <c r="F27" s="10">
        <f>IFERROR(MIN(INPUT_D_E!I$4:I$33),"")</f>
        <v>0.54761904761904767</v>
      </c>
      <c r="G27" s="8">
        <f>IFERROR(MAX(INPUT_D_E!I$4:I$33),"")</f>
        <v>0.94756554307116103</v>
      </c>
      <c r="H27" s="4" t="s">
        <v>56</v>
      </c>
      <c r="I27" s="4" t="s">
        <v>57</v>
      </c>
      <c r="J27" s="4">
        <f>THRESHOLDS_WEIGHTS!F27</f>
        <v>0</v>
      </c>
      <c r="K27" s="4">
        <f>THRESHOLDS_WEIGHTS!G27</f>
        <v>0.25</v>
      </c>
      <c r="L27" s="4">
        <f>THRESHOLDS_WEIGHTS!H27</f>
        <v>0.5</v>
      </c>
      <c r="M27" s="4">
        <f>THRESHOLDS_WEIGHTS!I27</f>
        <v>1</v>
      </c>
      <c r="N27" s="11">
        <f t="shared" si="1"/>
        <v>0.90305948976669703</v>
      </c>
      <c r="O27" s="5" t="str">
        <f t="shared" si="0"/>
        <v>Excellent</v>
      </c>
    </row>
    <row r="28" spans="1:15" x14ac:dyDescent="0.25">
      <c r="A28" s="4" t="s">
        <v>113</v>
      </c>
      <c r="B28" s="4" t="s">
        <v>114</v>
      </c>
      <c r="C28" s="4" t="s">
        <v>115</v>
      </c>
      <c r="D28" s="8">
        <f>IFERROR(AVERAGE(INPUT_D_E!M$4:M$33),"")</f>
        <v>452.76810590153343</v>
      </c>
      <c r="E28" s="4">
        <f>IFERROR(_xlfn.STDEV.S(INPUT_D_E!M$4:M$33),"")</f>
        <v>38.370382555067266</v>
      </c>
      <c r="F28" s="10">
        <f>IFERROR(MIN(INPUT_D_E!M$4:M$33),"")</f>
        <v>400.87365243029393</v>
      </c>
      <c r="G28" s="8">
        <f>IFERROR(MAX(INPUT_D_E!M$4:M$33),"")</f>
        <v>506.22936099883856</v>
      </c>
      <c r="H28" s="4" t="s">
        <v>116</v>
      </c>
      <c r="I28" s="4" t="s">
        <v>63</v>
      </c>
      <c r="J28" s="4">
        <f>THRESHOLDS_WEIGHTS!F28</f>
        <v>600</v>
      </c>
      <c r="K28" s="4">
        <f>THRESHOLDS_WEIGHTS!G28</f>
        <v>500</v>
      </c>
      <c r="L28" s="4">
        <f>THRESHOLDS_WEIGHTS!H28</f>
        <v>400</v>
      </c>
      <c r="M28" s="4">
        <f>THRESHOLDS_WEIGHTS!I28</f>
        <v>300</v>
      </c>
      <c r="N28" s="11">
        <f t="shared" si="1"/>
        <v>0.61807973524616644</v>
      </c>
      <c r="O28" s="5" t="str">
        <f t="shared" si="0"/>
        <v>Good</v>
      </c>
    </row>
    <row r="29" spans="1:15" x14ac:dyDescent="0.25">
      <c r="A29" s="4" t="s">
        <v>113</v>
      </c>
      <c r="B29" s="4" t="s">
        <v>117</v>
      </c>
      <c r="C29" s="4" t="s">
        <v>118</v>
      </c>
      <c r="D29" s="8">
        <f>IFERROR(AVERAGE(INPUT_D_E!N$4:N$33),"")</f>
        <v>0.34659797262552594</v>
      </c>
      <c r="E29" s="4">
        <f>IFERROR(_xlfn.STDEV.S(INPUT_D_E!N$4:N$33),"")</f>
        <v>1.9995666306585367E-2</v>
      </c>
      <c r="F29" s="10">
        <f>IFERROR(MIN(INPUT_D_E!N$4:N$33),"")</f>
        <v>0.31597817268449846</v>
      </c>
      <c r="G29" s="8">
        <f>IFERROR(MAX(INPUT_D_E!N$4:N$33),"")</f>
        <v>0.38707723342781108</v>
      </c>
      <c r="H29" s="4" t="s">
        <v>56</v>
      </c>
      <c r="I29" s="4" t="s">
        <v>63</v>
      </c>
      <c r="J29" s="4">
        <f>THRESHOLDS_WEIGHTS!F29</f>
        <v>0.45</v>
      </c>
      <c r="K29" s="4">
        <f>THRESHOLDS_WEIGHTS!G29</f>
        <v>0.35</v>
      </c>
      <c r="L29" s="4">
        <f>THRESHOLDS_WEIGHTS!H29</f>
        <v>0.25</v>
      </c>
      <c r="M29" s="4">
        <f>THRESHOLDS_WEIGHTS!I29</f>
        <v>0.2</v>
      </c>
      <c r="N29" s="11">
        <f t="shared" si="1"/>
        <v>0.50850506843618515</v>
      </c>
      <c r="O29" s="5" t="str">
        <f t="shared" si="0"/>
        <v>Good</v>
      </c>
    </row>
    <row r="30" spans="1:15" x14ac:dyDescent="0.25">
      <c r="A30" s="4" t="s">
        <v>113</v>
      </c>
      <c r="B30" s="4" t="s">
        <v>119</v>
      </c>
      <c r="C30" s="4" t="s">
        <v>120</v>
      </c>
      <c r="D30" s="8">
        <f>IFERROR(AVERAGE(INPUT_D_E!O$4:O$33),"")</f>
        <v>0.76322927397826212</v>
      </c>
      <c r="E30" s="4">
        <f>IFERROR(_xlfn.STDEV.S(INPUT_D_E!O$4:O$33),"")</f>
        <v>3.8091935871263007E-2</v>
      </c>
      <c r="F30" s="10">
        <f>IFERROR(MIN(INPUT_D_E!O$4:O$33),"")</f>
        <v>0.71248078470569154</v>
      </c>
      <c r="G30" s="8">
        <f>IFERROR(MAX(INPUT_D_E!O$4:O$33),"")</f>
        <v>0.81292855224228133</v>
      </c>
      <c r="H30" s="4" t="s">
        <v>56</v>
      </c>
      <c r="I30" s="4" t="s">
        <v>57</v>
      </c>
      <c r="J30" s="4">
        <f>THRESHOLDS_WEIGHTS!F30</f>
        <v>0.25</v>
      </c>
      <c r="K30" s="4">
        <f>THRESHOLDS_WEIGHTS!G30</f>
        <v>0.5</v>
      </c>
      <c r="L30" s="4">
        <f>THRESHOLDS_WEIGHTS!H30</f>
        <v>0.75</v>
      </c>
      <c r="M30" s="4">
        <f>THRESHOLDS_WEIGHTS!I30</f>
        <v>0.8</v>
      </c>
      <c r="N30" s="11">
        <f t="shared" si="1"/>
        <v>0.81614636989131051</v>
      </c>
      <c r="O30" s="5" t="str">
        <f t="shared" si="0"/>
        <v>Excellent</v>
      </c>
    </row>
    <row r="31" spans="1:15" x14ac:dyDescent="0.25">
      <c r="A31" s="4" t="s">
        <v>113</v>
      </c>
      <c r="B31" s="4" t="s">
        <v>121</v>
      </c>
      <c r="C31" s="4" t="s">
        <v>122</v>
      </c>
      <c r="D31" s="8">
        <f>IFERROR(AVERAGE(INPUT_D_E!P$4:P$33),"")</f>
        <v>1.0071750145918217</v>
      </c>
      <c r="E31" s="4">
        <f>IFERROR(_xlfn.STDEV.S(INPUT_D_E!P$4:P$33),"")</f>
        <v>1.7447528686653301E-2</v>
      </c>
      <c r="F31" s="10">
        <f>IFERROR(MIN(INPUT_D_E!P$4:P$33),"")</f>
        <v>0.98955180552375355</v>
      </c>
      <c r="G31" s="8">
        <f>IFERROR(MAX(INPUT_D_E!P$4:P$33),"")</f>
        <v>1.0469067090437436</v>
      </c>
      <c r="H31" s="4" t="s">
        <v>56</v>
      </c>
      <c r="I31" s="4" t="s">
        <v>63</v>
      </c>
      <c r="J31" s="4">
        <f>THRESHOLDS_WEIGHTS!F31</f>
        <v>1.25</v>
      </c>
      <c r="K31" s="4">
        <f>THRESHOLDS_WEIGHTS!G31</f>
        <v>1.05</v>
      </c>
      <c r="L31" s="4">
        <f>THRESHOLDS_WEIGHTS!H31</f>
        <v>0.75</v>
      </c>
      <c r="M31" s="4">
        <f>THRESHOLDS_WEIGHTS!I31</f>
        <v>0.5</v>
      </c>
      <c r="N31" s="11">
        <f t="shared" si="1"/>
        <v>0.53568748784014864</v>
      </c>
      <c r="O31" s="5" t="str">
        <f t="shared" si="0"/>
        <v>Good</v>
      </c>
    </row>
    <row r="32" spans="1:15" x14ac:dyDescent="0.25">
      <c r="A32" s="4" t="s">
        <v>113</v>
      </c>
      <c r="B32" s="4" t="s">
        <v>123</v>
      </c>
      <c r="C32" s="4" t="s">
        <v>124</v>
      </c>
      <c r="D32" s="8">
        <f>IFERROR(AVERAGE(INPUT_D_E!Q$4:Q$33),"")</f>
        <v>0.56628899075120642</v>
      </c>
      <c r="E32" s="4">
        <f>IFERROR(_xlfn.STDEV.S(INPUT_D_E!Q$4:Q$33),"")</f>
        <v>1.5757632420111699E-2</v>
      </c>
      <c r="F32" s="10">
        <f>IFERROR(MIN(INPUT_D_E!Q$4:Q$33),"")</f>
        <v>0.55066357946839872</v>
      </c>
      <c r="G32" s="8">
        <f>IFERROR(MAX(INPUT_D_E!Q$4:Q$33),"")</f>
        <v>0.59148370128318173</v>
      </c>
      <c r="H32" s="4" t="s">
        <v>56</v>
      </c>
      <c r="I32" s="4" t="s">
        <v>57</v>
      </c>
      <c r="J32" s="4">
        <f>THRESHOLDS_WEIGHTS!F32</f>
        <v>0.25</v>
      </c>
      <c r="K32" s="4">
        <f>THRESHOLDS_WEIGHTS!G32</f>
        <v>0.5</v>
      </c>
      <c r="L32" s="4">
        <f>THRESHOLDS_WEIGHTS!H32</f>
        <v>0.75</v>
      </c>
      <c r="M32" s="4">
        <f>THRESHOLDS_WEIGHTS!I32</f>
        <v>1</v>
      </c>
      <c r="N32" s="11">
        <f t="shared" si="1"/>
        <v>0.56628899075120642</v>
      </c>
      <c r="O32" s="5" t="str">
        <f t="shared" si="0"/>
        <v>Good</v>
      </c>
    </row>
    <row r="33" spans="1:15" x14ac:dyDescent="0.25">
      <c r="A33" s="4" t="s">
        <v>113</v>
      </c>
      <c r="B33" s="4" t="s">
        <v>125</v>
      </c>
      <c r="C33" s="4" t="s">
        <v>126</v>
      </c>
      <c r="D33" s="8">
        <f>IFERROR(AVERAGE(INPUT_D_E!R$4:R$33),"")</f>
        <v>0.54884268983162765</v>
      </c>
      <c r="E33" s="4">
        <f>IFERROR(_xlfn.STDEV.S(INPUT_D_E!R$4:R$33),"")</f>
        <v>9.2998558991533586E-3</v>
      </c>
      <c r="F33" s="10">
        <f>IFERROR(MIN(INPUT_D_E!R$4:R$33),"")</f>
        <v>0.53393449636806356</v>
      </c>
      <c r="G33" s="8">
        <f>IFERROR(MAX(INPUT_D_E!R$4:R$33),"")</f>
        <v>0.56121245187502822</v>
      </c>
      <c r="H33" s="4" t="s">
        <v>56</v>
      </c>
      <c r="I33" s="4" t="s">
        <v>57</v>
      </c>
      <c r="J33" s="4">
        <f>THRESHOLDS_WEIGHTS!F33</f>
        <v>0</v>
      </c>
      <c r="K33" s="4">
        <f>THRESHOLDS_WEIGHTS!G33</f>
        <v>0.2</v>
      </c>
      <c r="L33" s="4">
        <f>THRESHOLDS_WEIGHTS!H33</f>
        <v>0.25</v>
      </c>
      <c r="M33" s="4">
        <f>THRESHOLDS_WEIGHTS!I33</f>
        <v>0.3</v>
      </c>
      <c r="N33" s="11">
        <f>IFERROR(IF($I33="Positive",IF($D33&lt;$J33,0,IF($D33&lt;$K33,0.25+0.25*($D33-$J33)/($K33-$J33),IF($D33&lt;$L33,0.5+0.25*($D33-$K33)/($L33-$K33),IF($D33&lt;$M33,0.75+0.25*($D33-$L33)/($M33-$L33),1)))),IF($D33&gt;$J33,0,IF($D33&gt;$K33,0.25+0.25*($J33-$D33)/($J33-$K33),IF($D33&gt;$L33,0.5+0.25*($K33-$D33)/($K33-$L33),IF($D33&gt;$M33,0.75+0.25*($L33-$D33)/($L33-$M33),1))))),"")</f>
        <v>1</v>
      </c>
      <c r="O33" s="5" t="str">
        <f t="shared" si="0"/>
        <v>Excellent</v>
      </c>
    </row>
    <row r="34" spans="1:15" x14ac:dyDescent="0.25">
      <c r="A34" s="4" t="s">
        <v>113</v>
      </c>
      <c r="B34" s="4" t="s">
        <v>127</v>
      </c>
      <c r="C34" s="4" t="s">
        <v>128</v>
      </c>
      <c r="D34" s="8">
        <f>IFERROR(AVERAGE(INPUT_D_E!S$4:S$33),"")</f>
        <v>0.19744236000046361</v>
      </c>
      <c r="E34" s="4">
        <f>IFERROR(_xlfn.STDEV.S(INPUT_D_E!S$4:S$33),"")</f>
        <v>3.7360338822437326E-2</v>
      </c>
      <c r="F34" s="10">
        <f>IFERROR(MIN(INPUT_D_E!S$4:S$33),"")</f>
        <v>0.12103906004078691</v>
      </c>
      <c r="G34" s="8">
        <f>IFERROR(MAX(INPUT_D_E!S$4:S$33),"")</f>
        <v>0.24275114860722377</v>
      </c>
      <c r="H34" s="4" t="s">
        <v>56</v>
      </c>
      <c r="I34" s="4" t="s">
        <v>63</v>
      </c>
      <c r="J34" s="4">
        <f>THRESHOLDS_WEIGHTS!F34</f>
        <v>0.6</v>
      </c>
      <c r="K34" s="4">
        <f>THRESHOLDS_WEIGHTS!G34</f>
        <v>0.4</v>
      </c>
      <c r="L34" s="4">
        <f>THRESHOLDS_WEIGHTS!H34</f>
        <v>0.3</v>
      </c>
      <c r="M34" s="4">
        <f>THRESHOLDS_WEIGHTS!I34</f>
        <v>0.2</v>
      </c>
      <c r="N34" s="11">
        <f t="shared" si="1"/>
        <v>1</v>
      </c>
      <c r="O34" s="5" t="str">
        <f t="shared" si="0"/>
        <v>Excellent</v>
      </c>
    </row>
    <row r="35" spans="1:15" x14ac:dyDescent="0.25">
      <c r="A35" s="4" t="s">
        <v>113</v>
      </c>
      <c r="B35" s="4" t="s">
        <v>129</v>
      </c>
      <c r="C35" s="4" t="s">
        <v>130</v>
      </c>
      <c r="D35" s="8">
        <f>IFERROR(AVERAGE(INPUT_D_E!T$4:T$33),"")</f>
        <v>79.541354258071351</v>
      </c>
      <c r="E35" s="4">
        <f>IFERROR(_xlfn.STDEV.S(INPUT_D_E!T$4:T$33),"")</f>
        <v>2.5708539026476451</v>
      </c>
      <c r="F35" s="10">
        <f>IFERROR(MIN(INPUT_D_E!T$4:T$33),"")</f>
        <v>76.014548182493527</v>
      </c>
      <c r="G35" s="8">
        <f>IFERROR(MAX(INPUT_D_E!T$4:T$33),"")</f>
        <v>83.676408426611275</v>
      </c>
      <c r="H35" s="4" t="s">
        <v>116</v>
      </c>
      <c r="I35" s="4" t="s">
        <v>57</v>
      </c>
      <c r="J35" s="4">
        <f>THRESHOLDS_WEIGHTS!F35</f>
        <v>40</v>
      </c>
      <c r="K35" s="4">
        <f>THRESHOLDS_WEIGHTS!G35</f>
        <v>60</v>
      </c>
      <c r="L35" s="4">
        <f>THRESHOLDS_WEIGHTS!H35</f>
        <v>80</v>
      </c>
      <c r="M35" s="4">
        <f>THRESHOLDS_WEIGHTS!I35</f>
        <v>100</v>
      </c>
      <c r="N35" s="11">
        <f t="shared" si="1"/>
        <v>0.74426692822589191</v>
      </c>
      <c r="O35" s="5" t="str">
        <f t="shared" si="0"/>
        <v>Good</v>
      </c>
    </row>
    <row r="36" spans="1:15" x14ac:dyDescent="0.25">
      <c r="A36" s="4" t="s">
        <v>113</v>
      </c>
      <c r="B36" s="4" t="s">
        <v>131</v>
      </c>
      <c r="C36" s="4" t="s">
        <v>132</v>
      </c>
      <c r="D36" s="8">
        <f>IFERROR(AVERAGE(INPUT_D_E!U$4:U$33),"")</f>
        <v>0.41686880937942183</v>
      </c>
      <c r="E36" s="4"/>
      <c r="F36" s="10"/>
      <c r="G36" s="8">
        <f>IFERROR(MAX(INPUT_D_E!U$4:U$33),"")</f>
        <v>0.41686880937942189</v>
      </c>
      <c r="H36" s="4" t="s">
        <v>56</v>
      </c>
      <c r="I36" s="4" t="s">
        <v>57</v>
      </c>
      <c r="J36" s="4">
        <f>THRESHOLDS_WEIGHTS!F36</f>
        <v>0.25</v>
      </c>
      <c r="K36" s="4">
        <f>THRESHOLDS_WEIGHTS!G36</f>
        <v>0.5</v>
      </c>
      <c r="L36" s="4">
        <f>THRESHOLDS_WEIGHTS!H36</f>
        <v>0.75</v>
      </c>
      <c r="M36" s="4">
        <f>THRESHOLDS_WEIGHTS!I36</f>
        <v>1</v>
      </c>
      <c r="N36" s="11">
        <f t="shared" si="1"/>
        <v>0.41686880937942183</v>
      </c>
      <c r="O36" s="5" t="str">
        <f t="shared" si="0"/>
        <v>Moderate</v>
      </c>
    </row>
    <row r="37" spans="1:15" x14ac:dyDescent="0.25">
      <c r="A37" s="4" t="s">
        <v>113</v>
      </c>
      <c r="B37" s="4" t="s">
        <v>133</v>
      </c>
      <c r="C37" s="4" t="s">
        <v>134</v>
      </c>
      <c r="D37" s="8">
        <f>IFERROR(AVERAGE(INPUT_D_E!V$4:V$33),"")</f>
        <v>0.9681647521388449</v>
      </c>
      <c r="E37" s="4">
        <f>IFERROR(_xlfn.STDEV.S(INPUT_D_E!V$4:V$33),"")</f>
        <v>3.7419715402603991E-2</v>
      </c>
      <c r="F37" s="10">
        <f>IFERROR(MIN(INPUT_D_E!V$4:V$33),"")</f>
        <v>0.90774403395678427</v>
      </c>
      <c r="G37" s="8">
        <f>IFERROR(MAX(INPUT_D_E!V$4:V$33),"")</f>
        <v>1</v>
      </c>
      <c r="H37" s="4" t="s">
        <v>56</v>
      </c>
      <c r="I37" s="4" t="s">
        <v>57</v>
      </c>
      <c r="J37" s="4">
        <f>THRESHOLDS_WEIGHTS!F37</f>
        <v>0.7</v>
      </c>
      <c r="K37" s="4">
        <f>THRESHOLDS_WEIGHTS!G37</f>
        <v>0.85</v>
      </c>
      <c r="L37" s="4">
        <f>THRESHOLDS_WEIGHTS!H37</f>
        <v>0.95</v>
      </c>
      <c r="M37" s="4">
        <f>THRESHOLDS_WEIGHTS!I37</f>
        <v>1</v>
      </c>
      <c r="N37" s="11">
        <f t="shared" si="1"/>
        <v>0.8408237606942246</v>
      </c>
      <c r="O37" s="5" t="str">
        <f t="shared" si="0"/>
        <v>Excellent</v>
      </c>
    </row>
    <row r="38" spans="1:15" ht="15" customHeight="1" x14ac:dyDescent="0.25">
      <c r="A38" s="4" t="s">
        <v>135</v>
      </c>
      <c r="B38" s="4" t="s">
        <v>136</v>
      </c>
      <c r="C38" s="4" t="s">
        <v>137</v>
      </c>
      <c r="D38" s="8">
        <f>IFERROR(AVERAGEIFS(INPUT_F!$D:$D,INPUT_F!$A:$A,"PAR"),"")</f>
        <v>0.8125</v>
      </c>
      <c r="E38" s="4"/>
      <c r="F38" s="4"/>
      <c r="G38" s="4"/>
      <c r="H38" s="4" t="s">
        <v>56</v>
      </c>
      <c r="I38" s="4" t="s">
        <v>57</v>
      </c>
      <c r="J38" s="4">
        <f>THRESHOLDS_WEIGHTS!F38</f>
        <v>0.25</v>
      </c>
      <c r="K38" s="4">
        <f>THRESHOLDS_WEIGHTS!G38</f>
        <v>0.5</v>
      </c>
      <c r="L38" s="4">
        <f>THRESHOLDS_WEIGHTS!H38</f>
        <v>0.75</v>
      </c>
      <c r="M38" s="4">
        <f>THRESHOLDS_WEIGHTS!I38</f>
        <v>1</v>
      </c>
      <c r="N38" s="11">
        <f t="shared" si="1"/>
        <v>0.8125</v>
      </c>
      <c r="O38" s="5" t="str">
        <f t="shared" si="0"/>
        <v>Excellent</v>
      </c>
    </row>
    <row r="39" spans="1:15" ht="15" customHeight="1" x14ac:dyDescent="0.25">
      <c r="A39" s="4" t="s">
        <v>135</v>
      </c>
      <c r="B39" s="4" t="s">
        <v>138</v>
      </c>
      <c r="C39" s="4" t="s">
        <v>139</v>
      </c>
      <c r="D39" s="8">
        <f>IFERROR(AVERAGEIFS(INPUT_F!$D:$D,INPUT_F!$A:$A,"OMC"),"")</f>
        <v>0.625</v>
      </c>
      <c r="E39" s="4"/>
      <c r="F39" s="4"/>
      <c r="G39" s="4"/>
      <c r="H39" s="4" t="s">
        <v>56</v>
      </c>
      <c r="I39" s="4" t="s">
        <v>57</v>
      </c>
      <c r="J39" s="4">
        <f>THRESHOLDS_WEIGHTS!F39</f>
        <v>0.25</v>
      </c>
      <c r="K39" s="4">
        <f>THRESHOLDS_WEIGHTS!G39</f>
        <v>0.5</v>
      </c>
      <c r="L39" s="4">
        <f>THRESHOLDS_WEIGHTS!H39</f>
        <v>0.75</v>
      </c>
      <c r="M39" s="4">
        <f>THRESHOLDS_WEIGHTS!I39</f>
        <v>1</v>
      </c>
      <c r="N39" s="11">
        <f t="shared" si="1"/>
        <v>0.625</v>
      </c>
      <c r="O39" s="5" t="str">
        <f t="shared" si="0"/>
        <v>Good</v>
      </c>
    </row>
    <row r="40" spans="1:15" ht="15" customHeight="1" x14ac:dyDescent="0.25">
      <c r="A40" s="4" t="s">
        <v>135</v>
      </c>
      <c r="B40" s="4" t="s">
        <v>140</v>
      </c>
      <c r="C40" s="4" t="s">
        <v>141</v>
      </c>
      <c r="D40" s="8">
        <f>IFERROR(AVERAGEIFS(INPUT_F!$D:$D,INPUT_F!$A:$A,"FIM"),"")</f>
        <v>0.5</v>
      </c>
      <c r="E40" s="4"/>
      <c r="F40" s="4"/>
      <c r="G40" s="4"/>
      <c r="H40" s="4" t="s">
        <v>56</v>
      </c>
      <c r="I40" s="4" t="s">
        <v>57</v>
      </c>
      <c r="J40" s="4">
        <f>THRESHOLDS_WEIGHTS!F40</f>
        <v>0.25</v>
      </c>
      <c r="K40" s="4">
        <f>THRESHOLDS_WEIGHTS!G40</f>
        <v>0.5</v>
      </c>
      <c r="L40" s="4">
        <f>THRESHOLDS_WEIGHTS!H40</f>
        <v>0.75</v>
      </c>
      <c r="M40" s="4">
        <f>THRESHOLDS_WEIGHTS!I40</f>
        <v>1</v>
      </c>
      <c r="N40" s="11">
        <f t="shared" si="1"/>
        <v>0.5</v>
      </c>
      <c r="O40" s="5" t="str">
        <f t="shared" si="0"/>
        <v>Good</v>
      </c>
    </row>
    <row r="41" spans="1:15" ht="15" customHeight="1" x14ac:dyDescent="0.25">
      <c r="A41" s="4" t="s">
        <v>135</v>
      </c>
      <c r="B41" s="4" t="s">
        <v>142</v>
      </c>
      <c r="C41" s="4" t="s">
        <v>143</v>
      </c>
      <c r="D41" s="8">
        <f>IFERROR(AVERAGEIFS(INPUT_F!$D:$D,INPUT_F!$A:$A,"PCC"),"")</f>
        <v>0.4375</v>
      </c>
      <c r="E41" s="4"/>
      <c r="F41" s="4"/>
      <c r="G41" s="4"/>
      <c r="H41" s="4" t="s">
        <v>56</v>
      </c>
      <c r="I41" s="4" t="s">
        <v>57</v>
      </c>
      <c r="J41" s="4">
        <f>THRESHOLDS_WEIGHTS!F41</f>
        <v>0.25</v>
      </c>
      <c r="K41" s="4">
        <f>THRESHOLDS_WEIGHTS!G41</f>
        <v>0.5</v>
      </c>
      <c r="L41" s="4">
        <f>THRESHOLDS_WEIGHTS!H41</f>
        <v>0.75</v>
      </c>
      <c r="M41" s="4">
        <f>THRESHOLDS_WEIGHTS!I41</f>
        <v>1</v>
      </c>
      <c r="N41" s="11">
        <f t="shared" si="1"/>
        <v>0.4375</v>
      </c>
      <c r="O41" s="5" t="str">
        <f t="shared" si="0"/>
        <v>Moderate</v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</sheetPr>
  <dimension ref="A1:O46"/>
  <sheetViews>
    <sheetView showGridLines="0" zoomScale="120" zoomScaleNormal="120" workbookViewId="0">
      <pane ySplit="3" topLeftCell="A4" activePane="bottomLeft" state="frozen"/>
      <selection pane="bottomLeft" activeCell="F41" sqref="F41"/>
    </sheetView>
  </sheetViews>
  <sheetFormatPr defaultRowHeight="15" x14ac:dyDescent="0.25"/>
  <cols>
    <col min="1" max="1" width="12" customWidth="1"/>
    <col min="2" max="2" width="48.7109375" customWidth="1"/>
    <col min="3" max="4" width="14" customWidth="1"/>
    <col min="9" max="9" width="14" customWidth="1"/>
    <col min="10" max="11" width="12" customWidth="1"/>
    <col min="12" max="12" width="14" customWidth="1"/>
  </cols>
  <sheetData>
    <row r="1" spans="1:15" ht="27.95" customHeight="1" x14ac:dyDescent="0.25">
      <c r="A1" s="20" t="s">
        <v>210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3" spans="1:15" ht="45" x14ac:dyDescent="0.25">
      <c r="A3" s="6" t="s">
        <v>211</v>
      </c>
      <c r="B3" s="6" t="str">
        <f>J12</f>
        <v>A</v>
      </c>
      <c r="C3" s="6" t="s">
        <v>209</v>
      </c>
      <c r="D3" s="12">
        <f>IFERROR(AVERAGE(C9:C14),"")</f>
        <v>0.68972515146780422</v>
      </c>
    </row>
    <row r="4" spans="1:15" ht="30" x14ac:dyDescent="0.25">
      <c r="A4" s="6" t="s">
        <v>212</v>
      </c>
      <c r="B4" s="6" t="str">
        <f>CONTROL_YEARS!B6&amp;"–"&amp;CONTROL_YEARS!B7</f>
        <v>2016–2025</v>
      </c>
      <c r="C4" s="6" t="s">
        <v>213</v>
      </c>
      <c r="D4" s="6">
        <f>CONTROL_YEARS!B8</f>
        <v>10</v>
      </c>
    </row>
    <row r="5" spans="1:15" x14ac:dyDescent="0.25">
      <c r="A5" s="6" t="s">
        <v>214</v>
      </c>
      <c r="B5" s="6" t="str">
        <f>CONTROL_YEARS!B4</f>
        <v>Minutos Collective Irrigation System</v>
      </c>
      <c r="C5" s="6" t="s">
        <v>215</v>
      </c>
      <c r="D5" s="6" t="str">
        <f>CONTROL_YEARS!B9</f>
        <v>Yes</v>
      </c>
    </row>
    <row r="8" spans="1:15" x14ac:dyDescent="0.25">
      <c r="A8" s="1" t="s">
        <v>43</v>
      </c>
      <c r="B8" s="1" t="s">
        <v>216</v>
      </c>
      <c r="C8" s="1" t="s">
        <v>172</v>
      </c>
      <c r="D8" s="1" t="s">
        <v>209</v>
      </c>
      <c r="I8" s="1" t="s">
        <v>217</v>
      </c>
      <c r="J8" s="1" t="s">
        <v>43</v>
      </c>
      <c r="K8" s="1" t="s">
        <v>172</v>
      </c>
      <c r="L8" s="1" t="s">
        <v>209</v>
      </c>
    </row>
    <row r="9" spans="1:15" x14ac:dyDescent="0.25">
      <c r="A9" s="6" t="s">
        <v>53</v>
      </c>
      <c r="B9" s="6" t="s">
        <v>218</v>
      </c>
      <c r="C9" s="12">
        <f>IFERROR(AVERAGE(K9:K14),"")</f>
        <v>0.58253405921228907</v>
      </c>
      <c r="D9" s="6" t="str">
        <f t="shared" ref="D9:D14" si="0">IF(C9="","",IF(C9&lt;0.33,"Low",IF(C9&lt;0.67,"Moderate",IF(C9&lt;0.9,"Good","Excellent"))))</f>
        <v>Moderate</v>
      </c>
      <c r="I9" s="6" t="str">
        <f>CALC_NORMALISATION!B4</f>
        <v>A1</v>
      </c>
      <c r="J9" s="6" t="str">
        <f>CALC_NORMALISATION!A4</f>
        <v>A</v>
      </c>
      <c r="K9" s="12">
        <f>CALC_NORMALISATION!N4</f>
        <v>0.65625000000000011</v>
      </c>
      <c r="L9" s="6" t="str">
        <f>CALC_NORMALISATION!O4</f>
        <v>Good</v>
      </c>
    </row>
    <row r="10" spans="1:15" x14ac:dyDescent="0.25">
      <c r="A10" s="6" t="s">
        <v>70</v>
      </c>
      <c r="B10" s="6" t="s">
        <v>219</v>
      </c>
      <c r="C10" s="12">
        <f>IFERROR(AVERAGEIFS(CALC_NORMALISATION!$N:$N,CALC_NORMALISATION!$A:$A,A10),"")</f>
        <v>0.7940625</v>
      </c>
      <c r="D10" s="6" t="str">
        <f t="shared" si="0"/>
        <v>Good</v>
      </c>
      <c r="I10" s="6" t="str">
        <f>CALC_NORMALISATION!B5</f>
        <v>A2</v>
      </c>
      <c r="J10" s="6" t="str">
        <f>CALC_NORMALISATION!A5</f>
        <v>A</v>
      </c>
      <c r="K10" s="12">
        <f>CALC_NORMALISATION!N5</f>
        <v>0.77147865420915174</v>
      </c>
      <c r="L10" s="6" t="str">
        <f>CALC_NORMALISATION!O5</f>
        <v>Excellent</v>
      </c>
    </row>
    <row r="11" spans="1:15" ht="15" customHeight="1" x14ac:dyDescent="0.25">
      <c r="A11" s="6" t="s">
        <v>81</v>
      </c>
      <c r="B11" s="6" t="s">
        <v>220</v>
      </c>
      <c r="C11" s="12">
        <f>IFERROR(AVERAGEIFS(CALC_NORMALISATION!$N:$N,CALC_NORMALISATION!$A:$A,A11),"")</f>
        <v>0.7574868154702159</v>
      </c>
      <c r="D11" s="6" t="str">
        <f t="shared" si="0"/>
        <v>Good</v>
      </c>
      <c r="I11" s="6" t="str">
        <f>CALC_NORMALISATION!B6</f>
        <v>A3</v>
      </c>
      <c r="J11" s="6" t="str">
        <f>CALC_NORMALISATION!A6</f>
        <v>A</v>
      </c>
      <c r="K11" s="12">
        <f>CALC_NORMALISATION!N6</f>
        <v>0.77083333333333337</v>
      </c>
      <c r="L11" s="6" t="str">
        <f>CALC_NORMALISATION!O6</f>
        <v>Excellent</v>
      </c>
    </row>
    <row r="12" spans="1:15" x14ac:dyDescent="0.25">
      <c r="A12" s="6" t="s">
        <v>92</v>
      </c>
      <c r="B12" s="6" t="s">
        <v>221</v>
      </c>
      <c r="C12" s="12">
        <f>IFERROR(AVERAGEIFS(CALC_NORMALISATION!$N:$N,CALC_NORMALISATION!$A:$A,A12),"")</f>
        <v>0.70585081907786484</v>
      </c>
      <c r="D12" s="6" t="str">
        <f t="shared" si="0"/>
        <v>Good</v>
      </c>
      <c r="I12" s="6" t="str">
        <f>CALC_NORMALISATION!B7</f>
        <v>A4</v>
      </c>
      <c r="J12" s="6" t="str">
        <f>CALC_NORMALISATION!A7</f>
        <v>A</v>
      </c>
      <c r="K12" s="12">
        <f>CALC_NORMALISATION!N7</f>
        <v>0.25</v>
      </c>
      <c r="L12" s="6" t="str">
        <f>CALC_NORMALISATION!O7</f>
        <v>Moderate</v>
      </c>
    </row>
    <row r="13" spans="1:15" x14ac:dyDescent="0.25">
      <c r="A13" s="6" t="s">
        <v>113</v>
      </c>
      <c r="B13" s="6" t="s">
        <v>222</v>
      </c>
      <c r="C13" s="12">
        <f>IFERROR(AVERAGEIFS(CALC_NORMALISATION!$N:$N,CALC_NORMALISATION!$A:$A,A13),"")</f>
        <v>0.70466671504645562</v>
      </c>
      <c r="D13" s="6" t="str">
        <f t="shared" si="0"/>
        <v>Good</v>
      </c>
      <c r="I13" s="6" t="str">
        <f>CALC_NORMALISATION!B8</f>
        <v>A5</v>
      </c>
      <c r="J13" s="6" t="str">
        <f>CALC_NORMALISATION!A8</f>
        <v>A</v>
      </c>
      <c r="K13" s="12">
        <f>CALC_NORMALISATION!N8</f>
        <v>0.79664236773124908</v>
      </c>
      <c r="L13" s="6" t="str">
        <f>CALC_NORMALISATION!O8</f>
        <v>Excellent</v>
      </c>
    </row>
    <row r="14" spans="1:15" x14ac:dyDescent="0.25">
      <c r="A14" s="6" t="s">
        <v>135</v>
      </c>
      <c r="B14" s="6" t="s">
        <v>223</v>
      </c>
      <c r="C14" s="12">
        <f>IFERROR(AVERAGEIFS(CALC_NORMALISATION!$N:$N,CALC_NORMALISATION!$A:$A,A14),"")</f>
        <v>0.59375</v>
      </c>
      <c r="D14" s="6" t="str">
        <f t="shared" si="0"/>
        <v>Moderate</v>
      </c>
      <c r="I14" s="6" t="str">
        <f>CALC_NORMALISATION!B9</f>
        <v>A6</v>
      </c>
      <c r="J14" s="6" t="str">
        <f>CALC_NORMALISATION!A9</f>
        <v>A</v>
      </c>
      <c r="K14" s="12">
        <f>CALC_NORMALISATION!N9</f>
        <v>0.25</v>
      </c>
      <c r="L14" s="6" t="str">
        <f>CALC_NORMALISATION!O9</f>
        <v>Moderate</v>
      </c>
    </row>
    <row r="15" spans="1:15" x14ac:dyDescent="0.25">
      <c r="C15" s="12">
        <v>0.33</v>
      </c>
      <c r="I15" s="6" t="str">
        <f>CALC_NORMALISATION!B10</f>
        <v>B1</v>
      </c>
      <c r="J15" s="6" t="str">
        <f>CALC_NORMALISATION!A10</f>
        <v>B</v>
      </c>
      <c r="K15" s="12">
        <f>CALC_NORMALISATION!N10</f>
        <v>0.9921875</v>
      </c>
      <c r="L15" s="6" t="str">
        <f>CALC_NORMALISATION!O10</f>
        <v>Excellent</v>
      </c>
    </row>
    <row r="16" spans="1:15" x14ac:dyDescent="0.25">
      <c r="I16" s="6" t="str">
        <f>CALC_NORMALISATION!B11</f>
        <v>B2</v>
      </c>
      <c r="J16" s="6" t="str">
        <f>CALC_NORMALISATION!A11</f>
        <v>B</v>
      </c>
      <c r="K16" s="12">
        <f>CALC_NORMALISATION!N11</f>
        <v>0.9921875</v>
      </c>
      <c r="L16" s="6" t="str">
        <f>CALC_NORMALISATION!O11</f>
        <v>Excellent</v>
      </c>
    </row>
    <row r="17" spans="9:12" x14ac:dyDescent="0.25">
      <c r="I17" s="6" t="str">
        <f>CALC_NORMALISATION!B12</f>
        <v>B3</v>
      </c>
      <c r="J17" s="6" t="str">
        <f>CALC_NORMALISATION!A12</f>
        <v>B</v>
      </c>
      <c r="K17" s="12">
        <f>CALC_NORMALISATION!N12</f>
        <v>0.9921875</v>
      </c>
      <c r="L17" s="6" t="str">
        <f>CALC_NORMALISATION!O12</f>
        <v>Excellent</v>
      </c>
    </row>
    <row r="18" spans="9:12" x14ac:dyDescent="0.25">
      <c r="I18" s="6" t="str">
        <f>CALC_NORMALISATION!B13</f>
        <v>B4</v>
      </c>
      <c r="J18" s="6" t="str">
        <f>CALC_NORMALISATION!A13</f>
        <v>B</v>
      </c>
      <c r="K18" s="12">
        <f>CALC_NORMALISATION!N13</f>
        <v>0.99375000000000002</v>
      </c>
      <c r="L18" s="6" t="str">
        <f>CALC_NORMALISATION!O13</f>
        <v>Excellent</v>
      </c>
    </row>
    <row r="19" spans="9:12" x14ac:dyDescent="0.25">
      <c r="I19" s="6" t="str">
        <f>CALC_NORMALISATION!B14</f>
        <v>B5</v>
      </c>
      <c r="J19" s="6" t="str">
        <f>CALC_NORMALISATION!A14</f>
        <v>B</v>
      </c>
      <c r="K19" s="12">
        <f>CALC_NORMALISATION!N14</f>
        <v>0</v>
      </c>
      <c r="L19" s="6" t="str">
        <f>CALC_NORMALISATION!O14</f>
        <v>Low</v>
      </c>
    </row>
    <row r="20" spans="9:12" x14ac:dyDescent="0.25">
      <c r="I20" s="6" t="str">
        <f>CALC_NORMALISATION!B15</f>
        <v>C1</v>
      </c>
      <c r="J20" s="6" t="str">
        <f>CALC_NORMALISATION!A15</f>
        <v>C</v>
      </c>
      <c r="K20" s="12">
        <f>CALC_NORMALISATION!N15</f>
        <v>0.96995632103047347</v>
      </c>
      <c r="L20" s="6" t="str">
        <f>CALC_NORMALISATION!O15</f>
        <v>Excellent</v>
      </c>
    </row>
    <row r="21" spans="9:12" x14ac:dyDescent="0.25">
      <c r="I21" s="6" t="str">
        <f>CALC_NORMALISATION!B16</f>
        <v>C2</v>
      </c>
      <c r="J21" s="6" t="str">
        <f>CALC_NORMALISATION!A16</f>
        <v>C</v>
      </c>
      <c r="K21" s="12">
        <f>CALC_NORMALISATION!N16</f>
        <v>0.91093090717299563</v>
      </c>
      <c r="L21" s="6" t="str">
        <f>CALC_NORMALISATION!O16</f>
        <v>Excellent</v>
      </c>
    </row>
    <row r="22" spans="9:12" x14ac:dyDescent="0.25">
      <c r="I22" s="6" t="str">
        <f>CALC_NORMALISATION!B17</f>
        <v>C3</v>
      </c>
      <c r="J22" s="6" t="str">
        <f>CALC_NORMALISATION!A17</f>
        <v>C</v>
      </c>
      <c r="K22" s="12">
        <f>CALC_NORMALISATION!N17</f>
        <v>0.62762314533440067</v>
      </c>
      <c r="L22" s="6" t="str">
        <f>CALC_NORMALISATION!O17</f>
        <v>Good</v>
      </c>
    </row>
    <row r="23" spans="9:12" x14ac:dyDescent="0.25">
      <c r="I23" s="6" t="str">
        <f>CALC_NORMALISATION!B18</f>
        <v>C4</v>
      </c>
      <c r="J23" s="6" t="str">
        <f>CALC_NORMALISATION!A18</f>
        <v>C</v>
      </c>
      <c r="K23" s="12">
        <f>CALC_NORMALISATION!N18</f>
        <v>0.69468318868450218</v>
      </c>
      <c r="L23" s="6" t="str">
        <f>CALC_NORMALISATION!O18</f>
        <v>Good</v>
      </c>
    </row>
    <row r="24" spans="9:12" x14ac:dyDescent="0.25">
      <c r="I24" s="6" t="str">
        <f>CALC_NORMALISATION!B19</f>
        <v>C5</v>
      </c>
      <c r="J24" s="6" t="str">
        <f>CALC_NORMALISATION!A19</f>
        <v>C</v>
      </c>
      <c r="K24" s="12">
        <f>CALC_NORMALISATION!N19</f>
        <v>0.58424051512870734</v>
      </c>
      <c r="L24" s="6" t="str">
        <f>CALC_NORMALISATION!O19</f>
        <v>Good</v>
      </c>
    </row>
    <row r="25" spans="9:12" x14ac:dyDescent="0.25">
      <c r="I25" s="6" t="str">
        <f>CALC_NORMALISATION!B20</f>
        <v>D1</v>
      </c>
      <c r="J25" s="6" t="str">
        <f>CALC_NORMALISATION!A20</f>
        <v>D</v>
      </c>
      <c r="K25" s="12">
        <f>CALC_NORMALISATION!N20</f>
        <v>0.8332917366096011</v>
      </c>
      <c r="L25" s="6" t="str">
        <f>CALC_NORMALISATION!O20</f>
        <v>Excellent</v>
      </c>
    </row>
    <row r="26" spans="9:12" x14ac:dyDescent="0.25">
      <c r="I26" s="6" t="str">
        <f>CALC_NORMALISATION!B21</f>
        <v>D2</v>
      </c>
      <c r="J26" s="6" t="str">
        <f>CALC_NORMALISATION!A21</f>
        <v>D</v>
      </c>
      <c r="K26" s="12">
        <f>CALC_NORMALISATION!N21</f>
        <v>0.79078849249258187</v>
      </c>
      <c r="L26" s="6" t="str">
        <f>CALC_NORMALISATION!O21</f>
        <v>Excellent</v>
      </c>
    </row>
    <row r="27" spans="9:12" x14ac:dyDescent="0.25">
      <c r="I27" s="6" t="str">
        <f>CALC_NORMALISATION!B22</f>
        <v>D3</v>
      </c>
      <c r="J27" s="6" t="str">
        <f>CALC_NORMALISATION!A22</f>
        <v>D</v>
      </c>
      <c r="K27" s="12">
        <f>CALC_NORMALISATION!N22</f>
        <v>0.69324934064152555</v>
      </c>
      <c r="L27" s="6" t="str">
        <f>CALC_NORMALISATION!O22</f>
        <v>Good</v>
      </c>
    </row>
    <row r="28" spans="9:12" x14ac:dyDescent="0.25">
      <c r="I28" s="6" t="str">
        <f>CALC_NORMALISATION!B23</f>
        <v>D4</v>
      </c>
      <c r="J28" s="6" t="str">
        <f>CALC_NORMALISATION!A23</f>
        <v>D</v>
      </c>
      <c r="K28" s="12">
        <f>CALC_NORMALISATION!N23</f>
        <v>0.62486094739811837</v>
      </c>
      <c r="L28" s="6" t="str">
        <f>CALC_NORMALISATION!O23</f>
        <v>Good</v>
      </c>
    </row>
    <row r="29" spans="9:12" x14ac:dyDescent="0.25">
      <c r="I29" s="6" t="str">
        <f>CALC_NORMALISATION!B24</f>
        <v>D5</v>
      </c>
      <c r="J29" s="6" t="str">
        <f>CALC_NORMALISATION!A24</f>
        <v>D</v>
      </c>
      <c r="K29" s="12">
        <f>CALC_NORMALISATION!N24</f>
        <v>0.65912862469411215</v>
      </c>
      <c r="L29" s="6" t="str">
        <f>CALC_NORMALISATION!O24</f>
        <v>Good</v>
      </c>
    </row>
    <row r="30" spans="9:12" x14ac:dyDescent="0.25">
      <c r="I30" s="6" t="str">
        <f>CALC_NORMALISATION!B25</f>
        <v>D6</v>
      </c>
      <c r="J30" s="6" t="str">
        <f>CALC_NORMALISATION!A25</f>
        <v>D</v>
      </c>
      <c r="K30" s="12">
        <f>CALC_NORMALISATION!N25</f>
        <v>0.67951273293740422</v>
      </c>
      <c r="L30" s="6" t="str">
        <f>CALC_NORMALISATION!O25</f>
        <v>Good</v>
      </c>
    </row>
    <row r="31" spans="9:12" x14ac:dyDescent="0.25">
      <c r="I31" s="6" t="str">
        <f>CALC_NORMALISATION!B26</f>
        <v>D7</v>
      </c>
      <c r="J31" s="6" t="str">
        <f>CALC_NORMALISATION!A26</f>
        <v>D</v>
      </c>
      <c r="K31" s="12">
        <f>CALC_NORMALISATION!N26</f>
        <v>0.4629151880828779</v>
      </c>
      <c r="L31" s="6" t="str">
        <f>CALC_NORMALISATION!O26</f>
        <v>Moderate</v>
      </c>
    </row>
    <row r="32" spans="9:12" x14ac:dyDescent="0.25">
      <c r="I32" s="6" t="str">
        <f>CALC_NORMALISATION!B27</f>
        <v>D8</v>
      </c>
      <c r="J32" s="6" t="str">
        <f>CALC_NORMALISATION!A27</f>
        <v>D</v>
      </c>
      <c r="K32" s="12">
        <f>CALC_NORMALISATION!N27</f>
        <v>0.90305948976669703</v>
      </c>
      <c r="L32" s="6" t="str">
        <f>CALC_NORMALISATION!O27</f>
        <v>Excellent</v>
      </c>
    </row>
    <row r="33" spans="9:12" x14ac:dyDescent="0.25">
      <c r="I33" s="6" t="str">
        <f>CALC_NORMALISATION!B28</f>
        <v>E1</v>
      </c>
      <c r="J33" s="6" t="str">
        <f>CALC_NORMALISATION!A28</f>
        <v>E</v>
      </c>
      <c r="K33" s="12">
        <f>CALC_NORMALISATION!N28</f>
        <v>0.61807973524616644</v>
      </c>
      <c r="L33" s="6" t="str">
        <f>CALC_NORMALISATION!O28</f>
        <v>Good</v>
      </c>
    </row>
    <row r="34" spans="9:12" x14ac:dyDescent="0.25">
      <c r="I34" s="6" t="str">
        <f>CALC_NORMALISATION!B29</f>
        <v>E2</v>
      </c>
      <c r="J34" s="6" t="str">
        <f>CALC_NORMALISATION!A29</f>
        <v>E</v>
      </c>
      <c r="K34" s="12">
        <f>CALC_NORMALISATION!N29</f>
        <v>0.50850506843618515</v>
      </c>
      <c r="L34" s="6" t="str">
        <f>CALC_NORMALISATION!O29</f>
        <v>Good</v>
      </c>
    </row>
    <row r="35" spans="9:12" x14ac:dyDescent="0.25">
      <c r="I35" s="6" t="str">
        <f>CALC_NORMALISATION!B30</f>
        <v>E3</v>
      </c>
      <c r="J35" s="6" t="str">
        <f>CALC_NORMALISATION!A30</f>
        <v>E</v>
      </c>
      <c r="K35" s="12">
        <f>CALC_NORMALISATION!N30</f>
        <v>0.81614636989131051</v>
      </c>
      <c r="L35" s="6" t="str">
        <f>CALC_NORMALISATION!O30</f>
        <v>Excellent</v>
      </c>
    </row>
    <row r="36" spans="9:12" x14ac:dyDescent="0.25">
      <c r="I36" s="6" t="str">
        <f>CALC_NORMALISATION!B31</f>
        <v>E4</v>
      </c>
      <c r="J36" s="6" t="str">
        <f>CALC_NORMALISATION!A31</f>
        <v>E</v>
      </c>
      <c r="K36" s="12">
        <f>CALC_NORMALISATION!N31</f>
        <v>0.53568748784014864</v>
      </c>
      <c r="L36" s="6" t="str">
        <f>CALC_NORMALISATION!O31</f>
        <v>Good</v>
      </c>
    </row>
    <row r="37" spans="9:12" x14ac:dyDescent="0.25">
      <c r="I37" s="6" t="str">
        <f>CALC_NORMALISATION!B32</f>
        <v>E5</v>
      </c>
      <c r="J37" s="6" t="str">
        <f>CALC_NORMALISATION!A32</f>
        <v>E</v>
      </c>
      <c r="K37" s="12">
        <f>CALC_NORMALISATION!N32</f>
        <v>0.56628899075120642</v>
      </c>
      <c r="L37" s="6" t="str">
        <f>CALC_NORMALISATION!O32</f>
        <v>Good</v>
      </c>
    </row>
    <row r="38" spans="9:12" x14ac:dyDescent="0.25">
      <c r="I38" s="6" t="str">
        <f>CALC_NORMALISATION!B33</f>
        <v>E6</v>
      </c>
      <c r="J38" s="6" t="str">
        <f>CALC_NORMALISATION!A33</f>
        <v>E</v>
      </c>
      <c r="K38" s="12">
        <f>CALC_NORMALISATION!N33</f>
        <v>1</v>
      </c>
      <c r="L38" s="6" t="str">
        <f>CALC_NORMALISATION!O33</f>
        <v>Excellent</v>
      </c>
    </row>
    <row r="39" spans="9:12" x14ac:dyDescent="0.25">
      <c r="I39" s="6" t="str">
        <f>CALC_NORMALISATION!B34</f>
        <v>E7</v>
      </c>
      <c r="J39" s="6" t="str">
        <f>CALC_NORMALISATION!A34</f>
        <v>E</v>
      </c>
      <c r="K39" s="12">
        <f>CALC_NORMALISATION!N34</f>
        <v>1</v>
      </c>
      <c r="L39" s="6" t="str">
        <f>CALC_NORMALISATION!O34</f>
        <v>Excellent</v>
      </c>
    </row>
    <row r="40" spans="9:12" x14ac:dyDescent="0.25">
      <c r="I40" s="6" t="str">
        <f>CALC_NORMALISATION!B35</f>
        <v>E8</v>
      </c>
      <c r="J40" s="6" t="str">
        <f>CALC_NORMALISATION!A35</f>
        <v>E</v>
      </c>
      <c r="K40" s="12">
        <f>CALC_NORMALISATION!N35</f>
        <v>0.74426692822589191</v>
      </c>
      <c r="L40" s="6" t="str">
        <f>CALC_NORMALISATION!O35</f>
        <v>Good</v>
      </c>
    </row>
    <row r="41" spans="9:12" x14ac:dyDescent="0.25">
      <c r="I41" s="6" t="str">
        <f>CALC_NORMALISATION!B36</f>
        <v>E9</v>
      </c>
      <c r="J41" s="6" t="str">
        <f>CALC_NORMALISATION!A36</f>
        <v>E</v>
      </c>
      <c r="K41" s="12">
        <f>CALC_NORMALISATION!N36</f>
        <v>0.41686880937942183</v>
      </c>
      <c r="L41" s="6" t="str">
        <f>CALC_NORMALISATION!O36</f>
        <v>Moderate</v>
      </c>
    </row>
    <row r="42" spans="9:12" x14ac:dyDescent="0.25">
      <c r="I42" s="6" t="str">
        <f>CALC_NORMALISATION!B37</f>
        <v>E10</v>
      </c>
      <c r="J42" s="6" t="str">
        <f>CALC_NORMALISATION!A37</f>
        <v>E</v>
      </c>
      <c r="K42" s="12">
        <f>CALC_NORMALISATION!N37</f>
        <v>0.8408237606942246</v>
      </c>
      <c r="L42" s="6" t="str">
        <f>CALC_NORMALISATION!O37</f>
        <v>Excellent</v>
      </c>
    </row>
    <row r="43" spans="9:12" x14ac:dyDescent="0.25">
      <c r="I43" s="6" t="str">
        <f>CALC_NORMALISATION!B38</f>
        <v>F1</v>
      </c>
      <c r="J43" s="6" t="str">
        <f>CALC_NORMALISATION!A38</f>
        <v>F</v>
      </c>
      <c r="K43" s="12">
        <f>CALC_NORMALISATION!N38</f>
        <v>0.8125</v>
      </c>
      <c r="L43" s="6" t="str">
        <f>CALC_NORMALISATION!O38</f>
        <v>Excellent</v>
      </c>
    </row>
    <row r="44" spans="9:12" x14ac:dyDescent="0.25">
      <c r="I44" s="6" t="str">
        <f>CALC_NORMALISATION!B39</f>
        <v>F2</v>
      </c>
      <c r="J44" s="6" t="str">
        <f>CALC_NORMALISATION!A39</f>
        <v>F</v>
      </c>
      <c r="K44" s="12">
        <f>CALC_NORMALISATION!N39</f>
        <v>0.625</v>
      </c>
      <c r="L44" s="6" t="str">
        <f>CALC_NORMALISATION!O39</f>
        <v>Good</v>
      </c>
    </row>
    <row r="45" spans="9:12" x14ac:dyDescent="0.25">
      <c r="I45" s="6" t="str">
        <f>CALC_NORMALISATION!B40</f>
        <v>F3</v>
      </c>
      <c r="J45" s="6" t="str">
        <f>CALC_NORMALISATION!A40</f>
        <v>F</v>
      </c>
      <c r="K45" s="12">
        <f>CALC_NORMALISATION!N40</f>
        <v>0.5</v>
      </c>
      <c r="L45" s="6" t="str">
        <f>CALC_NORMALISATION!O40</f>
        <v>Good</v>
      </c>
    </row>
    <row r="46" spans="9:12" x14ac:dyDescent="0.25">
      <c r="I46" s="6" t="str">
        <f>CALC_NORMALISATION!B41</f>
        <v>F4</v>
      </c>
      <c r="J46" s="6" t="str">
        <f>CALC_NORMALISATION!A41</f>
        <v>F</v>
      </c>
      <c r="K46" s="12">
        <f>CALC_NORMALISATION!N41</f>
        <v>0.4375</v>
      </c>
      <c r="L46" s="6" t="str">
        <f>CALC_NORMALISATION!O41</f>
        <v>Moderate</v>
      </c>
    </row>
  </sheetData>
  <mergeCells count="1">
    <mergeCell ref="A1:O1"/>
  </mergeCells>
  <conditionalFormatting sqref="C9:C15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D3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K9:K46">
    <cfRule type="colorScale" priority="3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1:Y33"/>
  <sheetViews>
    <sheetView showGridLines="0" workbookViewId="0">
      <pane ySplit="3" topLeftCell="A4" activePane="bottomLeft" state="frozen"/>
      <selection pane="bottomLeft" activeCell="K45" sqref="K45"/>
    </sheetView>
  </sheetViews>
  <sheetFormatPr defaultRowHeight="15" x14ac:dyDescent="0.25"/>
  <cols>
    <col min="1" max="2" width="16" customWidth="1"/>
    <col min="3" max="3" width="18.7109375" customWidth="1"/>
    <col min="4" max="20" width="16" customWidth="1"/>
    <col min="21" max="21" width="20" customWidth="1"/>
    <col min="22" max="22" width="18" customWidth="1"/>
    <col min="23" max="25" width="16" customWidth="1"/>
  </cols>
  <sheetData>
    <row r="1" spans="1:25" ht="27.95" customHeight="1" x14ac:dyDescent="0.25">
      <c r="A1" s="20" t="s">
        <v>144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3" spans="1:25" ht="30" x14ac:dyDescent="0.25">
      <c r="A3" s="1" t="s">
        <v>39</v>
      </c>
      <c r="B3" s="1" t="s">
        <v>145</v>
      </c>
      <c r="C3" s="1" t="s">
        <v>146</v>
      </c>
      <c r="D3" s="1" t="s">
        <v>147</v>
      </c>
      <c r="E3" s="1" t="s">
        <v>148</v>
      </c>
      <c r="F3" s="1" t="s">
        <v>149</v>
      </c>
      <c r="G3" s="1" t="s">
        <v>150</v>
      </c>
      <c r="H3" s="1" t="s">
        <v>20</v>
      </c>
      <c r="J3" s="1" t="s">
        <v>287</v>
      </c>
      <c r="K3" s="22" t="s">
        <v>288</v>
      </c>
      <c r="L3" s="1" t="s">
        <v>151</v>
      </c>
      <c r="M3" s="1" t="s">
        <v>152</v>
      </c>
      <c r="N3" s="1" t="s">
        <v>153</v>
      </c>
      <c r="O3" s="1" t="s">
        <v>154</v>
      </c>
      <c r="P3" s="1" t="s">
        <v>155</v>
      </c>
      <c r="Q3" s="1" t="s">
        <v>20</v>
      </c>
      <c r="S3" s="1" t="s">
        <v>39</v>
      </c>
      <c r="T3" s="1" t="s">
        <v>156</v>
      </c>
      <c r="U3" s="1" t="s">
        <v>157</v>
      </c>
      <c r="V3" s="1" t="s">
        <v>158</v>
      </c>
      <c r="W3" s="1" t="s">
        <v>159</v>
      </c>
      <c r="X3" s="1" t="s">
        <v>160</v>
      </c>
      <c r="Y3" s="1" t="s">
        <v>20</v>
      </c>
    </row>
    <row r="4" spans="1:25" ht="15.75" customHeight="1" x14ac:dyDescent="0.25">
      <c r="A4" s="4">
        <f>CONTROL_YEARS!A14</f>
        <v>2016</v>
      </c>
      <c r="B4" s="7">
        <f>[1]SA_calcu_indicators!G4</f>
        <v>1</v>
      </c>
      <c r="C4" s="15">
        <f>[1]SA_calcu_indicators!H4</f>
        <v>1</v>
      </c>
      <c r="D4" s="2">
        <f>[1]SA_calcu_indicators!I4</f>
        <v>0</v>
      </c>
      <c r="E4" s="2">
        <f>[1]SA_calcu_indicators!J4</f>
        <v>1.5612658867377252</v>
      </c>
      <c r="F4" s="2">
        <f>[1]SA_calcu_indicators!K4</f>
        <v>25.869852424958317</v>
      </c>
      <c r="G4" s="2">
        <f>[1]SA_calcu_indicators!L4</f>
        <v>6.7561038801348081</v>
      </c>
      <c r="H4" s="2"/>
      <c r="J4" s="4" t="str">
        <f>CONTROL_YEARS!B5</f>
        <v>Present 10-year period</v>
      </c>
      <c r="K4" s="4"/>
      <c r="L4" s="7">
        <f>[2]B_EXPORT_TABLE!$B$9</f>
        <v>0.99375000000000002</v>
      </c>
      <c r="M4" s="7">
        <f>[2]B_EXPORT_TABLE!$B$9</f>
        <v>0.99375000000000002</v>
      </c>
      <c r="N4" s="7">
        <f>[2]B_EXPORT_TABLE!$B$9</f>
        <v>0.99375000000000002</v>
      </c>
      <c r="O4" s="7">
        <f>[2]B_EXPORT_TABLE!$B$9</f>
        <v>0.99375000000000002</v>
      </c>
      <c r="P4" s="7">
        <f>[2]B_EXPORT_TABLE!$B$9</f>
        <v>0.99375000000000002</v>
      </c>
      <c r="Q4" s="2"/>
      <c r="S4" s="4">
        <f>CONTROL_YEARS!A14</f>
        <v>2016</v>
      </c>
      <c r="T4" s="7">
        <f>[3]C_FINAL_TOOL!B9</f>
        <v>0.97626513317191288</v>
      </c>
      <c r="U4" s="7">
        <f>[3]C_FINAL_TOOL!C9</f>
        <v>0.94936708860759489</v>
      </c>
      <c r="V4" s="7">
        <f>[3]C_FINAL_TOOL!D9</f>
        <v>0.60129413079420369</v>
      </c>
      <c r="W4" s="7">
        <f>[3]C_FINAL_TOOL!E9</f>
        <v>0.49990097303378367</v>
      </c>
      <c r="X4" s="7">
        <f>[3]C_FINAL_TOOL!F9</f>
        <v>0.55037188596831987</v>
      </c>
      <c r="Y4" s="2"/>
    </row>
    <row r="5" spans="1:25" x14ac:dyDescent="0.25">
      <c r="A5" s="4">
        <f>CONTROL_YEARS!A15</f>
        <v>2017</v>
      </c>
      <c r="B5" s="7">
        <f>[1]SA_calcu_indicators!G5</f>
        <v>0.75</v>
      </c>
      <c r="C5" s="15">
        <f>[1]SA_calcu_indicators!H5</f>
        <v>0.96357804573573891</v>
      </c>
      <c r="D5" s="2">
        <f>[1]SA_calcu_indicators!I5</f>
        <v>1</v>
      </c>
      <c r="E5" s="2">
        <f>[1]SA_calcu_indicators!J5</f>
        <v>2.3320146325846425</v>
      </c>
      <c r="F5" s="2">
        <f>[1]SA_calcu_indicators!K5</f>
        <v>90.830935457300612</v>
      </c>
      <c r="G5" s="2">
        <f>[1]SA_calcu_indicators!L5</f>
        <v>23.721172637510001</v>
      </c>
      <c r="H5" s="2"/>
      <c r="J5" s="4"/>
      <c r="K5" s="4"/>
      <c r="L5" s="2"/>
      <c r="M5" s="2"/>
      <c r="N5" s="2"/>
      <c r="O5" s="2"/>
      <c r="P5" s="2"/>
      <c r="Q5" s="2"/>
      <c r="S5" s="4">
        <f>CONTROL_YEARS!A15</f>
        <v>2017</v>
      </c>
      <c r="T5" s="7">
        <f>[3]C_FINAL_TOOL!B10</f>
        <v>0.97501815980629536</v>
      </c>
      <c r="U5" s="7">
        <f>[3]C_FINAL_TOOL!C10</f>
        <v>0.96202531645569622</v>
      </c>
      <c r="V5" s="7">
        <f>[3]C_FINAL_TOOL!D10</f>
        <v>0.648332470898067</v>
      </c>
      <c r="W5" s="7">
        <f>[3]C_FINAL_TOOL!E10</f>
        <v>0.50104233997860215</v>
      </c>
      <c r="X5" s="7">
        <f>[3]C_FINAL_TOOL!F10</f>
        <v>0.55458603892268399</v>
      </c>
      <c r="Y5" s="2"/>
    </row>
    <row r="6" spans="1:25" x14ac:dyDescent="0.25">
      <c r="A6" s="4">
        <f>CONTROL_YEARS!A16</f>
        <v>2018</v>
      </c>
      <c r="B6" s="7">
        <f>[1]SA_calcu_indicators!G6</f>
        <v>0.83333333333333337</v>
      </c>
      <c r="C6" s="15">
        <f>[1]SA_calcu_indicators!H6</f>
        <v>0.93986503921045683</v>
      </c>
      <c r="D6" s="2">
        <f>[1]SA_calcu_indicators!I6</f>
        <v>4</v>
      </c>
      <c r="E6" s="2">
        <f>[1]SA_calcu_indicators!J6</f>
        <v>2.2886757337171111</v>
      </c>
      <c r="F6" s="2">
        <f>[1]SA_calcu_indicators!K6</f>
        <v>4.8587336492057336</v>
      </c>
      <c r="G6" s="2">
        <f>[1]SA_calcu_indicators!L6</f>
        <v>1.2688943377300037</v>
      </c>
      <c r="H6" s="2"/>
      <c r="J6" s="4"/>
      <c r="K6" s="4"/>
      <c r="L6" s="2"/>
      <c r="M6" s="2"/>
      <c r="N6" s="2"/>
      <c r="O6" s="2"/>
      <c r="P6" s="2"/>
      <c r="Q6" s="2"/>
      <c r="S6" s="4">
        <f>CONTROL_YEARS!A16</f>
        <v>2018</v>
      </c>
      <c r="T6" s="7">
        <f>[3]C_FINAL_TOOL!B11</f>
        <v>0.97593220338983055</v>
      </c>
      <c r="U6" s="7">
        <f>[3]C_FINAL_TOOL!C11</f>
        <v>0.96202531645569622</v>
      </c>
      <c r="V6" s="7">
        <f>[3]C_FINAL_TOOL!D11</f>
        <v>0.61001838122224517</v>
      </c>
      <c r="W6" s="7">
        <f>[3]C_FINAL_TOOL!E11</f>
        <v>0.49936023851783951</v>
      </c>
      <c r="X6" s="7">
        <f>[3]C_FINAL_TOOL!F11</f>
        <v>0.55690083336291918</v>
      </c>
      <c r="Y6" s="2"/>
    </row>
    <row r="7" spans="1:25" x14ac:dyDescent="0.25">
      <c r="A7" s="4">
        <f>CONTROL_YEARS!A17</f>
        <v>2019</v>
      </c>
      <c r="B7" s="7">
        <f>[1]SA_calcu_indicators!G7</f>
        <v>0.25</v>
      </c>
      <c r="C7" s="15">
        <f>[1]SA_calcu_indicators!H7</f>
        <v>5.9809026275220334E-2</v>
      </c>
      <c r="D7" s="2">
        <f>[1]SA_calcu_indicators!I7</f>
        <v>9</v>
      </c>
      <c r="E7" s="2">
        <f>[1]SA_calcu_indicators!J7</f>
        <v>2.3680953229908295</v>
      </c>
      <c r="F7" s="2">
        <f>[1]SA_calcu_indicators!K7</f>
        <v>27.329636227286098</v>
      </c>
      <c r="G7" s="2">
        <f>[1]SA_calcu_indicators!L7</f>
        <v>7.1373372497364729</v>
      </c>
      <c r="H7" s="2"/>
      <c r="J7" s="4"/>
      <c r="K7" s="4"/>
      <c r="L7" s="2"/>
      <c r="M7" s="2"/>
      <c r="N7" s="2"/>
      <c r="O7" s="2"/>
      <c r="P7" s="2"/>
      <c r="Q7" s="2"/>
      <c r="S7" s="4">
        <f>CONTROL_YEARS!A17</f>
        <v>2019</v>
      </c>
      <c r="T7" s="7">
        <f>[3]C_FINAL_TOOL!B12</f>
        <v>0.97490920096852296</v>
      </c>
      <c r="U7" s="7">
        <f>[3]C_FINAL_TOOL!C12</f>
        <v>0.94936708860759489</v>
      </c>
      <c r="V7" s="7">
        <f>[3]C_FINAL_TOOL!D12</f>
        <v>0.63987617542859798</v>
      </c>
      <c r="W7" s="7">
        <f>[3]C_FINAL_TOOL!E12</f>
        <v>0.50076626991574302</v>
      </c>
      <c r="X7" s="7">
        <f>[3]C_FINAL_TOOL!F12</f>
        <v>0.55432799525165355</v>
      </c>
      <c r="Y7" s="2"/>
    </row>
    <row r="8" spans="1:25" x14ac:dyDescent="0.25">
      <c r="A8" s="4">
        <f>CONTROL_YEARS!A18</f>
        <v>2020</v>
      </c>
      <c r="B8" s="7">
        <f>[1]SA_calcu_indicators!G8</f>
        <v>0.91666666666666663</v>
      </c>
      <c r="C8" s="15">
        <f>[1]SA_calcu_indicators!H8</f>
        <v>0.98303477797853234</v>
      </c>
      <c r="D8" s="2">
        <f>[1]SA_calcu_indicators!I8</f>
        <v>1</v>
      </c>
      <c r="E8" s="2">
        <f>[1]SA_calcu_indicators!J8</f>
        <v>1.5273719669165629</v>
      </c>
      <c r="F8" s="2">
        <f>[1]SA_calcu_indicators!K8</f>
        <v>12.700056464861085</v>
      </c>
      <c r="G8" s="2">
        <f>[1]SA_calcu_indicators!L8</f>
        <v>3.3167139630607068</v>
      </c>
      <c r="H8" s="2"/>
      <c r="J8" s="4"/>
      <c r="K8" s="4"/>
      <c r="L8" s="2"/>
      <c r="M8" s="2"/>
      <c r="N8" s="2"/>
      <c r="O8" s="2"/>
      <c r="P8" s="2"/>
      <c r="Q8" s="2"/>
      <c r="S8" s="4">
        <f>CONTROL_YEARS!A18</f>
        <v>2020</v>
      </c>
      <c r="T8" s="7">
        <f>[3]C_FINAL_TOOL!B13</f>
        <v>0.97582324455205816</v>
      </c>
      <c r="U8" s="7">
        <f>[3]C_FINAL_TOOL!C13</f>
        <v>0.96202531645569622</v>
      </c>
      <c r="V8" s="7">
        <f>[3]C_FINAL_TOOL!D13</f>
        <v>0.61031491861637843</v>
      </c>
      <c r="W8" s="7">
        <f>[3]C_FINAL_TOOL!E13</f>
        <v>0.49944204348617283</v>
      </c>
      <c r="X8" s="7">
        <f>[3]C_FINAL_TOOL!F13</f>
        <v>0.55392088872786138</v>
      </c>
      <c r="Y8" s="2"/>
    </row>
    <row r="9" spans="1:25" x14ac:dyDescent="0.25">
      <c r="A9" s="4">
        <f>CONTROL_YEARS!A19</f>
        <v>2021</v>
      </c>
      <c r="B9" s="7">
        <f>[1]SA_calcu_indicators!G9</f>
        <v>0.91666666666666663</v>
      </c>
      <c r="C9" s="15">
        <f>[1]SA_calcu_indicators!H9</f>
        <v>0.99999758993955734</v>
      </c>
      <c r="D9" s="2">
        <f>[1]SA_calcu_indicators!I9</f>
        <v>0</v>
      </c>
      <c r="E9" s="2">
        <f>[1]SA_calcu_indicators!J9</f>
        <v>1.8549709911156431</v>
      </c>
      <c r="F9" s="2">
        <f>[1]SA_calcu_indicators!K9</f>
        <v>5.2828921077305413</v>
      </c>
      <c r="G9" s="2">
        <f>[1]SA_calcu_indicators!L9</f>
        <v>1.3796664658565163</v>
      </c>
      <c r="H9" s="2"/>
      <c r="J9" s="4"/>
      <c r="K9" s="4"/>
      <c r="L9" s="2"/>
      <c r="M9" s="2"/>
      <c r="N9" s="2"/>
      <c r="O9" s="2"/>
      <c r="P9" s="2"/>
      <c r="Q9" s="2"/>
      <c r="S9" s="4">
        <f>CONTROL_YEARS!A19</f>
        <v>2021</v>
      </c>
      <c r="T9" s="7">
        <f>[3]C_FINAL_TOOL!B14</f>
        <v>0.97512106537530263</v>
      </c>
      <c r="U9" s="7">
        <f>[3]C_FINAL_TOOL!C14</f>
        <v>0.96202531645569622</v>
      </c>
      <c r="V9" s="7">
        <f>[3]C_FINAL_TOOL!D14</f>
        <v>0.63629196442602565</v>
      </c>
      <c r="W9" s="7">
        <f>[3]C_FINAL_TOOL!E14</f>
        <v>0.50087192680142212</v>
      </c>
      <c r="X9" s="7">
        <f>[3]C_FINAL_TOOL!F14</f>
        <v>0.55567438180648487</v>
      </c>
      <c r="Y9" s="2"/>
    </row>
    <row r="10" spans="1:25" x14ac:dyDescent="0.25">
      <c r="A10" s="4">
        <f>CONTROL_YEARS!A20</f>
        <v>2022</v>
      </c>
      <c r="B10" s="7">
        <f>[1]SA_calcu_indicators!G10</f>
        <v>0.16666666666666666</v>
      </c>
      <c r="C10" s="15">
        <f>[1]SA_calcu_indicators!H10</f>
        <v>0.8777645866741588</v>
      </c>
      <c r="D10" s="2">
        <f>[1]SA_calcu_indicators!I10</f>
        <v>5.5</v>
      </c>
      <c r="E10" s="2">
        <f>[1]SA_calcu_indicators!J10</f>
        <v>2.3569792876042075</v>
      </c>
      <c r="F10" s="2">
        <f>[1]SA_calcu_indicators!K10</f>
        <v>10.67244792253225</v>
      </c>
      <c r="G10" s="2">
        <f>[1]SA_calcu_indicators!L10</f>
        <v>2.7871889501152802</v>
      </c>
      <c r="H10" s="2"/>
      <c r="J10" s="4"/>
      <c r="K10" s="4"/>
      <c r="L10" s="2"/>
      <c r="M10" s="2"/>
      <c r="N10" s="2"/>
      <c r="O10" s="2"/>
      <c r="P10" s="2"/>
      <c r="Q10" s="2"/>
      <c r="S10" s="4">
        <f>CONTROL_YEARS!A20</f>
        <v>2022</v>
      </c>
      <c r="T10" s="7">
        <f>[3]C_FINAL_TOOL!B15</f>
        <v>0.99161486486486483</v>
      </c>
      <c r="U10" s="7">
        <f>[3]C_FINAL_TOOL!C15</f>
        <v>0.92708333333333337</v>
      </c>
      <c r="V10" s="7">
        <f>[3]C_FINAL_TOOL!D15</f>
        <v>5.8028261146902925E-2</v>
      </c>
      <c r="W10" s="7">
        <f>[3]C_FINAL_TOOL!E15</f>
        <v>0.10650384456983088</v>
      </c>
      <c r="X10" s="7">
        <f>[3]C_FINAL_TOOL!F15</f>
        <v>0.27403071283385083</v>
      </c>
      <c r="Y10" s="2"/>
    </row>
    <row r="11" spans="1:25" x14ac:dyDescent="0.25">
      <c r="A11" s="4">
        <f>CONTROL_YEARS!A21</f>
        <v>2023</v>
      </c>
      <c r="B11" s="7">
        <f>[1]SA_calcu_indicators!G11</f>
        <v>0.41666666666666669</v>
      </c>
      <c r="C11" s="15">
        <f>[1]SA_calcu_indicators!H11</f>
        <v>0.3477801678595499</v>
      </c>
      <c r="D11" s="2">
        <f>[1]SA_calcu_indicators!I11</f>
        <v>7</v>
      </c>
      <c r="E11" s="2">
        <f>[1]SA_calcu_indicators!J11</f>
        <v>2.4581428636806364</v>
      </c>
      <c r="F11" s="2">
        <f>[1]SA_calcu_indicators!K11</f>
        <v>9.9082908802905845</v>
      </c>
      <c r="G11" s="2">
        <f>[1]SA_calcu_indicators!L11</f>
        <v>2.5876236695209296</v>
      </c>
      <c r="H11" s="2"/>
      <c r="J11" s="4"/>
      <c r="K11" s="4"/>
      <c r="L11" s="2"/>
      <c r="M11" s="2"/>
      <c r="N11" s="2"/>
      <c r="O11" s="2"/>
      <c r="P11" s="2"/>
      <c r="Q11" s="2"/>
      <c r="S11" s="4">
        <f>CONTROL_YEARS!A21</f>
        <v>2023</v>
      </c>
      <c r="T11" s="7">
        <f>[3]C_FINAL_TOOL!B16</f>
        <v>0.99130405405405408</v>
      </c>
      <c r="U11" s="7">
        <f>[3]C_FINAL_TOOL!C16</f>
        <v>0.91666666666666663</v>
      </c>
      <c r="V11" s="7">
        <f>[3]C_FINAL_TOOL!D16</f>
        <v>6.1643261613781433E-2</v>
      </c>
      <c r="W11" s="7">
        <f>[3]C_FINAL_TOOL!E16</f>
        <v>0.10963377767787187</v>
      </c>
      <c r="X11" s="7">
        <f>[3]C_FINAL_TOOL!F16</f>
        <v>0.23593792807775574</v>
      </c>
      <c r="Y11" s="2"/>
    </row>
    <row r="12" spans="1:25" x14ac:dyDescent="0.25">
      <c r="A12" s="4">
        <f>CONTROL_YEARS!A22</f>
        <v>2024</v>
      </c>
      <c r="B12" s="7">
        <f>[1]SA_calcu_indicators!G12</f>
        <v>1</v>
      </c>
      <c r="C12" s="15">
        <f>[1]SA_calcu_indicators!H12</f>
        <v>1</v>
      </c>
      <c r="D12" s="2">
        <f>[1]SA_calcu_indicators!I12</f>
        <v>0</v>
      </c>
      <c r="E12" s="2">
        <f>[1]SA_calcu_indicators!J12</f>
        <v>1.1979349328248481</v>
      </c>
      <c r="F12" s="2">
        <f>[1]SA_calcu_indicators!K12</f>
        <v>4.0023524371363521</v>
      </c>
      <c r="G12" s="2">
        <f>[1]SA_calcu_indicators!L12</f>
        <v>1.045244031006392</v>
      </c>
      <c r="H12" s="2"/>
      <c r="J12" s="4"/>
      <c r="K12" s="4"/>
      <c r="L12" s="2"/>
      <c r="M12" s="2"/>
      <c r="N12" s="2"/>
      <c r="O12" s="2"/>
      <c r="P12" s="2"/>
      <c r="Q12" s="2"/>
      <c r="S12" s="4">
        <f>CONTROL_YEARS!A22</f>
        <v>2024</v>
      </c>
      <c r="T12" s="7">
        <f>[3]C_FINAL_TOOL!B17</f>
        <v>0.99172972972972973</v>
      </c>
      <c r="U12" s="7">
        <f>[3]C_FINAL_TOOL!C17</f>
        <v>0.95833333333333337</v>
      </c>
      <c r="V12" s="7">
        <f>[3]C_FINAL_TOOL!D17</f>
        <v>5.7374540416067828E-2</v>
      </c>
      <c r="W12" s="7">
        <f>[3]C_FINAL_TOOL!E17</f>
        <v>0.11192854642322791</v>
      </c>
      <c r="X12" s="7">
        <f>[3]C_FINAL_TOOL!F17</f>
        <v>0.24219633706031113</v>
      </c>
      <c r="Y12" s="2"/>
    </row>
    <row r="13" spans="1:25" x14ac:dyDescent="0.25">
      <c r="A13" s="4">
        <f>CONTROL_YEARS!A23</f>
        <v>2025</v>
      </c>
      <c r="B13" s="7">
        <f>[1]SA_calcu_indicators!G13</f>
        <v>1</v>
      </c>
      <c r="C13" s="15">
        <f>[1]SA_calcu_indicators!H13</f>
        <v>1</v>
      </c>
      <c r="D13" s="2">
        <f>[1]SA_calcu_indicators!I13</f>
        <v>0</v>
      </c>
      <c r="E13" s="2">
        <f>[1]SA_calcu_indicators!J13</f>
        <v>1.6766237856729889</v>
      </c>
      <c r="F13" s="2">
        <f>[1]SA_calcu_indicators!K13</f>
        <v>2.4105140198593156</v>
      </c>
      <c r="G13" s="2">
        <f>[1]SA_calcu_indicators!L13</f>
        <v>0.62952361904388077</v>
      </c>
      <c r="H13" s="2"/>
      <c r="J13" s="4"/>
      <c r="K13" s="4"/>
      <c r="L13" s="2"/>
      <c r="M13" s="2"/>
      <c r="N13" s="2"/>
      <c r="O13" s="2"/>
      <c r="P13" s="2"/>
      <c r="Q13" s="2"/>
      <c r="S13" s="4">
        <f>CONTROL_YEARS!A23</f>
        <v>2025</v>
      </c>
      <c r="T13" s="7">
        <f>[3]C_FINAL_TOOL!B18</f>
        <v>0.99202027027027029</v>
      </c>
      <c r="U13" s="7">
        <f>[3]C_FINAL_TOOL!C18</f>
        <v>0.91666666666666663</v>
      </c>
      <c r="V13" s="7">
        <f>[3]C_FINAL_TOOL!D18</f>
        <v>5.5840732762524957E-2</v>
      </c>
      <c r="W13" s="7">
        <f>[3]C_FINAL_TOOL!E18</f>
        <v>0.11308453011948852</v>
      </c>
      <c r="X13" s="7">
        <f>[3]C_FINAL_TOOL!F18</f>
        <v>0.24812887695850092</v>
      </c>
      <c r="Y13" s="2"/>
    </row>
    <row r="14" spans="1:25" x14ac:dyDescent="0.25">
      <c r="A14" s="4" t="str">
        <f>CONTROL_YEARS!A24</f>
        <v/>
      </c>
      <c r="B14" s="2"/>
      <c r="C14" s="2"/>
      <c r="D14" s="2"/>
      <c r="E14" s="2"/>
      <c r="F14" s="2"/>
      <c r="G14" s="2"/>
      <c r="H14" s="2"/>
      <c r="J14" s="4" t="str">
        <f>CONTROL_YEARS!A24</f>
        <v/>
      </c>
      <c r="K14" s="4"/>
      <c r="L14" s="2"/>
      <c r="M14" s="2"/>
      <c r="N14" s="2"/>
      <c r="O14" s="2"/>
      <c r="P14" s="2"/>
      <c r="Q14" s="2"/>
      <c r="S14" s="4" t="str">
        <f>CONTROL_YEARS!A24</f>
        <v/>
      </c>
      <c r="T14" s="2"/>
      <c r="U14" s="2"/>
      <c r="V14" s="2"/>
      <c r="W14" s="2"/>
      <c r="X14" s="2"/>
      <c r="Y14" s="2"/>
    </row>
    <row r="15" spans="1:25" x14ac:dyDescent="0.25">
      <c r="A15" s="4" t="str">
        <f>CONTROL_YEARS!A25</f>
        <v/>
      </c>
      <c r="B15" s="2"/>
      <c r="C15" s="2"/>
      <c r="D15" s="2"/>
      <c r="E15" s="2"/>
      <c r="F15" s="2"/>
      <c r="G15" s="2"/>
      <c r="H15" s="2"/>
      <c r="J15" s="4" t="str">
        <f>CONTROL_YEARS!A25</f>
        <v/>
      </c>
      <c r="K15" s="4"/>
      <c r="L15" s="2"/>
      <c r="M15" s="2"/>
      <c r="N15" s="2"/>
      <c r="O15" s="2"/>
      <c r="P15" s="2"/>
      <c r="Q15" s="2"/>
      <c r="S15" s="4" t="str">
        <f>CONTROL_YEARS!A25</f>
        <v/>
      </c>
      <c r="T15" s="2"/>
      <c r="U15" s="2"/>
      <c r="V15" s="2"/>
      <c r="W15" s="2"/>
      <c r="X15" s="2"/>
      <c r="Y15" s="2"/>
    </row>
    <row r="16" spans="1:25" x14ac:dyDescent="0.25">
      <c r="A16" s="4" t="str">
        <f>CONTROL_YEARS!A26</f>
        <v/>
      </c>
      <c r="B16" s="2"/>
      <c r="C16" s="2"/>
      <c r="D16" s="2"/>
      <c r="E16" s="2"/>
      <c r="F16" s="2"/>
      <c r="G16" s="2"/>
      <c r="H16" s="2"/>
      <c r="J16" s="4" t="str">
        <f>CONTROL_YEARS!A26</f>
        <v/>
      </c>
      <c r="K16" s="4"/>
      <c r="L16" s="2"/>
      <c r="M16" s="2"/>
      <c r="N16" s="2"/>
      <c r="O16" s="2"/>
      <c r="P16" s="2"/>
      <c r="Q16" s="2"/>
      <c r="S16" s="4" t="str">
        <f>CONTROL_YEARS!A26</f>
        <v/>
      </c>
      <c r="T16" s="2"/>
      <c r="U16" s="2"/>
      <c r="V16" s="2"/>
      <c r="W16" s="2"/>
      <c r="X16" s="2"/>
      <c r="Y16" s="2"/>
    </row>
    <row r="17" spans="1:25" x14ac:dyDescent="0.25">
      <c r="A17" s="4" t="str">
        <f>CONTROL_YEARS!A27</f>
        <v/>
      </c>
      <c r="B17" s="2"/>
      <c r="C17" s="2"/>
      <c r="D17" s="2"/>
      <c r="E17" s="2"/>
      <c r="F17" s="2"/>
      <c r="G17" s="2"/>
      <c r="H17" s="2"/>
      <c r="J17" s="4" t="str">
        <f>CONTROL_YEARS!A27</f>
        <v/>
      </c>
      <c r="K17" s="4"/>
      <c r="L17" s="2"/>
      <c r="M17" s="2"/>
      <c r="N17" s="2"/>
      <c r="O17" s="2"/>
      <c r="P17" s="2"/>
      <c r="Q17" s="2"/>
      <c r="S17" s="4" t="str">
        <f>CONTROL_YEARS!A27</f>
        <v/>
      </c>
      <c r="T17" s="2"/>
      <c r="U17" s="2"/>
      <c r="V17" s="2"/>
      <c r="W17" s="2"/>
      <c r="X17" s="2"/>
      <c r="Y17" s="2"/>
    </row>
    <row r="18" spans="1:25" x14ac:dyDescent="0.25">
      <c r="A18" s="4" t="str">
        <f>CONTROL_YEARS!A28</f>
        <v/>
      </c>
      <c r="B18" s="2"/>
      <c r="C18" s="2"/>
      <c r="D18" s="2"/>
      <c r="E18" s="2"/>
      <c r="F18" s="2"/>
      <c r="G18" s="2"/>
      <c r="H18" s="2"/>
      <c r="J18" s="4" t="str">
        <f>CONTROL_YEARS!A28</f>
        <v/>
      </c>
      <c r="K18" s="4"/>
      <c r="L18" s="2"/>
      <c r="M18" s="2"/>
      <c r="N18" s="2"/>
      <c r="O18" s="2"/>
      <c r="P18" s="2"/>
      <c r="Q18" s="2"/>
      <c r="S18" s="4" t="str">
        <f>CONTROL_YEARS!A28</f>
        <v/>
      </c>
      <c r="T18" s="2"/>
      <c r="U18" s="2"/>
      <c r="V18" s="2"/>
      <c r="W18" s="2"/>
      <c r="X18" s="2"/>
      <c r="Y18" s="2"/>
    </row>
    <row r="19" spans="1:25" x14ac:dyDescent="0.25">
      <c r="A19" s="4" t="str">
        <f>CONTROL_YEARS!A29</f>
        <v/>
      </c>
      <c r="B19" s="2"/>
      <c r="C19" s="2"/>
      <c r="D19" s="2"/>
      <c r="E19" s="2"/>
      <c r="F19" s="2"/>
      <c r="G19" s="2"/>
      <c r="H19" s="2"/>
      <c r="J19" s="4" t="str">
        <f>CONTROL_YEARS!A29</f>
        <v/>
      </c>
      <c r="K19" s="4"/>
      <c r="L19" s="2"/>
      <c r="M19" s="2"/>
      <c r="N19" s="2"/>
      <c r="O19" s="2"/>
      <c r="P19" s="2"/>
      <c r="Q19" s="2"/>
      <c r="S19" s="4" t="str">
        <f>CONTROL_YEARS!A29</f>
        <v/>
      </c>
      <c r="T19" s="2"/>
      <c r="U19" s="2"/>
      <c r="V19" s="2"/>
      <c r="W19" s="2"/>
      <c r="X19" s="2"/>
      <c r="Y19" s="2"/>
    </row>
    <row r="20" spans="1:25" x14ac:dyDescent="0.25">
      <c r="A20" s="4" t="str">
        <f>CONTROL_YEARS!A30</f>
        <v/>
      </c>
      <c r="B20" s="2"/>
      <c r="C20" s="2"/>
      <c r="D20" s="2"/>
      <c r="E20" s="2"/>
      <c r="F20" s="2"/>
      <c r="G20" s="2"/>
      <c r="H20" s="2"/>
      <c r="J20" s="4" t="str">
        <f>CONTROL_YEARS!A30</f>
        <v/>
      </c>
      <c r="K20" s="4"/>
      <c r="L20" s="2"/>
      <c r="M20" s="2"/>
      <c r="N20" s="2"/>
      <c r="O20" s="2"/>
      <c r="P20" s="2"/>
      <c r="Q20" s="2"/>
      <c r="S20" s="4" t="str">
        <f>CONTROL_YEARS!A30</f>
        <v/>
      </c>
      <c r="T20" s="2"/>
      <c r="U20" s="2"/>
      <c r="V20" s="2"/>
      <c r="W20" s="2"/>
      <c r="X20" s="2"/>
      <c r="Y20" s="2"/>
    </row>
    <row r="21" spans="1:25" x14ac:dyDescent="0.25">
      <c r="A21" s="4" t="str">
        <f>CONTROL_YEARS!A31</f>
        <v/>
      </c>
      <c r="B21" s="2"/>
      <c r="C21" s="2"/>
      <c r="D21" s="2"/>
      <c r="E21" s="2"/>
      <c r="F21" s="2"/>
      <c r="G21" s="2"/>
      <c r="H21" s="2"/>
      <c r="J21" s="4" t="str">
        <f>CONTROL_YEARS!A31</f>
        <v/>
      </c>
      <c r="K21" s="4"/>
      <c r="L21" s="2"/>
      <c r="M21" s="2"/>
      <c r="N21" s="2"/>
      <c r="O21" s="2"/>
      <c r="P21" s="2"/>
      <c r="Q21" s="2"/>
      <c r="S21" s="4" t="str">
        <f>CONTROL_YEARS!A31</f>
        <v/>
      </c>
      <c r="T21" s="2"/>
      <c r="U21" s="2"/>
      <c r="V21" s="2"/>
      <c r="W21" s="2"/>
      <c r="X21" s="2"/>
      <c r="Y21" s="2"/>
    </row>
    <row r="22" spans="1:25" x14ac:dyDescent="0.25">
      <c r="A22" s="4" t="str">
        <f>CONTROL_YEARS!A32</f>
        <v/>
      </c>
      <c r="B22" s="2"/>
      <c r="C22" s="2"/>
      <c r="D22" s="2"/>
      <c r="E22" s="2"/>
      <c r="F22" s="2"/>
      <c r="G22" s="2"/>
      <c r="H22" s="2"/>
      <c r="J22" s="4" t="str">
        <f>CONTROL_YEARS!A32</f>
        <v/>
      </c>
      <c r="K22" s="4"/>
      <c r="L22" s="2"/>
      <c r="M22" s="2"/>
      <c r="N22" s="2"/>
      <c r="O22" s="2"/>
      <c r="P22" s="2"/>
      <c r="Q22" s="2"/>
      <c r="S22" s="4" t="str">
        <f>CONTROL_YEARS!A32</f>
        <v/>
      </c>
      <c r="T22" s="2"/>
      <c r="U22" s="2"/>
      <c r="V22" s="2"/>
      <c r="W22" s="2"/>
      <c r="X22" s="2"/>
      <c r="Y22" s="2"/>
    </row>
    <row r="23" spans="1:25" x14ac:dyDescent="0.25">
      <c r="A23" s="4" t="str">
        <f>CONTROL_YEARS!A33</f>
        <v/>
      </c>
      <c r="B23" s="2"/>
      <c r="C23" s="2"/>
      <c r="D23" s="2"/>
      <c r="E23" s="2"/>
      <c r="F23" s="2"/>
      <c r="G23" s="2"/>
      <c r="H23" s="2"/>
      <c r="J23" s="4" t="str">
        <f>CONTROL_YEARS!A33</f>
        <v/>
      </c>
      <c r="K23" s="4"/>
      <c r="L23" s="2"/>
      <c r="M23" s="2"/>
      <c r="N23" s="2"/>
      <c r="O23" s="2"/>
      <c r="P23" s="2"/>
      <c r="Q23" s="2"/>
      <c r="S23" s="4" t="str">
        <f>CONTROL_YEARS!A33</f>
        <v/>
      </c>
      <c r="T23" s="2"/>
      <c r="U23" s="2"/>
      <c r="V23" s="2"/>
      <c r="W23" s="2"/>
      <c r="X23" s="2"/>
      <c r="Y23" s="2"/>
    </row>
    <row r="24" spans="1:25" x14ac:dyDescent="0.25">
      <c r="A24" s="4" t="str">
        <f>CONTROL_YEARS!A34</f>
        <v/>
      </c>
      <c r="B24" s="2"/>
      <c r="C24" s="2"/>
      <c r="D24" s="2"/>
      <c r="E24" s="2"/>
      <c r="F24" s="2"/>
      <c r="G24" s="2"/>
      <c r="H24" s="2"/>
      <c r="J24" s="4" t="str">
        <f>CONTROL_YEARS!A34</f>
        <v/>
      </c>
      <c r="K24" s="4"/>
      <c r="L24" s="2"/>
      <c r="M24" s="2"/>
      <c r="N24" s="2"/>
      <c r="O24" s="2"/>
      <c r="P24" s="2"/>
      <c r="Q24" s="2"/>
      <c r="S24" s="4" t="str">
        <f>CONTROL_YEARS!A34</f>
        <v/>
      </c>
      <c r="T24" s="2"/>
      <c r="U24" s="2"/>
      <c r="V24" s="2"/>
      <c r="W24" s="2"/>
      <c r="X24" s="2"/>
      <c r="Y24" s="2"/>
    </row>
    <row r="25" spans="1:25" x14ac:dyDescent="0.25">
      <c r="A25" s="4" t="str">
        <f>CONTROL_YEARS!A35</f>
        <v/>
      </c>
      <c r="B25" s="2"/>
      <c r="C25" s="2"/>
      <c r="D25" s="2"/>
      <c r="E25" s="2"/>
      <c r="F25" s="2"/>
      <c r="G25" s="2"/>
      <c r="H25" s="2"/>
      <c r="J25" s="4" t="str">
        <f>CONTROL_YEARS!A35</f>
        <v/>
      </c>
      <c r="K25" s="4"/>
      <c r="L25" s="2"/>
      <c r="M25" s="2"/>
      <c r="N25" s="2"/>
      <c r="O25" s="2"/>
      <c r="P25" s="2"/>
      <c r="Q25" s="2"/>
      <c r="S25" s="4" t="str">
        <f>CONTROL_YEARS!A35</f>
        <v/>
      </c>
      <c r="T25" s="2"/>
      <c r="U25" s="2"/>
      <c r="V25" s="2"/>
      <c r="W25" s="2"/>
      <c r="X25" s="2"/>
      <c r="Y25" s="2"/>
    </row>
    <row r="26" spans="1:25" x14ac:dyDescent="0.25">
      <c r="A26" s="4" t="str">
        <f>CONTROL_YEARS!A36</f>
        <v/>
      </c>
      <c r="B26" s="2"/>
      <c r="C26" s="2"/>
      <c r="D26" s="2"/>
      <c r="E26" s="2"/>
      <c r="F26" s="2"/>
      <c r="G26" s="2"/>
      <c r="H26" s="2"/>
      <c r="J26" s="4" t="str">
        <f>CONTROL_YEARS!A36</f>
        <v/>
      </c>
      <c r="K26" s="4"/>
      <c r="L26" s="2"/>
      <c r="M26" s="2"/>
      <c r="N26" s="2"/>
      <c r="O26" s="2"/>
      <c r="P26" s="2"/>
      <c r="Q26" s="2"/>
      <c r="S26" s="4" t="str">
        <f>CONTROL_YEARS!A36</f>
        <v/>
      </c>
      <c r="T26" s="2"/>
      <c r="U26" s="2"/>
      <c r="V26" s="2"/>
      <c r="W26" s="2"/>
      <c r="X26" s="2"/>
      <c r="Y26" s="2"/>
    </row>
    <row r="27" spans="1:25" x14ac:dyDescent="0.25">
      <c r="A27" s="4" t="str">
        <f>CONTROL_YEARS!A37</f>
        <v/>
      </c>
      <c r="B27" s="2"/>
      <c r="C27" s="2"/>
      <c r="D27" s="2"/>
      <c r="E27" s="2"/>
      <c r="F27" s="2"/>
      <c r="G27" s="2"/>
      <c r="H27" s="2"/>
      <c r="J27" s="4" t="str">
        <f>CONTROL_YEARS!A37</f>
        <v/>
      </c>
      <c r="K27" s="4"/>
      <c r="L27" s="2"/>
      <c r="M27" s="2"/>
      <c r="N27" s="2"/>
      <c r="O27" s="2"/>
      <c r="P27" s="2"/>
      <c r="Q27" s="2"/>
      <c r="S27" s="4" t="str">
        <f>CONTROL_YEARS!A37</f>
        <v/>
      </c>
      <c r="T27" s="2"/>
      <c r="U27" s="2"/>
      <c r="V27" s="2"/>
      <c r="W27" s="2"/>
      <c r="X27" s="2"/>
      <c r="Y27" s="2"/>
    </row>
    <row r="28" spans="1:25" x14ac:dyDescent="0.25">
      <c r="A28" s="4" t="str">
        <f>CONTROL_YEARS!A38</f>
        <v/>
      </c>
      <c r="B28" s="2"/>
      <c r="C28" s="2"/>
      <c r="D28" s="2"/>
      <c r="E28" s="2"/>
      <c r="F28" s="2"/>
      <c r="G28" s="2"/>
      <c r="H28" s="2"/>
      <c r="J28" s="4" t="str">
        <f>CONTROL_YEARS!A38</f>
        <v/>
      </c>
      <c r="K28" s="4"/>
      <c r="L28" s="2"/>
      <c r="M28" s="2"/>
      <c r="N28" s="2"/>
      <c r="O28" s="2"/>
      <c r="P28" s="2"/>
      <c r="Q28" s="2"/>
      <c r="S28" s="4" t="str">
        <f>CONTROL_YEARS!A38</f>
        <v/>
      </c>
      <c r="T28" s="2"/>
      <c r="U28" s="2"/>
      <c r="V28" s="2"/>
      <c r="W28" s="2"/>
      <c r="X28" s="2"/>
      <c r="Y28" s="2"/>
    </row>
    <row r="29" spans="1:25" x14ac:dyDescent="0.25">
      <c r="A29" s="4" t="str">
        <f>CONTROL_YEARS!A39</f>
        <v/>
      </c>
      <c r="B29" s="2"/>
      <c r="C29" s="2"/>
      <c r="D29" s="2"/>
      <c r="E29" s="2"/>
      <c r="F29" s="2"/>
      <c r="G29" s="2"/>
      <c r="H29" s="2"/>
      <c r="J29" s="4" t="str">
        <f>CONTROL_YEARS!A39</f>
        <v/>
      </c>
      <c r="K29" s="4"/>
      <c r="L29" s="2"/>
      <c r="M29" s="2"/>
      <c r="N29" s="2"/>
      <c r="O29" s="2"/>
      <c r="P29" s="2"/>
      <c r="Q29" s="2"/>
      <c r="S29" s="4" t="str">
        <f>CONTROL_YEARS!A39</f>
        <v/>
      </c>
      <c r="T29" s="2"/>
      <c r="U29" s="2"/>
      <c r="V29" s="2"/>
      <c r="W29" s="2"/>
      <c r="X29" s="2"/>
      <c r="Y29" s="2"/>
    </row>
    <row r="30" spans="1:25" x14ac:dyDescent="0.25">
      <c r="A30" s="4" t="str">
        <f>CONTROL_YEARS!A40</f>
        <v/>
      </c>
      <c r="B30" s="2"/>
      <c r="C30" s="2"/>
      <c r="D30" s="2"/>
      <c r="E30" s="2"/>
      <c r="F30" s="2"/>
      <c r="G30" s="2"/>
      <c r="H30" s="2"/>
      <c r="J30" s="4" t="str">
        <f>CONTROL_YEARS!A40</f>
        <v/>
      </c>
      <c r="K30" s="4"/>
      <c r="L30" s="2"/>
      <c r="M30" s="2"/>
      <c r="N30" s="2"/>
      <c r="O30" s="2"/>
      <c r="P30" s="2"/>
      <c r="Q30" s="2"/>
      <c r="S30" s="4" t="str">
        <f>CONTROL_YEARS!A40</f>
        <v/>
      </c>
      <c r="T30" s="2"/>
      <c r="U30" s="2"/>
      <c r="V30" s="2"/>
      <c r="W30" s="2"/>
      <c r="X30" s="2"/>
      <c r="Y30" s="2"/>
    </row>
    <row r="31" spans="1:25" x14ac:dyDescent="0.25">
      <c r="A31" s="4" t="str">
        <f>CONTROL_YEARS!A41</f>
        <v/>
      </c>
      <c r="B31" s="2"/>
      <c r="C31" s="2"/>
      <c r="D31" s="2"/>
      <c r="E31" s="2"/>
      <c r="F31" s="2"/>
      <c r="G31" s="2"/>
      <c r="H31" s="2"/>
      <c r="J31" s="4" t="str">
        <f>CONTROL_YEARS!A41</f>
        <v/>
      </c>
      <c r="K31" s="4"/>
      <c r="L31" s="2"/>
      <c r="M31" s="2"/>
      <c r="N31" s="2"/>
      <c r="O31" s="2"/>
      <c r="P31" s="2"/>
      <c r="Q31" s="2"/>
      <c r="S31" s="4" t="str">
        <f>CONTROL_YEARS!A41</f>
        <v/>
      </c>
      <c r="T31" s="2"/>
      <c r="U31" s="2"/>
      <c r="V31" s="2"/>
      <c r="W31" s="2"/>
      <c r="X31" s="2"/>
      <c r="Y31" s="2"/>
    </row>
    <row r="32" spans="1:25" x14ac:dyDescent="0.25">
      <c r="A32" s="4" t="str">
        <f>CONTROL_YEARS!A42</f>
        <v/>
      </c>
      <c r="B32" s="2"/>
      <c r="C32" s="2"/>
      <c r="D32" s="2"/>
      <c r="E32" s="2"/>
      <c r="F32" s="2"/>
      <c r="G32" s="2"/>
      <c r="H32" s="2"/>
      <c r="J32" s="4" t="str">
        <f>CONTROL_YEARS!A42</f>
        <v/>
      </c>
      <c r="K32" s="4"/>
      <c r="L32" s="2"/>
      <c r="M32" s="2"/>
      <c r="N32" s="2"/>
      <c r="O32" s="2"/>
      <c r="P32" s="2"/>
      <c r="Q32" s="2"/>
      <c r="S32" s="4" t="str">
        <f>CONTROL_YEARS!A42</f>
        <v/>
      </c>
      <c r="T32" s="2"/>
      <c r="U32" s="2"/>
      <c r="V32" s="2"/>
      <c r="W32" s="2"/>
      <c r="X32" s="2"/>
      <c r="Y32" s="2"/>
    </row>
    <row r="33" spans="1:25" x14ac:dyDescent="0.25">
      <c r="A33" s="4" t="str">
        <f>CONTROL_YEARS!A43</f>
        <v/>
      </c>
      <c r="B33" s="2"/>
      <c r="C33" s="2"/>
      <c r="D33" s="2"/>
      <c r="E33" s="2"/>
      <c r="F33" s="2"/>
      <c r="G33" s="2"/>
      <c r="H33" s="2"/>
      <c r="J33" s="4" t="str">
        <f>CONTROL_YEARS!A43</f>
        <v/>
      </c>
      <c r="K33" s="4"/>
      <c r="L33" s="2"/>
      <c r="M33" s="2"/>
      <c r="N33" s="2"/>
      <c r="O33" s="2"/>
      <c r="P33" s="2"/>
      <c r="Q33" s="2"/>
      <c r="S33" s="4" t="str">
        <f>CONTROL_YEARS!A43</f>
        <v/>
      </c>
      <c r="T33" s="2"/>
      <c r="U33" s="2"/>
      <c r="V33" s="2"/>
      <c r="W33" s="2"/>
      <c r="X33" s="2"/>
      <c r="Y33" s="2"/>
    </row>
  </sheetData>
  <mergeCells count="1">
    <mergeCell ref="A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1:W33"/>
  <sheetViews>
    <sheetView showGridLines="0" workbookViewId="0">
      <pane ySplit="3" topLeftCell="A4" activePane="bottomLeft" state="frozen"/>
      <selection pane="bottomLeft" activeCell="L9" sqref="L9"/>
    </sheetView>
  </sheetViews>
  <sheetFormatPr defaultRowHeight="15" x14ac:dyDescent="0.25"/>
  <cols>
    <col min="1" max="1" width="5" bestFit="1" customWidth="1"/>
    <col min="2" max="12" width="15" customWidth="1"/>
    <col min="13" max="13" width="7.85546875" bestFit="1" customWidth="1"/>
    <col min="14" max="14" width="15" customWidth="1"/>
    <col min="15" max="17" width="11.5703125" bestFit="1" customWidth="1"/>
    <col min="18" max="23" width="15" customWidth="1"/>
  </cols>
  <sheetData>
    <row r="1" spans="1:23" ht="27.95" customHeight="1" x14ac:dyDescent="0.25">
      <c r="A1" s="20" t="s">
        <v>161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3" spans="1:23" ht="30" x14ac:dyDescent="0.25">
      <c r="A3" s="1" t="s">
        <v>39</v>
      </c>
      <c r="B3" s="1" t="s">
        <v>93</v>
      </c>
      <c r="C3" s="1" t="s">
        <v>96</v>
      </c>
      <c r="D3" s="1" t="s">
        <v>99</v>
      </c>
      <c r="E3" s="1" t="s">
        <v>101</v>
      </c>
      <c r="F3" s="1" t="s">
        <v>104</v>
      </c>
      <c r="G3" s="1" t="s">
        <v>107</v>
      </c>
      <c r="H3" s="1" t="s">
        <v>109</v>
      </c>
      <c r="I3" s="1" t="s">
        <v>111</v>
      </c>
      <c r="J3" s="1" t="s">
        <v>20</v>
      </c>
      <c r="L3" s="1" t="s">
        <v>39</v>
      </c>
      <c r="M3" s="1" t="s">
        <v>283</v>
      </c>
      <c r="N3" s="1" t="s">
        <v>284</v>
      </c>
      <c r="O3" s="1" t="s">
        <v>285</v>
      </c>
      <c r="P3" s="1" t="s">
        <v>286</v>
      </c>
      <c r="Q3" s="1" t="s">
        <v>162</v>
      </c>
      <c r="R3" s="1" t="s">
        <v>163</v>
      </c>
      <c r="S3" s="1" t="s">
        <v>164</v>
      </c>
      <c r="T3" s="1" t="s">
        <v>165</v>
      </c>
      <c r="U3" s="1" t="s">
        <v>166</v>
      </c>
      <c r="V3" s="1" t="s">
        <v>167</v>
      </c>
      <c r="W3" s="1" t="s">
        <v>20</v>
      </c>
    </row>
    <row r="4" spans="1:23" x14ac:dyDescent="0.25">
      <c r="A4" s="4">
        <f>CONTROL_YEARS!A14</f>
        <v>2016</v>
      </c>
      <c r="B4" s="9">
        <f>[4]SD_SE_CALC_INDICATORS!Z4</f>
        <v>0</v>
      </c>
      <c r="C4" s="9">
        <f>[4]SD_SE_CALC_INDICATORS!AA4</f>
        <v>0</v>
      </c>
      <c r="D4" s="9">
        <f>[4]SD_SE_CALC_INDICATORS!AB4</f>
        <v>0</v>
      </c>
      <c r="E4" s="9">
        <f>[4]SD_SE_CALC_INDICATORS!AC4</f>
        <v>107.93797254668246</v>
      </c>
      <c r="F4" s="9">
        <f>[4]SD_SE_CALC_INDICATORS!AD4</f>
        <v>2.5065524696230419E-2</v>
      </c>
      <c r="G4" s="9">
        <f>[4]SD_SE_CALC_INDICATORS!AE4</f>
        <v>2.3566606319395837E-2</v>
      </c>
      <c r="H4" s="9" t="str">
        <f>[4]SD_SE_CALC_INDICATORS!AF4</f>
        <v/>
      </c>
      <c r="I4" s="9">
        <f>[4]SD_SE_CALC_INDICATORS!AG4</f>
        <v>0.88133140376266283</v>
      </c>
      <c r="J4" s="2"/>
      <c r="L4" s="4">
        <f>CONTROL_YEARS!A14</f>
        <v>2016</v>
      </c>
      <c r="M4" s="9">
        <f>[5]SD_SE_CALC_INDICATORS!AK4</f>
        <v>406.89192218129409</v>
      </c>
      <c r="N4" s="9">
        <f>[5]SD_SE_CALC_INDICATORS!AP4</f>
        <v>0.35340834689694334</v>
      </c>
      <c r="O4" s="9">
        <f>[5]SD_SE_CALC_INDICATORS!AU4</f>
        <v>0.81292855224228133</v>
      </c>
      <c r="P4" s="18">
        <f>[5]SD_SE_CALC_INDICATORS!AZ4</f>
        <v>0.99981950378735995</v>
      </c>
      <c r="Q4" s="9">
        <f>[5]SD_SE_CALC_INDICATORS!BC4</f>
        <v>0.55455786648911143</v>
      </c>
      <c r="R4" s="9">
        <f>[5]SD_SE_CALC_INDICATORS!BD4</f>
        <v>0.56121245187502822</v>
      </c>
      <c r="S4" s="9">
        <f>[5]SD_SE_CALC_INDICATORS!BE4</f>
        <v>0.18425818155180682</v>
      </c>
      <c r="T4" s="9">
        <f>[5]SD_SE_CALC_INDICATORS!BF4</f>
        <v>77.802488074839403</v>
      </c>
      <c r="U4" s="9">
        <f>[5]SD_SE_CALC_INDICATORS!BG4</f>
        <v>0.41686880937942189</v>
      </c>
      <c r="V4" s="9">
        <f>[5]SD_SE_CALC_INDICATORS!BH4</f>
        <v>0.90774403395678427</v>
      </c>
      <c r="W4" s="2"/>
    </row>
    <row r="5" spans="1:23" x14ac:dyDescent="0.25">
      <c r="A5" s="4">
        <f>CONTROL_YEARS!A15</f>
        <v>2017</v>
      </c>
      <c r="B5" s="9">
        <f>[4]SD_SE_CALC_INDICATORS!Z5</f>
        <v>0</v>
      </c>
      <c r="C5" s="9">
        <f>[4]SD_SE_CALC_INDICATORS!AA5</f>
        <v>0</v>
      </c>
      <c r="D5" s="9">
        <f>[4]SD_SE_CALC_INDICATORS!AB5</f>
        <v>0</v>
      </c>
      <c r="E5" s="9">
        <f>[4]SD_SE_CALC_INDICATORS!AC5</f>
        <v>135.18125805475879</v>
      </c>
      <c r="F5" s="9">
        <f>[4]SD_SE_CALC_INDICATORS!AD5</f>
        <v>2.5830693359741353E-2</v>
      </c>
      <c r="G5" s="9">
        <f>[4]SD_SE_CALC_INDICATORS!AE5</f>
        <v>2.4286017896828816E-2</v>
      </c>
      <c r="H5" s="9" t="str">
        <f>[4]SD_SE_CALC_INDICATORS!AF5</f>
        <v/>
      </c>
      <c r="I5" s="9">
        <f>[4]SD_SE_CALC_INDICATORS!AG5</f>
        <v>0.73796791443850263</v>
      </c>
      <c r="J5" s="2"/>
      <c r="L5" s="4">
        <f>CONTROL_YEARS!A15</f>
        <v>2017</v>
      </c>
      <c r="M5" s="9">
        <f>[5]SD_SE_CALC_INDICATORS!AK5</f>
        <v>482.62173243018134</v>
      </c>
      <c r="N5" s="9">
        <f>[5]SD_SE_CALC_INDICATORS!AP5</f>
        <v>0.33727586313918034</v>
      </c>
      <c r="O5" s="9">
        <f>[5]SD_SE_CALC_INDICATORS!AU5</f>
        <v>0.76089644606145046</v>
      </c>
      <c r="P5" s="18">
        <f>[5]SD_SE_CALC_INDICATORS!AZ5</f>
        <v>0.99818253804123991</v>
      </c>
      <c r="Q5" s="9">
        <f>[5]SD_SE_CALC_INDICATORS!BC5</f>
        <v>0.55516189212957423</v>
      </c>
      <c r="R5" s="9">
        <f>[5]SD_SE_CALC_INDICATORS!BD5</f>
        <v>0.55299896282606664</v>
      </c>
      <c r="S5" s="9">
        <f>[5]SD_SE_CALC_INDICATORS!BE5</f>
        <v>0.1871527537435988</v>
      </c>
      <c r="T5" s="9">
        <f>[5]SD_SE_CALC_INDICATORS!BF5</f>
        <v>82.29730039763146</v>
      </c>
      <c r="U5" s="9">
        <f>[5]SD_SE_CALC_INDICATORS!BG5</f>
        <v>0.41686880937942189</v>
      </c>
      <c r="V5" s="9">
        <f>[5]SD_SE_CALC_INDICATORS!BH5</f>
        <v>0.99163820023766347</v>
      </c>
      <c r="W5" s="2"/>
    </row>
    <row r="6" spans="1:23" x14ac:dyDescent="0.25">
      <c r="A6" s="4">
        <f>CONTROL_YEARS!A16</f>
        <v>2018</v>
      </c>
      <c r="B6" s="9">
        <f>[4]SD_SE_CALC_INDICATORS!Z6</f>
        <v>953.71314134288934</v>
      </c>
      <c r="C6" s="9">
        <f>[4]SD_SE_CALC_INDICATORS!AA6</f>
        <v>0.23565531927995431</v>
      </c>
      <c r="D6" s="9">
        <f>[4]SD_SE_CALC_INDICATORS!AB6</f>
        <v>0.22156313118701304</v>
      </c>
      <c r="E6" s="9">
        <f>[4]SD_SE_CALC_INDICATORS!AC6</f>
        <v>110.20523379094266</v>
      </c>
      <c r="F6" s="9">
        <f>[4]SD_SE_CALC_INDICATORS!AD6</f>
        <v>2.7230881519319888E-2</v>
      </c>
      <c r="G6" s="9">
        <f>[4]SD_SE_CALC_INDICATORS!AE6</f>
        <v>2.5602474804464558E-2</v>
      </c>
      <c r="H6" s="9">
        <f>[4]SD_SE_CALC_INDICATORS!AF6</f>
        <v>0</v>
      </c>
      <c r="I6" s="9">
        <f>[4]SD_SE_CALC_INDICATORS!AG6</f>
        <v>0.8571428571428571</v>
      </c>
      <c r="J6" s="2"/>
      <c r="L6" s="4">
        <f>CONTROL_YEARS!A16</f>
        <v>2018</v>
      </c>
      <c r="M6" s="9">
        <f>[5]SD_SE_CALC_INDICATORS!AK6</f>
        <v>400.87365243029393</v>
      </c>
      <c r="N6" s="9">
        <f>[5]SD_SE_CALC_INDICATORS!AP6</f>
        <v>0.38707723342781108</v>
      </c>
      <c r="O6" s="9">
        <f>[5]SD_SE_CALC_INDICATORS!AU6</f>
        <v>0.77318822166446699</v>
      </c>
      <c r="P6" s="18">
        <f>[5]SD_SE_CALC_INDICATORS!AZ6</f>
        <v>1.0032589556721154</v>
      </c>
      <c r="Q6" s="9">
        <f>[5]SD_SE_CALC_INDICATORS!BC6</f>
        <v>0.55516189212957423</v>
      </c>
      <c r="R6" s="9">
        <f>[5]SD_SE_CALC_INDICATORS!BD6</f>
        <v>0.55748011400458419</v>
      </c>
      <c r="S6" s="9">
        <f>[5]SD_SE_CALC_INDICATORS!BE6</f>
        <v>0.1871527537435988</v>
      </c>
      <c r="T6" s="9">
        <f>[5]SD_SE_CALC_INDICATORS!BF6</f>
        <v>79.692025485014781</v>
      </c>
      <c r="U6" s="9">
        <f>[5]SD_SE_CALC_INDICATORS!BG6</f>
        <v>0.41686880937942189</v>
      </c>
      <c r="V6" s="9">
        <f>[5]SD_SE_CALC_INDICATORS!BH6</f>
        <v>1</v>
      </c>
      <c r="W6" s="2"/>
    </row>
    <row r="7" spans="1:23" x14ac:dyDescent="0.25">
      <c r="A7" s="4">
        <f>CONTROL_YEARS!A17</f>
        <v>2019</v>
      </c>
      <c r="B7" s="9">
        <f>[4]SD_SE_CALC_INDICATORS!Z7</f>
        <v>1171.1746220996829</v>
      </c>
      <c r="C7" s="9">
        <f>[4]SD_SE_CALC_INDICATORS!AA7</f>
        <v>0.24376313146067866</v>
      </c>
      <c r="D7" s="9">
        <f>[4]SD_SE_CALC_INDICATORS!AB7</f>
        <v>0.22918609619933006</v>
      </c>
      <c r="E7" s="9">
        <f>[4]SD_SE_CALC_INDICATORS!AC7</f>
        <v>150.02021101856926</v>
      </c>
      <c r="F7" s="9">
        <f>[4]SD_SE_CALC_INDICATORS!AD7</f>
        <v>3.1224546476866618E-2</v>
      </c>
      <c r="G7" s="9">
        <f>[4]SD_SE_CALC_INDICATORS!AE7</f>
        <v>2.9357318597549992E-2</v>
      </c>
      <c r="H7" s="9">
        <f>[4]SD_SE_CALC_INDICATORS!AF7</f>
        <v>0</v>
      </c>
      <c r="I7" s="9">
        <f>[4]SD_SE_CALC_INDICATORS!AG7</f>
        <v>0.84397163120567376</v>
      </c>
      <c r="J7" s="2"/>
      <c r="L7" s="4">
        <f>CONTROL_YEARS!A17</f>
        <v>2019</v>
      </c>
      <c r="M7" s="9">
        <f>[5]SD_SE_CALC_INDICATORS!AK7</f>
        <v>464.89143694789624</v>
      </c>
      <c r="N7" s="9">
        <f>[5]SD_SE_CALC_INDICATORS!AP7</f>
        <v>0.3279172772371331</v>
      </c>
      <c r="O7" s="9">
        <f>[5]SD_SE_CALC_INDICATORS!AU7</f>
        <v>0.72842579536528695</v>
      </c>
      <c r="P7" s="18">
        <f>[5]SD_SE_CALC_INDICATORS!AZ7</f>
        <v>0.99871949108789382</v>
      </c>
      <c r="Q7" s="9">
        <f>[5]SD_SE_CALC_INDICATORS!BC7</f>
        <v>0.55516189212957423</v>
      </c>
      <c r="R7" s="9">
        <f>[5]SD_SE_CALC_INDICATORS!BD7</f>
        <v>0.55765976178413035</v>
      </c>
      <c r="S7" s="9">
        <f>[5]SD_SE_CALC_INDICATORS!BE7</f>
        <v>0.20262277159400291</v>
      </c>
      <c r="T7" s="9">
        <f>[5]SD_SE_CALC_INDICATORS!BF7</f>
        <v>80.615102399512992</v>
      </c>
      <c r="U7" s="9">
        <f>[5]SD_SE_CALC_INDICATORS!BG7</f>
        <v>0.41686880937942189</v>
      </c>
      <c r="V7" s="9">
        <f>[5]SD_SE_CALC_INDICATORS!BH7</f>
        <v>1</v>
      </c>
      <c r="W7" s="2"/>
    </row>
    <row r="8" spans="1:23" x14ac:dyDescent="0.25">
      <c r="A8" s="4">
        <f>CONTROL_YEARS!A18</f>
        <v>2020</v>
      </c>
      <c r="B8" s="9">
        <f>[4]SD_SE_CALC_INDICATORS!Z8</f>
        <v>1171.7135443582608</v>
      </c>
      <c r="C8" s="9">
        <f>[4]SD_SE_CALC_INDICATORS!AA8</f>
        <v>0.25221274244667352</v>
      </c>
      <c r="D8" s="9">
        <f>[4]SD_SE_CALC_INDICATORS!AB8</f>
        <v>0.23713042044836244</v>
      </c>
      <c r="E8" s="9">
        <f>[4]SD_SE_CALC_INDICATORS!AC8</f>
        <v>134.09215326625181</v>
      </c>
      <c r="F8" s="9">
        <f>[4]SD_SE_CALC_INDICATORS!AD8</f>
        <v>2.8863496439638651E-2</v>
      </c>
      <c r="G8" s="9">
        <f>[4]SD_SE_CALC_INDICATORS!AE8</f>
        <v>2.7137459352548257E-2</v>
      </c>
      <c r="H8" s="9">
        <f>[4]SD_SE_CALC_INDICATORS!AF8</f>
        <v>0</v>
      </c>
      <c r="I8" s="9">
        <f>[4]SD_SE_CALC_INDICATORS!AG8</f>
        <v>0.84921763869132294</v>
      </c>
      <c r="J8" s="2"/>
      <c r="L8" s="4">
        <f>CONTROL_YEARS!A18</f>
        <v>2020</v>
      </c>
      <c r="M8" s="9">
        <f>[5]SD_SE_CALC_INDICATORS!AK8</f>
        <v>431.36817740029494</v>
      </c>
      <c r="N8" s="9">
        <f>[5]SD_SE_CALC_INDICATORS!AP8</f>
        <v>0.36246288771104057</v>
      </c>
      <c r="O8" s="9">
        <f>[5]SD_SE_CALC_INDICATORS!AU8</f>
        <v>0.7413715574087123</v>
      </c>
      <c r="P8" s="18">
        <f>[5]SD_SE_CALC_INDICATORS!AZ8</f>
        <v>1.0122146914819721</v>
      </c>
      <c r="Q8" s="9">
        <f>[5]SD_SE_CALC_INDICATORS!BC8</f>
        <v>0.55994262540535855</v>
      </c>
      <c r="R8" s="9">
        <f>[5]SD_SE_CALC_INDICATORS!BD8</f>
        <v>0.54353886211674873</v>
      </c>
      <c r="S8" s="9">
        <f>[5]SD_SE_CALC_INDICATORS!BE8</f>
        <v>0.1871527537435988</v>
      </c>
      <c r="T8" s="9">
        <f>[5]SD_SE_CALC_INDICATORS!BF8</f>
        <v>83.676408426611275</v>
      </c>
      <c r="U8" s="9">
        <f>[5]SD_SE_CALC_INDICATORS!BG8</f>
        <v>0.41686880937942189</v>
      </c>
      <c r="V8" s="9">
        <f>[5]SD_SE_CALC_INDICATORS!BH8</f>
        <v>0.94883683706907995</v>
      </c>
      <c r="W8" s="2"/>
    </row>
    <row r="9" spans="1:23" x14ac:dyDescent="0.25">
      <c r="A9" s="4">
        <f>CONTROL_YEARS!A19</f>
        <v>2021</v>
      </c>
      <c r="B9" s="9">
        <f>[4]SD_SE_CALC_INDICATORS!Z9</f>
        <v>1080.7629333221587</v>
      </c>
      <c r="C9" s="9">
        <f>[4]SD_SE_CALC_INDICATORS!AA9</f>
        <v>0.24008390755399256</v>
      </c>
      <c r="D9" s="9">
        <f>[4]SD_SE_CALC_INDICATORS!AB9</f>
        <v>0.2257268898822638</v>
      </c>
      <c r="E9" s="9">
        <f>[4]SD_SE_CALC_INDICATORS!AC9</f>
        <v>126.57948015435585</v>
      </c>
      <c r="F9" s="9">
        <f>[4]SD_SE_CALC_INDICATORS!AD9</f>
        <v>2.8118743967463684E-2</v>
      </c>
      <c r="G9" s="9">
        <f>[4]SD_SE_CALC_INDICATORS!AE9</f>
        <v>2.6437243078209351E-2</v>
      </c>
      <c r="H9" s="9">
        <f>[4]SD_SE_CALC_INDICATORS!AF9</f>
        <v>0</v>
      </c>
      <c r="I9" s="9">
        <f>[4]SD_SE_CALC_INDICATORS!AG9</f>
        <v>0.70940170940170943</v>
      </c>
      <c r="J9" s="2"/>
      <c r="L9" s="4">
        <f>CONTROL_YEARS!A19</f>
        <v>2021</v>
      </c>
      <c r="M9" s="9">
        <f>[5]SD_SE_CALC_INDICATORS!AK9</f>
        <v>481.1503887450632</v>
      </c>
      <c r="N9" s="9">
        <f>[5]SD_SE_CALC_INDICATORS!AP9</f>
        <v>0.3462157559170298</v>
      </c>
      <c r="O9" s="9">
        <f>[5]SD_SE_CALC_INDICATORS!AU9</f>
        <v>0.71324851887558316</v>
      </c>
      <c r="P9" s="18">
        <f>[5]SD_SE_CALC_INDICATORS!AZ9</f>
        <v>1.0469067090437436</v>
      </c>
      <c r="Q9" s="9">
        <f>[5]SD_SE_CALC_INDICATORS!BC9</f>
        <v>0.55066357946839872</v>
      </c>
      <c r="R9" s="9">
        <f>[5]SD_SE_CALC_INDICATORS!BD9</f>
        <v>0.55486945066359095</v>
      </c>
      <c r="S9" s="9">
        <f>[5]SD_SE_CALC_INDICATORS!BE9</f>
        <v>0.12103906004078691</v>
      </c>
      <c r="T9" s="9">
        <f>[5]SD_SE_CALC_INDICATORS!BF9</f>
        <v>79.319116356552954</v>
      </c>
      <c r="U9" s="9">
        <f>[5]SD_SE_CALC_INDICATORS!BG9</f>
        <v>0.41686880937942189</v>
      </c>
      <c r="V9" s="9">
        <f>[5]SD_SE_CALC_INDICATORS!BH9</f>
        <v>0.98958161186994997</v>
      </c>
      <c r="W9" s="2"/>
    </row>
    <row r="10" spans="1:23" x14ac:dyDescent="0.25">
      <c r="A10" s="4">
        <f>CONTROL_YEARS!A20</f>
        <v>2022</v>
      </c>
      <c r="B10" s="9">
        <f>[4]SD_SE_CALC_INDICATORS!Z10</f>
        <v>1062.6300992946042</v>
      </c>
      <c r="C10" s="9">
        <f>[4]SD_SE_CALC_INDICATORS!AA10</f>
        <v>0.2392316466750761</v>
      </c>
      <c r="D10" s="9">
        <f>[4]SD_SE_CALC_INDICATORS!AB10</f>
        <v>0.22492559420390654</v>
      </c>
      <c r="E10" s="9">
        <f>[4]SD_SE_CALC_INDICATORS!AC10</f>
        <v>77.248966977154453</v>
      </c>
      <c r="F10" s="9">
        <f>[4]SD_SE_CALC_INDICATORS!AD10</f>
        <v>1.7391185875650333E-2</v>
      </c>
      <c r="G10" s="9">
        <f>[4]SD_SE_CALC_INDICATORS!AE10</f>
        <v>1.6351192960286445E-2</v>
      </c>
      <c r="H10" s="9">
        <f>[4]SD_SE_CALC_INDICATORS!AF10</f>
        <v>0</v>
      </c>
      <c r="I10" s="9">
        <f>[4]SD_SE_CALC_INDICATORS!AG10</f>
        <v>0.54761904761904767</v>
      </c>
      <c r="J10" s="2"/>
      <c r="L10" s="4">
        <f>CONTROL_YEARS!A20</f>
        <v>2022</v>
      </c>
      <c r="M10" s="9">
        <f>[5]SD_SE_CALC_INDICATORS!AK10</f>
        <v>479.99876616816738</v>
      </c>
      <c r="N10" s="9">
        <f>[5]SD_SE_CALC_INDICATORS!AP10</f>
        <v>0.34887856833892966</v>
      </c>
      <c r="O10" s="9">
        <f>[5]SD_SE_CALC_INDICATORS!AU10</f>
        <v>0.71248078470569154</v>
      </c>
      <c r="P10" s="18">
        <f>[5]SD_SE_CALC_INDICATORS!AZ10</f>
        <v>1.0277026320428202</v>
      </c>
      <c r="Q10" s="9">
        <f>[5]SD_SE_CALC_INDICATORS!BC10</f>
        <v>0.56843095635134788</v>
      </c>
      <c r="R10" s="9">
        <f>[5]SD_SE_CALC_INDICATORS!BD10</f>
        <v>0.54461098528685847</v>
      </c>
      <c r="S10" s="9">
        <f>[5]SD_SE_CALC_INDICATORS!BE10</f>
        <v>0.17976295133803533</v>
      </c>
      <c r="T10" s="9">
        <f>[5]SD_SE_CALC_INDICATORS!BF10</f>
        <v>76.014548182493527</v>
      </c>
      <c r="U10" s="9">
        <f>[5]SD_SE_CALC_INDICATORS!BG10</f>
        <v>0.41686880937942189</v>
      </c>
      <c r="V10" s="9">
        <f>[5]SD_SE_CALC_INDICATORS!BH10</f>
        <v>1</v>
      </c>
      <c r="W10" s="2"/>
    </row>
    <row r="11" spans="1:23" x14ac:dyDescent="0.25">
      <c r="A11" s="4">
        <f>CONTROL_YEARS!A21</f>
        <v>2023</v>
      </c>
      <c r="B11" s="9">
        <f>[4]SD_SE_CALC_INDICATORS!Z11</f>
        <v>1150.982546884472</v>
      </c>
      <c r="C11" s="9">
        <f>[4]SD_SE_CALC_INDICATORS!AA11</f>
        <v>0.2345321654194201</v>
      </c>
      <c r="D11" s="9">
        <f>[4]SD_SE_CALC_INDICATORS!AB11</f>
        <v>0.22050714192733875</v>
      </c>
      <c r="E11" s="9">
        <f>[4]SD_SE_CALC_INDICATORS!AC11</f>
        <v>137.06124608474536</v>
      </c>
      <c r="F11" s="9">
        <f>[4]SD_SE_CALC_INDICATORS!AD11</f>
        <v>2.7928547592968738E-2</v>
      </c>
      <c r="G11" s="9">
        <f>[4]SD_SE_CALC_INDICATORS!AE11</f>
        <v>2.6258420446909205E-2</v>
      </c>
      <c r="H11" s="9">
        <f>[4]SD_SE_CALC_INDICATORS!AF11</f>
        <v>0</v>
      </c>
      <c r="I11" s="9">
        <f>[4]SD_SE_CALC_INDICATORS!AG11</f>
        <v>0.7567567567567568</v>
      </c>
      <c r="J11" s="2"/>
      <c r="L11" s="4">
        <f>CONTROL_YEARS!A21</f>
        <v>2023</v>
      </c>
      <c r="M11" s="9">
        <f>[5]SD_SE_CALC_INDICATORS!AK11</f>
        <v>506.22936099883856</v>
      </c>
      <c r="N11" s="9">
        <f>[5]SD_SE_CALC_INDICATORS!AP11</f>
        <v>0.31597817268449846</v>
      </c>
      <c r="O11" s="9">
        <f>[5]SD_SE_CALC_INDICATORS!AU11</f>
        <v>0.80941028391815495</v>
      </c>
      <c r="P11" s="18">
        <f>[5]SD_SE_CALC_INDICATORS!AZ11</f>
        <v>0.98955180552375355</v>
      </c>
      <c r="Q11" s="9">
        <f>[5]SD_SE_CALC_INDICATORS!BC11</f>
        <v>0.58371871919065321</v>
      </c>
      <c r="R11" s="9">
        <f>[5]SD_SE_CALC_INDICATORS!BD11</f>
        <v>0.53718610879616346</v>
      </c>
      <c r="S11" s="9">
        <f>[5]SD_SE_CALC_INDICATORS!BE11</f>
        <v>0.24275114860722377</v>
      </c>
      <c r="T11" s="9">
        <f>[5]SD_SE_CALC_INDICATORS!BF11</f>
        <v>76.838659103237973</v>
      </c>
      <c r="U11" s="9">
        <f>[5]SD_SE_CALC_INDICATORS!BG11</f>
        <v>0.41686880937942189</v>
      </c>
      <c r="V11" s="9">
        <f>[5]SD_SE_CALC_INDICATORS!BH11</f>
        <v>0.99184776446104894</v>
      </c>
      <c r="W11" s="2"/>
    </row>
    <row r="12" spans="1:23" x14ac:dyDescent="0.25">
      <c r="A12" s="4">
        <f>CONTROL_YEARS!A22</f>
        <v>2024</v>
      </c>
      <c r="B12" s="9">
        <f>[4]SD_SE_CALC_INDICATORS!Z12</f>
        <v>975.21534653120534</v>
      </c>
      <c r="C12" s="9">
        <f>[4]SD_SE_CALC_INDICATORS!AA12</f>
        <v>0.22582221329630761</v>
      </c>
      <c r="D12" s="9">
        <f>[4]SD_SE_CALC_INDICATORS!AB12</f>
        <v>0.21231804494118842</v>
      </c>
      <c r="E12" s="9">
        <f>[4]SD_SE_CALC_INDICATORS!AC12</f>
        <v>151.33049327935572</v>
      </c>
      <c r="F12" s="9">
        <f>[4]SD_SE_CALC_INDICATORS!AD12</f>
        <v>3.50422981479123E-2</v>
      </c>
      <c r="G12" s="9">
        <f>[4]SD_SE_CALC_INDICATORS!AE12</f>
        <v>3.2946768718667148E-2</v>
      </c>
      <c r="H12" s="9">
        <f>[4]SD_SE_CALC_INDICATORS!AF12</f>
        <v>0</v>
      </c>
      <c r="I12" s="9">
        <f>[4]SD_SE_CALC_INDICATORS!AG12</f>
        <v>0.94756554307116103</v>
      </c>
      <c r="J12" s="2"/>
      <c r="L12" s="4">
        <f>CONTROL_YEARS!A22</f>
        <v>2024</v>
      </c>
      <c r="M12" s="9">
        <f>[5]SD_SE_CALC_INDICATORS!AK12</f>
        <v>404.86383094350265</v>
      </c>
      <c r="N12" s="9">
        <f>[5]SD_SE_CALC_INDICATORS!AP12</f>
        <v>0.3548355123155652</v>
      </c>
      <c r="O12" s="9">
        <f>[5]SD_SE_CALC_INDICATORS!AU12</f>
        <v>0.78188388455336244</v>
      </c>
      <c r="P12" s="18">
        <f>[5]SD_SE_CALC_INDICATORS!AZ12</f>
        <v>0.99877192951032678</v>
      </c>
      <c r="Q12" s="9">
        <f>[5]SD_SE_CALC_INDICATORS!BC12</f>
        <v>0.58860678293529012</v>
      </c>
      <c r="R12" s="9">
        <f>[5]SD_SE_CALC_INDICATORS!BD12</f>
        <v>0.53393449636806356</v>
      </c>
      <c r="S12" s="9">
        <f>[5]SD_SE_CALC_INDICATORS!BE12</f>
        <v>0.2412656128209919</v>
      </c>
      <c r="T12" s="9">
        <f>[5]SD_SE_CALC_INDICATORS!BF12</f>
        <v>77.255666510500873</v>
      </c>
      <c r="U12" s="9">
        <f>[5]SD_SE_CALC_INDICATORS!BG12</f>
        <v>0.41686880937942189</v>
      </c>
      <c r="V12" s="9">
        <f>[5]SD_SE_CALC_INDICATORS!BH12</f>
        <v>0.91166330779459448</v>
      </c>
      <c r="W12" s="2"/>
    </row>
    <row r="13" spans="1:23" x14ac:dyDescent="0.25">
      <c r="A13" s="4">
        <f>CONTROL_YEARS!A23</f>
        <v>2025</v>
      </c>
      <c r="B13" s="9">
        <f>[4]SD_SE_CALC_INDICATORS!Z13</f>
        <v>767.9730339747058</v>
      </c>
      <c r="C13" s="9">
        <f>[4]SD_SE_CALC_INDICATORS!AA13</f>
        <v>0.16554490389756937</v>
      </c>
      <c r="D13" s="9">
        <f>[4]SD_SE_CALC_INDICATORS!AB13</f>
        <v>0.15564531864449471</v>
      </c>
      <c r="E13" s="9">
        <f>[4]SD_SE_CALC_INDICATORS!AC13</f>
        <v>120.62109003094692</v>
      </c>
      <c r="F13" s="9">
        <f>[4]SD_SE_CALC_INDICATORS!AD13</f>
        <v>2.6001182168918252E-2</v>
      </c>
      <c r="G13" s="9">
        <f>[4]SD_SE_CALC_INDICATORS!AE13</f>
        <v>2.4446311475216937E-2</v>
      </c>
      <c r="H13" s="9">
        <f>[4]SD_SE_CALC_INDICATORS!AF13</f>
        <v>9.2583037616575589E-2</v>
      </c>
      <c r="I13" s="9">
        <f>[4]SD_SE_CALC_INDICATORS!AG13</f>
        <v>0.93021529324424646</v>
      </c>
      <c r="J13" s="2"/>
      <c r="L13" s="4">
        <f>CONTROL_YEARS!A23</f>
        <v>2025</v>
      </c>
      <c r="M13" s="9">
        <f>[5]SD_SE_CALC_INDICATORS!AK13</f>
        <v>468.79179076980188</v>
      </c>
      <c r="N13" s="9">
        <f>[5]SD_SE_CALC_INDICATORS!AP13</f>
        <v>0.33193010858712813</v>
      </c>
      <c r="O13" s="9">
        <f>[5]SD_SE_CALC_INDICATORS!AU13</f>
        <v>0.79845869498763133</v>
      </c>
      <c r="P13" s="18">
        <f>[5]SD_SE_CALC_INDICATORS!AZ13</f>
        <v>0.99662188972699206</v>
      </c>
      <c r="Q13" s="9">
        <f>[5]SD_SE_CALC_INDICATORS!BC13</f>
        <v>0.59148370128318173</v>
      </c>
      <c r="R13" s="9">
        <f>[5]SD_SE_CALC_INDICATORS!BD13</f>
        <v>0.54493570459504248</v>
      </c>
      <c r="S13" s="9">
        <f>[5]SD_SE_CALC_INDICATORS!BE13</f>
        <v>0.2412656128209919</v>
      </c>
      <c r="T13" s="9">
        <f>[5]SD_SE_CALC_INDICATORS!BF13</f>
        <v>81.902227644318216</v>
      </c>
      <c r="U13" s="9">
        <f>[5]SD_SE_CALC_INDICATORS!BG13</f>
        <v>0.41686880937942189</v>
      </c>
      <c r="V13" s="9">
        <f>[5]SD_SE_CALC_INDICATORS!BH13</f>
        <v>0.94033576599932711</v>
      </c>
      <c r="W13" s="2"/>
    </row>
    <row r="14" spans="1:23" x14ac:dyDescent="0.25">
      <c r="A14" s="4"/>
      <c r="B14" s="2"/>
      <c r="C14" s="2"/>
      <c r="D14" s="2"/>
      <c r="E14" s="2"/>
      <c r="F14" s="2"/>
      <c r="G14" s="2"/>
      <c r="H14" s="2"/>
      <c r="I14" s="2"/>
      <c r="J14" s="2"/>
      <c r="L14" s="4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25">
      <c r="A15" s="4"/>
      <c r="B15" s="2"/>
      <c r="C15" s="2"/>
      <c r="D15" s="2"/>
      <c r="E15" s="2"/>
      <c r="F15" s="2"/>
      <c r="G15" s="2"/>
      <c r="H15" s="2"/>
      <c r="I15" s="2"/>
      <c r="J15" s="2"/>
      <c r="L15" s="4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25">
      <c r="A16" s="4"/>
      <c r="B16" s="2"/>
      <c r="C16" s="2"/>
      <c r="D16" s="2"/>
      <c r="E16" s="2"/>
      <c r="F16" s="2"/>
      <c r="G16" s="2"/>
      <c r="H16" s="2"/>
      <c r="I16" s="2"/>
      <c r="J16" s="2"/>
      <c r="L16" s="4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25">
      <c r="A17" s="4"/>
      <c r="B17" s="2"/>
      <c r="C17" s="2"/>
      <c r="D17" s="2"/>
      <c r="E17" s="2"/>
      <c r="F17" s="2"/>
      <c r="G17" s="2"/>
      <c r="H17" s="2"/>
      <c r="I17" s="2"/>
      <c r="J17" s="2"/>
      <c r="L17" s="4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25">
      <c r="A18" s="4"/>
      <c r="B18" s="2"/>
      <c r="C18" s="2"/>
      <c r="D18" s="2"/>
      <c r="E18" s="2"/>
      <c r="F18" s="2"/>
      <c r="G18" s="2"/>
      <c r="H18" s="2"/>
      <c r="I18" s="2"/>
      <c r="J18" s="2"/>
      <c r="L18" s="4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25">
      <c r="A19" s="4"/>
      <c r="B19" s="2"/>
      <c r="C19" s="2"/>
      <c r="D19" s="2"/>
      <c r="E19" s="2"/>
      <c r="F19" s="2"/>
      <c r="G19" s="2"/>
      <c r="H19" s="2"/>
      <c r="I19" s="2"/>
      <c r="J19" s="2"/>
      <c r="L19" s="4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25">
      <c r="A20" s="4"/>
      <c r="B20" s="2"/>
      <c r="C20" s="2"/>
      <c r="D20" s="2"/>
      <c r="E20" s="2"/>
      <c r="F20" s="2"/>
      <c r="G20" s="2"/>
      <c r="H20" s="2"/>
      <c r="I20" s="2"/>
      <c r="J20" s="2"/>
      <c r="L20" s="4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25">
      <c r="A21" s="4"/>
      <c r="B21" s="2"/>
      <c r="C21" s="2"/>
      <c r="D21" s="2"/>
      <c r="E21" s="2"/>
      <c r="F21" s="2"/>
      <c r="G21" s="2"/>
      <c r="H21" s="2"/>
      <c r="I21" s="2"/>
      <c r="J21" s="2"/>
      <c r="L21" s="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25">
      <c r="A22" s="4"/>
      <c r="B22" s="2"/>
      <c r="C22" s="2"/>
      <c r="D22" s="2"/>
      <c r="E22" s="2"/>
      <c r="F22" s="2"/>
      <c r="G22" s="2"/>
      <c r="H22" s="2"/>
      <c r="I22" s="2"/>
      <c r="J22" s="2"/>
      <c r="L22" s="4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25">
      <c r="A23" s="4"/>
      <c r="B23" s="2"/>
      <c r="C23" s="2"/>
      <c r="D23" s="2"/>
      <c r="E23" s="2"/>
      <c r="F23" s="2"/>
      <c r="G23" s="2"/>
      <c r="H23" s="2"/>
      <c r="I23" s="2"/>
      <c r="J23" s="2"/>
      <c r="L23" s="4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25">
      <c r="A24" s="4"/>
      <c r="B24" s="2"/>
      <c r="C24" s="2"/>
      <c r="D24" s="2"/>
      <c r="E24" s="2"/>
      <c r="F24" s="2"/>
      <c r="G24" s="2"/>
      <c r="H24" s="2"/>
      <c r="I24" s="2"/>
      <c r="J24" s="2"/>
      <c r="L24" s="4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25">
      <c r="A25" s="4"/>
      <c r="B25" s="2"/>
      <c r="C25" s="2"/>
      <c r="D25" s="2"/>
      <c r="E25" s="2"/>
      <c r="F25" s="2"/>
      <c r="G25" s="2"/>
      <c r="H25" s="2"/>
      <c r="I25" s="2"/>
      <c r="J25" s="2"/>
      <c r="L25" s="4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25">
      <c r="A26" s="4"/>
      <c r="B26" s="2"/>
      <c r="C26" s="2"/>
      <c r="D26" s="2"/>
      <c r="E26" s="2"/>
      <c r="F26" s="2"/>
      <c r="G26" s="2"/>
      <c r="H26" s="2"/>
      <c r="I26" s="2"/>
      <c r="J26" s="2"/>
      <c r="L26" s="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25">
      <c r="A27" s="4"/>
      <c r="B27" s="2"/>
      <c r="C27" s="2"/>
      <c r="D27" s="2"/>
      <c r="E27" s="2"/>
      <c r="F27" s="2"/>
      <c r="G27" s="2"/>
      <c r="H27" s="2"/>
      <c r="I27" s="2"/>
      <c r="J27" s="2"/>
      <c r="L27" s="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25">
      <c r="A28" s="4"/>
      <c r="B28" s="2"/>
      <c r="C28" s="2"/>
      <c r="D28" s="2"/>
      <c r="E28" s="2"/>
      <c r="F28" s="2"/>
      <c r="G28" s="2"/>
      <c r="H28" s="2"/>
      <c r="I28" s="2"/>
      <c r="J28" s="2"/>
      <c r="L28" s="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25">
      <c r="A29" s="4"/>
      <c r="B29" s="2"/>
      <c r="C29" s="2"/>
      <c r="D29" s="2"/>
      <c r="E29" s="2"/>
      <c r="F29" s="2"/>
      <c r="G29" s="2"/>
      <c r="H29" s="2"/>
      <c r="I29" s="2"/>
      <c r="J29" s="2"/>
      <c r="L29" s="4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25">
      <c r="A30" s="4"/>
      <c r="B30" s="2"/>
      <c r="C30" s="2"/>
      <c r="D30" s="2"/>
      <c r="E30" s="2"/>
      <c r="F30" s="2"/>
      <c r="G30" s="2"/>
      <c r="H30" s="2"/>
      <c r="I30" s="2"/>
      <c r="J30" s="2"/>
      <c r="L30" s="4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25">
      <c r="A31" s="4"/>
      <c r="B31" s="2"/>
      <c r="C31" s="2"/>
      <c r="D31" s="2"/>
      <c r="E31" s="2"/>
      <c r="F31" s="2"/>
      <c r="G31" s="2"/>
      <c r="H31" s="2"/>
      <c r="I31" s="2"/>
      <c r="J31" s="2"/>
      <c r="L31" s="4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25">
      <c r="A32" s="4"/>
      <c r="B32" s="2"/>
      <c r="C32" s="2"/>
      <c r="D32" s="2"/>
      <c r="E32" s="2"/>
      <c r="F32" s="2"/>
      <c r="G32" s="2"/>
      <c r="H32" s="2"/>
      <c r="I32" s="2"/>
      <c r="J32" s="2"/>
      <c r="L32" s="4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25">
      <c r="A33" s="4"/>
      <c r="B33" s="2"/>
      <c r="C33" s="2"/>
      <c r="D33" s="2"/>
      <c r="E33" s="2"/>
      <c r="F33" s="2"/>
      <c r="G33" s="2"/>
      <c r="H33" s="2"/>
      <c r="I33" s="2"/>
      <c r="J33" s="2"/>
      <c r="L33" s="4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</sheetData>
  <mergeCells count="1">
    <mergeCell ref="A1:W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D18"/>
  <sheetViews>
    <sheetView showGridLines="0" zoomScale="120" zoomScaleNormal="120" workbookViewId="0">
      <pane ySplit="3" topLeftCell="A4" activePane="bottomLeft" state="frozen"/>
      <selection pane="bottomLeft" activeCell="H9" sqref="H9"/>
    </sheetView>
  </sheetViews>
  <sheetFormatPr defaultRowHeight="15" x14ac:dyDescent="0.25"/>
  <cols>
    <col min="1" max="1" width="18" customWidth="1"/>
    <col min="2" max="2" width="15" customWidth="1"/>
    <col min="3" max="3" width="93.5703125" customWidth="1"/>
    <col min="4" max="4" width="12" customWidth="1"/>
  </cols>
  <sheetData>
    <row r="1" spans="1:4" ht="27.95" customHeight="1" x14ac:dyDescent="0.25">
      <c r="A1" s="20" t="s">
        <v>168</v>
      </c>
      <c r="B1" s="20"/>
      <c r="C1" s="20"/>
      <c r="D1" s="20"/>
    </row>
    <row r="3" spans="1:4" ht="30" x14ac:dyDescent="0.25">
      <c r="A3" s="1" t="s">
        <v>169</v>
      </c>
      <c r="B3" s="1" t="s">
        <v>170</v>
      </c>
      <c r="C3" s="1" t="s">
        <v>171</v>
      </c>
      <c r="D3" s="1" t="s">
        <v>172</v>
      </c>
    </row>
    <row r="4" spans="1:4" ht="15" customHeight="1" x14ac:dyDescent="0.25">
      <c r="A4" s="4" t="s">
        <v>246</v>
      </c>
      <c r="B4" s="4" t="s">
        <v>173</v>
      </c>
      <c r="C4" s="4" t="s">
        <v>174</v>
      </c>
      <c r="D4" s="2">
        <f>[6]F_Defenition!D4</f>
        <v>0.75</v>
      </c>
    </row>
    <row r="5" spans="1:4" ht="15" customHeight="1" x14ac:dyDescent="0.25">
      <c r="A5" s="4" t="s">
        <v>246</v>
      </c>
      <c r="B5" s="4" t="s">
        <v>175</v>
      </c>
      <c r="C5" s="4" t="s">
        <v>176</v>
      </c>
      <c r="D5" s="2">
        <f>[6]F_Defenition!D5</f>
        <v>1</v>
      </c>
    </row>
    <row r="6" spans="1:4" ht="15" customHeight="1" x14ac:dyDescent="0.25">
      <c r="A6" s="4" t="s">
        <v>246</v>
      </c>
      <c r="B6" s="4" t="s">
        <v>177</v>
      </c>
      <c r="C6" s="4" t="s">
        <v>178</v>
      </c>
      <c r="D6" s="2">
        <f>[6]F_Defenition!D6</f>
        <v>0.5</v>
      </c>
    </row>
    <row r="7" spans="1:4" ht="15" customHeight="1" x14ac:dyDescent="0.25">
      <c r="A7" s="4" t="s">
        <v>246</v>
      </c>
      <c r="B7" s="4" t="s">
        <v>179</v>
      </c>
      <c r="C7" s="4" t="s">
        <v>180</v>
      </c>
      <c r="D7" s="2">
        <f>[6]F_Defenition!D7</f>
        <v>1</v>
      </c>
    </row>
    <row r="8" spans="1:4" ht="15" customHeight="1" x14ac:dyDescent="0.25">
      <c r="A8" s="4" t="s">
        <v>247</v>
      </c>
      <c r="B8" s="4" t="s">
        <v>181</v>
      </c>
      <c r="C8" s="4" t="s">
        <v>182</v>
      </c>
      <c r="D8" s="2">
        <f>[6]F_Defenition!D8</f>
        <v>1</v>
      </c>
    </row>
    <row r="9" spans="1:4" ht="15" customHeight="1" x14ac:dyDescent="0.25">
      <c r="A9" s="4" t="s">
        <v>247</v>
      </c>
      <c r="B9" s="4" t="s">
        <v>183</v>
      </c>
      <c r="C9" s="4" t="s">
        <v>184</v>
      </c>
      <c r="D9" s="2">
        <f>[6]F_Defenition!D9</f>
        <v>0.5</v>
      </c>
    </row>
    <row r="10" spans="1:4" ht="15" customHeight="1" x14ac:dyDescent="0.25">
      <c r="A10" s="4" t="s">
        <v>247</v>
      </c>
      <c r="B10" s="4" t="s">
        <v>185</v>
      </c>
      <c r="C10" s="4" t="s">
        <v>186</v>
      </c>
      <c r="D10" s="2">
        <f>[6]F_Defenition!D10</f>
        <v>0.5</v>
      </c>
    </row>
    <row r="11" spans="1:4" ht="15" customHeight="1" x14ac:dyDescent="0.25">
      <c r="A11" s="4" t="s">
        <v>247</v>
      </c>
      <c r="B11" s="4" t="s">
        <v>187</v>
      </c>
      <c r="C11" s="4" t="s">
        <v>188</v>
      </c>
      <c r="D11" s="2">
        <f>[6]F_Defenition!D11</f>
        <v>0.5</v>
      </c>
    </row>
    <row r="12" spans="1:4" ht="15" customHeight="1" x14ac:dyDescent="0.25">
      <c r="A12" s="4" t="s">
        <v>248</v>
      </c>
      <c r="B12" s="4" t="s">
        <v>189</v>
      </c>
      <c r="C12" s="4" t="s">
        <v>190</v>
      </c>
      <c r="D12" s="2">
        <f>[6]F_Defenition!D12</f>
        <v>0.5</v>
      </c>
    </row>
    <row r="13" spans="1:4" ht="15" customHeight="1" x14ac:dyDescent="0.25">
      <c r="A13" s="4" t="s">
        <v>248</v>
      </c>
      <c r="B13" s="4" t="s">
        <v>191</v>
      </c>
      <c r="C13" s="4" t="s">
        <v>192</v>
      </c>
      <c r="D13" s="2">
        <f>[6]F_Defenition!D13</f>
        <v>0.75</v>
      </c>
    </row>
    <row r="14" spans="1:4" ht="15" customHeight="1" x14ac:dyDescent="0.25">
      <c r="A14" s="4" t="s">
        <v>248</v>
      </c>
      <c r="B14" s="4" t="s">
        <v>193</v>
      </c>
      <c r="C14" s="4" t="s">
        <v>194</v>
      </c>
      <c r="D14" s="2">
        <f>[6]F_Defenition!D14</f>
        <v>0.25</v>
      </c>
    </row>
    <row r="15" spans="1:4" ht="15" customHeight="1" x14ac:dyDescent="0.25">
      <c r="A15" s="4" t="s">
        <v>249</v>
      </c>
      <c r="B15" s="4" t="s">
        <v>82</v>
      </c>
      <c r="C15" s="4" t="s">
        <v>195</v>
      </c>
      <c r="D15" s="2">
        <f>[6]F_Defenition!D15</f>
        <v>0.5</v>
      </c>
    </row>
    <row r="16" spans="1:4" ht="15" customHeight="1" x14ac:dyDescent="0.25">
      <c r="A16" s="4" t="s">
        <v>249</v>
      </c>
      <c r="B16" s="4" t="s">
        <v>84</v>
      </c>
      <c r="C16" s="4" t="s">
        <v>196</v>
      </c>
      <c r="D16" s="2">
        <f>[6]F_Defenition!D16</f>
        <v>0.5</v>
      </c>
    </row>
    <row r="17" spans="1:4" ht="15" customHeight="1" x14ac:dyDescent="0.25">
      <c r="A17" s="4" t="s">
        <v>249</v>
      </c>
      <c r="B17" s="4" t="s">
        <v>86</v>
      </c>
      <c r="C17" s="4" t="s">
        <v>197</v>
      </c>
      <c r="D17" s="2">
        <f>[6]F_Defenition!D17</f>
        <v>0.5</v>
      </c>
    </row>
    <row r="18" spans="1:4" ht="15" customHeight="1" x14ac:dyDescent="0.25">
      <c r="A18" s="4" t="s">
        <v>249</v>
      </c>
      <c r="B18" s="4" t="s">
        <v>88</v>
      </c>
      <c r="C18" s="4" t="s">
        <v>198</v>
      </c>
      <c r="D18" s="2">
        <f>[6]F_Defenition!D18</f>
        <v>0.25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"/>
  <sheetViews>
    <sheetView showGridLines="0" tabSelected="1" workbookViewId="0">
      <pane ySplit="3" topLeftCell="A4" activePane="bottomLeft" state="frozen"/>
      <selection pane="bottomLeft" activeCell="F16" sqref="F16"/>
    </sheetView>
  </sheetViews>
  <sheetFormatPr defaultRowHeight="15" x14ac:dyDescent="0.25"/>
  <cols>
    <col min="1" max="1" width="35" customWidth="1"/>
    <col min="2" max="2" width="15" customWidth="1"/>
    <col min="3" max="3" width="55" customWidth="1"/>
    <col min="5" max="5" width="12" customWidth="1"/>
    <col min="6" max="6" width="55" customWidth="1"/>
    <col min="7" max="7" width="35" customWidth="1"/>
  </cols>
  <sheetData>
    <row r="1" spans="1:8" ht="27.95" customHeight="1" x14ac:dyDescent="0.25">
      <c r="A1" s="20" t="s">
        <v>224</v>
      </c>
      <c r="B1" s="21"/>
      <c r="C1" s="21"/>
      <c r="D1" s="21"/>
      <c r="E1" s="21"/>
      <c r="F1" s="21"/>
      <c r="G1" s="21"/>
      <c r="H1" s="21"/>
    </row>
    <row r="3" spans="1:8" x14ac:dyDescent="0.25">
      <c r="A3" s="1" t="s">
        <v>225</v>
      </c>
      <c r="B3" s="1" t="s">
        <v>226</v>
      </c>
      <c r="C3" s="1" t="s">
        <v>227</v>
      </c>
      <c r="E3" s="1" t="s">
        <v>228</v>
      </c>
      <c r="F3" s="1" t="s">
        <v>227</v>
      </c>
      <c r="G3" s="1" t="s">
        <v>229</v>
      </c>
    </row>
    <row r="4" spans="1:8" x14ac:dyDescent="0.25">
      <c r="A4" s="6" t="s">
        <v>230</v>
      </c>
      <c r="B4" s="6" t="str">
        <f>IF(OR(CONTROL_YEARS!B8=10,CONTROL_YEARS!B8=30),"PASS","WARNING")</f>
        <v>PASS</v>
      </c>
      <c r="C4" s="6" t="s">
        <v>231</v>
      </c>
      <c r="E4" s="6">
        <v>1</v>
      </c>
      <c r="F4" s="6" t="s">
        <v>232</v>
      </c>
      <c r="G4" s="6" t="s">
        <v>233</v>
      </c>
    </row>
    <row r="5" spans="1:8" x14ac:dyDescent="0.25">
      <c r="A5" s="6" t="s">
        <v>234</v>
      </c>
      <c r="B5" s="6" t="str">
        <f>IF(AND(MIN(CALC_NORMALISATION!N4:N41)&gt;=0,MAX(CALC_NORMALISATION!N4:N41)&lt;=1),"PASS","ERROR")</f>
        <v>PASS</v>
      </c>
      <c r="C5" s="6" t="s">
        <v>235</v>
      </c>
      <c r="E5" s="6">
        <v>2</v>
      </c>
      <c r="F5" s="6" t="s">
        <v>236</v>
      </c>
      <c r="G5" s="6" t="s">
        <v>237</v>
      </c>
    </row>
    <row r="6" spans="1:8" x14ac:dyDescent="0.25">
      <c r="A6" s="6" t="s">
        <v>238</v>
      </c>
      <c r="B6" s="6" t="str">
        <f>IF(AND(MIN(INPUT_F!D4:D18)&gt;=0,MAX(INPUT_F!D4:D18)&lt;=1),"PASS","WARNING")</f>
        <v>PASS</v>
      </c>
      <c r="C6" s="6" t="s">
        <v>239</v>
      </c>
      <c r="E6" s="6">
        <v>3</v>
      </c>
      <c r="F6" s="6" t="s">
        <v>240</v>
      </c>
      <c r="G6" s="6" t="s">
        <v>241</v>
      </c>
    </row>
    <row r="7" spans="1:8" x14ac:dyDescent="0.25">
      <c r="E7" s="6">
        <v>4</v>
      </c>
      <c r="F7" s="6" t="s">
        <v>242</v>
      </c>
      <c r="G7" s="6" t="s">
        <v>243</v>
      </c>
    </row>
    <row r="8" spans="1:8" x14ac:dyDescent="0.25">
      <c r="E8" s="6">
        <v>5</v>
      </c>
      <c r="F8" s="6" t="s">
        <v>244</v>
      </c>
      <c r="G8" s="6" t="s">
        <v>245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CONTROL_YEARS</vt:lpstr>
      <vt:lpstr>THRESHOLDS_WEIGHTS</vt:lpstr>
      <vt:lpstr>CALC_NORMALISATION</vt:lpstr>
      <vt:lpstr>DASHBOARD_EXPORTS</vt:lpstr>
      <vt:lpstr>INPUT_A_TO_C</vt:lpstr>
      <vt:lpstr>INPUT_D_E</vt:lpstr>
      <vt:lpstr>INPUT_F</vt:lpstr>
      <vt:lpstr>QUALITY_GUIDE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Integrated CIS Resilience Assessment Framework Tool</dc:title>
  <dc:creator>ChatGPT</dc:creator>
  <cp:lastModifiedBy>Antónia Fortes Duarte Ferreira</cp:lastModifiedBy>
  <dcterms:created xsi:type="dcterms:W3CDTF">2026-05-19T21:02:09Z</dcterms:created>
  <dcterms:modified xsi:type="dcterms:W3CDTF">2026-07-23T12:44:41Z</dcterms:modified>
</cp:coreProperties>
</file>