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Revison_30_05_26_P5\3_REV_21_07_26\"/>
    </mc:Choice>
  </mc:AlternateContent>
  <xr:revisionPtr revIDLastSave="0" documentId="13_ncr:1_{C93E7700-D351-4B22-8DA5-B213B51325C2}" xr6:coauthVersionLast="47" xr6:coauthVersionMax="47" xr10:uidLastSave="{00000000-0000-0000-0000-000000000000}"/>
  <bookViews>
    <workbookView xWindow="38280" yWindow="-2595" windowWidth="19440" windowHeight="11520" tabRatio="840" activeTab="6" xr2:uid="{00000000-000D-0000-FFFF-FFFF00000000}"/>
  </bookViews>
  <sheets>
    <sheet name="00_README" sheetId="1" r:id="rId1"/>
    <sheet name="01_CONTROL" sheetId="2" r:id="rId2"/>
    <sheet name="02_CATALOG" sheetId="3" r:id="rId3"/>
    <sheet name="03_THRESHOLDS" sheetId="4" r:id="rId4"/>
    <sheet name="04_ANNUAL_DATA" sheetId="5" r:id="rId5"/>
    <sheet name="05_ENSEMBLE" sheetId="6" r:id="rId6"/>
    <sheet name="06_BASELINE_RESULTS" sheetId="7" r:id="rId7"/>
    <sheet name="07_ANNUAL_SUMMARY" sheetId="8" r:id="rId8"/>
    <sheet name="08_PRE_POST" sheetId="9" r:id="rId9"/>
    <sheet name="09_CORRELATION" sheetId="10" r:id="rId10"/>
    <sheet name="10_REDUNDANCY" sheetId="11" r:id="rId11"/>
    <sheet name="11_SENSITIVITY" sheetId="12" r:id="rId12"/>
    <sheet name="12_DASHBOARD" sheetId="13" r:id="rId13"/>
    <sheet name="13_QC" sheetId="14" r:id="rId14"/>
    <sheet name="14_CHANGE_LOG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7" l="1"/>
  <c r="D50" i="7" s="1"/>
  <c r="E50" i="7" s="1"/>
  <c r="B49" i="7"/>
  <c r="C47" i="7"/>
  <c r="D47" i="7" s="1"/>
  <c r="E47" i="7" s="1"/>
  <c r="B47" i="7"/>
  <c r="B46" i="7"/>
  <c r="L41" i="7"/>
  <c r="Q41" i="7" s="1"/>
  <c r="L40" i="7"/>
  <c r="Q40" i="7" s="1"/>
  <c r="L39" i="7"/>
  <c r="Q39" i="7" s="1"/>
  <c r="L38" i="7"/>
  <c r="M38" i="7" s="1"/>
  <c r="L37" i="7"/>
  <c r="Q37" i="7" s="1"/>
  <c r="Q36" i="7"/>
  <c r="M36" i="7"/>
  <c r="L36" i="7"/>
  <c r="Q35" i="7"/>
  <c r="M35" i="7"/>
  <c r="L35" i="7"/>
  <c r="M34" i="7"/>
  <c r="L34" i="7"/>
  <c r="Q34" i="7" s="1"/>
  <c r="L33" i="7"/>
  <c r="Q33" i="7" s="1"/>
  <c r="Q32" i="7"/>
  <c r="M32" i="7"/>
  <c r="L32" i="7"/>
  <c r="Q31" i="7"/>
  <c r="M31" i="7"/>
  <c r="L31" i="7"/>
  <c r="L30" i="7"/>
  <c r="Q30" i="7" s="1"/>
  <c r="L29" i="7"/>
  <c r="Q29" i="7" s="1"/>
  <c r="Q28" i="7"/>
  <c r="M28" i="7"/>
  <c r="L28" i="7"/>
  <c r="Q27" i="7"/>
  <c r="M27" i="7"/>
  <c r="L27" i="7"/>
  <c r="L26" i="7"/>
  <c r="Q26" i="7" s="1"/>
  <c r="L25" i="7"/>
  <c r="Q25" i="7" s="1"/>
  <c r="Q24" i="7"/>
  <c r="L24" i="7"/>
  <c r="M24" i="7" s="1"/>
  <c r="M23" i="7"/>
  <c r="L23" i="7"/>
  <c r="Q23" i="7" s="1"/>
  <c r="L22" i="7"/>
  <c r="Q22" i="7" s="1"/>
  <c r="L21" i="7"/>
  <c r="Q21" i="7" s="1"/>
  <c r="L20" i="7"/>
  <c r="Q20" i="7" s="1"/>
  <c r="L19" i="7"/>
  <c r="Q19" i="7" s="1"/>
  <c r="L18" i="7"/>
  <c r="M18" i="7" s="1"/>
  <c r="L17" i="7"/>
  <c r="Q17" i="7" s="1"/>
  <c r="Q16" i="7"/>
  <c r="M16" i="7"/>
  <c r="L16" i="7"/>
  <c r="Q15" i="7"/>
  <c r="M15" i="7"/>
  <c r="L15" i="7"/>
  <c r="Q14" i="7"/>
  <c r="M14" i="7"/>
  <c r="L14" i="7"/>
  <c r="L13" i="7"/>
  <c r="Q13" i="7" s="1"/>
  <c r="Q12" i="7"/>
  <c r="M12" i="7"/>
  <c r="L12" i="7"/>
  <c r="Q11" i="7"/>
  <c r="M11" i="7"/>
  <c r="L11" i="7"/>
  <c r="L10" i="7"/>
  <c r="Q10" i="7" s="1"/>
  <c r="L9" i="7"/>
  <c r="Q9" i="7" s="1"/>
  <c r="Q8" i="7"/>
  <c r="M8" i="7"/>
  <c r="L8" i="7"/>
  <c r="Q7" i="7"/>
  <c r="M7" i="7"/>
  <c r="L7" i="7"/>
  <c r="L6" i="7"/>
  <c r="M6" i="7" s="1"/>
  <c r="L5" i="7"/>
  <c r="Q5" i="7" s="1"/>
  <c r="Q4" i="7"/>
  <c r="L4" i="7"/>
  <c r="M4" i="7" s="1"/>
  <c r="C48" i="7" l="1"/>
  <c r="D48" i="7" s="1"/>
  <c r="E48" i="7" s="1"/>
  <c r="M5" i="7"/>
  <c r="Q18" i="7"/>
  <c r="M25" i="7"/>
  <c r="Q38" i="7"/>
  <c r="M22" i="7"/>
  <c r="C49" i="7"/>
  <c r="D49" i="7" s="1"/>
  <c r="E49" i="7" s="1"/>
  <c r="M26" i="7"/>
  <c r="Q6" i="7"/>
  <c r="M13" i="7"/>
  <c r="M33" i="7"/>
  <c r="B48" i="7"/>
  <c r="B52" i="7" s="1"/>
  <c r="M19" i="7"/>
  <c r="M39" i="7"/>
  <c r="M20" i="7"/>
  <c r="M40" i="7"/>
  <c r="B50" i="7"/>
  <c r="M21" i="7"/>
  <c r="M41" i="7"/>
  <c r="B51" i="7"/>
  <c r="C51" i="7"/>
  <c r="D51" i="7" s="1"/>
  <c r="E51" i="7" s="1"/>
  <c r="C46" i="7"/>
  <c r="M9" i="7"/>
  <c r="M29" i="7"/>
  <c r="M10" i="7"/>
  <c r="M30" i="7"/>
  <c r="M17" i="7"/>
  <c r="M37" i="7"/>
  <c r="C52" i="7" l="1"/>
  <c r="D52" i="7" s="1"/>
  <c r="E52" i="7" s="1"/>
  <c r="D46" i="7"/>
  <c r="E46" i="7" s="1"/>
</calcChain>
</file>

<file path=xl/sharedStrings.xml><?xml version="1.0" encoding="utf-8"?>
<sst xmlns="http://schemas.openxmlformats.org/spreadsheetml/2006/main" count="4475" uniqueCount="755">
  <si>
    <t>CIS integrated resilience framework tool v2</t>
  </si>
  <si>
    <t>Version</t>
  </si>
  <si>
    <t>v2 — standalone audit build</t>
  </si>
  <si>
    <t>Purpose</t>
  </si>
  <si>
    <t>Calculate and audit baseline, annual, four-member GIR ensemble, pre/post-expansion, correlation/redundancy and sensitivity results without external workbook links.</t>
  </si>
  <si>
    <t>Indicator policy</t>
  </si>
  <si>
    <t>All 38 indicators are retained by default. High correlation does not automatically remove an indicator. Operational-dimension weighting and diagnostic-only sensitivity are used before any exclusion.</t>
  </si>
  <si>
    <t>Baseline period</t>
  </si>
  <si>
    <t>2016–2025</t>
  </si>
  <si>
    <t>Pre/post definition</t>
  </si>
  <si>
    <t>Pre: 2016–2020; Transition: 2021; Post: 2022–2025.</t>
  </si>
  <si>
    <t>Ensemble definition</t>
  </si>
  <si>
    <t>Four members only: ISW50_EffHigh, ISW50_EffLow, ISW90_EffHigh, ISW90_EffLow. Mean/min/max are summaries.</t>
  </si>
  <si>
    <t>Range terminology</t>
  </si>
  <si>
    <t>Annual min–max = interannual variability. Ensemble min–max = demand-scenario uncertainty. Pre–post difference = structural/temporal contrast. Sensitivity = methodological robustness.</t>
  </si>
  <si>
    <t>Default aggregation candidate</t>
  </si>
  <si>
    <t>Dimension-balanced within each subsystem, equal weights among subsystems. Equal-indicator aggregation remains available for comparison.</t>
  </si>
  <si>
    <t>Important limitation</t>
  </si>
  <si>
    <t>Pre/post differences are not causal estimates of expansion because climate, crop pattern and operations also differ.</t>
  </si>
  <si>
    <t>Subsystem F</t>
  </si>
  <si>
    <t>Current evidence assessment only; excluded from pre/post A–E comparison.</t>
  </si>
  <si>
    <t>Data provenance</t>
  </si>
  <si>
    <t>Embedded values were extracted from the uploaded Subsystems A–F workbooks and checked against the manuscript and supplementary material.</t>
  </si>
  <si>
    <t>Control panel</t>
  </si>
  <si>
    <t>Parameter</t>
  </si>
  <si>
    <t>Value</t>
  </si>
  <si>
    <t>Use</t>
  </si>
  <si>
    <t>Editable?</t>
  </si>
  <si>
    <t>Assessment start</t>
  </si>
  <si>
    <t>Annual/baseline scope</t>
  </si>
  <si>
    <t>Yes</t>
  </si>
  <si>
    <t>Assessment end</t>
  </si>
  <si>
    <t>Pre period start</t>
  </si>
  <si>
    <t>Pre/post comparison</t>
  </si>
  <si>
    <t>Pre period end</t>
  </si>
  <si>
    <t>Transition year</t>
  </si>
  <si>
    <t>Excluded from pre/post</t>
  </si>
  <si>
    <t>Post period start</t>
  </si>
  <si>
    <t>Post period end</t>
  </si>
  <si>
    <t>Selected weighting profile</t>
  </si>
  <si>
    <t>Dimension-balanced</t>
  </si>
  <si>
    <t>Baseline dashboard</t>
  </si>
  <si>
    <t>Indicator retention policy</t>
  </si>
  <si>
    <t>Retain by default</t>
  </si>
  <si>
    <t>Methodological rule</t>
  </si>
  <si>
    <t>No</t>
  </si>
  <si>
    <t>Class thresholds (normalised)</t>
  </si>
  <si>
    <t>0.25 / 0.50 / 0.75</t>
  </si>
  <si>
    <t>Low / Moderate / Good / Excellent</t>
  </si>
  <si>
    <t>Indicator catalog and operational rationale</t>
  </si>
  <si>
    <t>Subsystem</t>
  </si>
  <si>
    <t>Code</t>
  </si>
  <si>
    <t>Indicator name</t>
  </si>
  <si>
    <t>Unit</t>
  </si>
  <si>
    <t>Orientation</t>
  </si>
  <si>
    <t>Indicator type</t>
  </si>
  <si>
    <t>Operational dimension</t>
  </si>
  <si>
    <t>Operational role</t>
  </si>
  <si>
    <t>Failure mechanism</t>
  </si>
  <si>
    <t>Decision supported</t>
  </si>
  <si>
    <t>Temporal basis</t>
  </si>
  <si>
    <t>Ensemble dependency</t>
  </si>
  <si>
    <t>Coverage</t>
  </si>
  <si>
    <t>Aggregation status</t>
  </si>
  <si>
    <t>Active</t>
  </si>
  <si>
    <t>Equal weight</t>
  </si>
  <si>
    <t>Dimension weight</t>
  </si>
  <si>
    <t>Notes</t>
  </si>
  <si>
    <t>A</t>
  </si>
  <si>
    <t>A1</t>
  </si>
  <si>
    <t>Time-based inflow reliability</t>
  </si>
  <si>
    <t>–</t>
  </si>
  <si>
    <t>Positive</t>
  </si>
  <si>
    <t>Performance</t>
  </si>
  <si>
    <t>Inflow adequacy</t>
  </si>
  <si>
    <t>Frequency with which monthly inflow meets the seasonal minimum threshold</t>
  </si>
  <si>
    <t>Frequent low-inflow months</t>
  </si>
  <si>
    <t>Drought alert and seasonal storage planning</t>
  </si>
  <si>
    <t>Period; annual diagnostic</t>
  </si>
  <si>
    <t>2016–2025 monthly inflow</t>
  </si>
  <si>
    <t>Active — retained</t>
  </si>
  <si>
    <t>A2</t>
  </si>
  <si>
    <t>Volumetric inflow reliability</t>
  </si>
  <si>
    <t>Cumulative inflow deficit severity relative to seasonal thresholds</t>
  </si>
  <si>
    <t>Large cumulative inflow deficits</t>
  </si>
  <si>
    <t>Allocation and carry-over planning</t>
  </si>
  <si>
    <t>A3</t>
  </si>
  <si>
    <t>Mean drought duration</t>
  </si>
  <si>
    <t>months</t>
  </si>
  <si>
    <t>Negative</t>
  </si>
  <si>
    <t>Stress</t>
  </si>
  <si>
    <t>Drought persistence</t>
  </si>
  <si>
    <t>Persistence of consecutive below-threshold inflow months</t>
  </si>
  <si>
    <t>Prolonged hydrological drought</t>
  </si>
  <si>
    <t>Multi-season restriction and recovery planning</t>
  </si>
  <si>
    <t>A4</t>
  </si>
  <si>
    <t>Coefficient of variation of annual inflow</t>
  </si>
  <si>
    <t>Exposure</t>
  </si>
  <si>
    <t>Interannual variability</t>
  </si>
  <si>
    <t>Year-to-year instability of annual inflow</t>
  </si>
  <si>
    <t>Unpredictable replenishment and sequencing risk</t>
  </si>
  <si>
    <t>Carry-over and allocation safety margins</t>
  </si>
  <si>
    <t>Period only</t>
  </si>
  <si>
    <t>2016–2025 annual inflow</t>
  </si>
  <si>
    <t>A5</t>
  </si>
  <si>
    <t>Buffering capacity</t>
  </si>
  <si>
    <t>Structural proxy</t>
  </si>
  <si>
    <t>Storage context and dependence</t>
  </si>
  <si>
    <t>Theoretical regulation potential relative to mean annual inflow</t>
  </si>
  <si>
    <t>Insufficient storage relative to inflow regime</t>
  </si>
  <si>
    <t>Long-term storage planning</t>
  </si>
  <si>
    <t>Net capacity and period mean inflow</t>
  </si>
  <si>
    <t>Share a dimension; A5 is structural potential and A6 is dependence/stress.</t>
  </si>
  <si>
    <t>A6</t>
  </si>
  <si>
    <t>Carry-over dependence</t>
  </si>
  <si>
    <t>Increase in dependence on multi-year storage relative to baseline inflow</t>
  </si>
  <si>
    <t>Service reliant on accumulated storage under declining inflow</t>
  </si>
  <si>
    <t>Carry-over safeguards and drought rules</t>
  </si>
  <si>
    <t>Baseline and period mean inflow</t>
  </si>
  <si>
    <t>B</t>
  </si>
  <si>
    <t>B1</t>
  </si>
  <si>
    <t>Time-based supply reliability</t>
  </si>
  <si>
    <t>Supply adequacy</t>
  </si>
  <si>
    <t>Frequency of months in which source demand is fully supplied</t>
  </si>
  <si>
    <t>Repeated service-failure months</t>
  </si>
  <si>
    <t>Reservoir operating rules and allocation</t>
  </si>
  <si>
    <t>Period and annual</t>
  </si>
  <si>
    <t>2016–2025; four GIR variants</t>
  </si>
  <si>
    <t>B2</t>
  </si>
  <si>
    <t>Volumetric supply reliability</t>
  </si>
  <si>
    <t>Share of source demand effectively supplied</t>
  </si>
  <si>
    <t>Large cumulative service deficit</t>
  </si>
  <si>
    <t>Supply targets and deficit allocation</t>
  </si>
  <si>
    <t>B3</t>
  </si>
  <si>
    <t>Mean supply performance during failure</t>
  </si>
  <si>
    <t>Failure severity</t>
  </si>
  <si>
    <t>Mean proportion of demand supplied during failure months</t>
  </si>
  <si>
    <t>Severe partial supply during failure</t>
  </si>
  <si>
    <t>Rationing intensity and priority rules</t>
  </si>
  <si>
    <t>B4</t>
  </si>
  <si>
    <t>Recovery after failure</t>
  </si>
  <si>
    <t>Recovery</t>
  </si>
  <si>
    <t>Probability of returning to satisfactory service after failure</t>
  </si>
  <si>
    <t>Persistent service failure</t>
  </si>
  <si>
    <t>Recovery rules and reserve margins</t>
  </si>
  <si>
    <t>B5</t>
  </si>
  <si>
    <t>Spill–shortage coexistence frequency</t>
  </si>
  <si>
    <t>Operational coherence</t>
  </si>
  <si>
    <t>Frequency of years with both spill and irrigation shortage</t>
  </si>
  <si>
    <t>Storage/operation mismatch</t>
  </si>
  <si>
    <t>Rule-curve and timing adjustments</t>
  </si>
  <si>
    <t>C</t>
  </si>
  <si>
    <t>C1</t>
  </si>
  <si>
    <t>Hydrant pressure reliability</t>
  </si>
  <si>
    <t>Pressure reliability</t>
  </si>
  <si>
    <t>Overall reliability across open hydrant–simulation records (current workbook implementation)</t>
  </si>
  <si>
    <t>Frequent pressure failure at operating hydrants</t>
  </si>
  <si>
    <t>Network operation and rehabilitation</t>
  </si>
  <si>
    <t>Annual and period</t>
  </si>
  <si>
    <t>Equation/label/unit harmonisation required before publication.</t>
  </si>
  <si>
    <t>C2</t>
  </si>
  <si>
    <t>Network pressure reliability</t>
  </si>
  <si>
    <t>Share of hydrants remaining outside the critical failed set</t>
  </si>
  <si>
    <t>Spatial concentration of hydraulic failure</t>
  </si>
  <si>
    <t>Sector prioritisation and network upgrades</t>
  </si>
  <si>
    <t>C3</t>
  </si>
  <si>
    <t>Relative pressure deficit</t>
  </si>
  <si>
    <t>% Pmin</t>
  </si>
  <si>
    <t>Pressure-deficit severity</t>
  </si>
  <si>
    <t>Mean relative pressure-deficit severity during hydraulic failure</t>
  </si>
  <si>
    <t>Widespread pressure shortfall</t>
  </si>
  <si>
    <t>Pressure setpoints and peak-demand control</t>
  </si>
  <si>
    <t>C4</t>
  </si>
  <si>
    <t>Critical hydrant deficit (P80)</t>
  </si>
  <si>
    <t>Upper-tail relative pressure deficit at critical hydrants</t>
  </si>
  <si>
    <t>Persistent severe deficit at vulnerable hydrants</t>
  </si>
  <si>
    <t>Targeted pipe/hydrant rehabilitation</t>
  </si>
  <si>
    <t>C5</t>
  </si>
  <si>
    <t>Maximum hydrant deficit</t>
  </si>
  <si>
    <t>Maximum simulated relative pressure deficit</t>
  </si>
  <si>
    <t>Extreme local hydraulic failure</t>
  </si>
  <si>
    <t>Critical-node protection</t>
  </si>
  <si>
    <t>D</t>
  </si>
  <si>
    <t>D1</t>
  </si>
  <si>
    <t>Energy per irrigated area</t>
  </si>
  <si>
    <t>kWh ha⁻¹</t>
  </si>
  <si>
    <t>Energy intensity</t>
  </si>
  <si>
    <t>Energy intensity relative to effectively irrigated area</t>
  </si>
  <si>
    <t>High energy burden per service area</t>
  </si>
  <si>
    <t>Pump operation and efficiency investment</t>
  </si>
  <si>
    <t>Annual; incomplete</t>
  </si>
  <si>
    <t>2018–2025</t>
  </si>
  <si>
    <t>D2</t>
  </si>
  <si>
    <t>Energy per supplied volume</t>
  </si>
  <si>
    <t>kWh m⁻³</t>
  </si>
  <si>
    <t>Energy intensity per volume delivered at hydrants</t>
  </si>
  <si>
    <t>High energy use per unit service</t>
  </si>
  <si>
    <t>Pumping efficiency and leakage control</t>
  </si>
  <si>
    <t>D3</t>
  </si>
  <si>
    <t>Energy per abstracted volume</t>
  </si>
  <si>
    <t>Energy intensity per abstracted/source volume</t>
  </si>
  <si>
    <t>High source-side pumping intensity</t>
  </si>
  <si>
    <t>Pumping station optimisation</t>
  </si>
  <si>
    <t>High redundancy flag; retained and tested as diagnostic-only alternative.</t>
  </si>
  <si>
    <t>D4</t>
  </si>
  <si>
    <t>Energy cost per irrigated area</t>
  </si>
  <si>
    <t>€ ha⁻¹</t>
  </si>
  <si>
    <t>Financial exposure</t>
  </si>
  <si>
    <t>Energy-cost exposure per irrigated area</t>
  </si>
  <si>
    <t>High operating cost per service area</t>
  </si>
  <si>
    <t>Tariffs, budgets and investments</t>
  </si>
  <si>
    <t>Annual</t>
  </si>
  <si>
    <t>D5</t>
  </si>
  <si>
    <t>Energy cost per supplied volume</t>
  </si>
  <si>
    <t>€ m⁻³</t>
  </si>
  <si>
    <t>Energy-cost exposure per delivered volume</t>
  </si>
  <si>
    <t>High financial burden per unit service</t>
  </si>
  <si>
    <t>Energy procurement and tariff design</t>
  </si>
  <si>
    <t>D6</t>
  </si>
  <si>
    <t>Energy cost per abstracted volume</t>
  </si>
  <si>
    <t>Energy-cost exposure per source withdrawal</t>
  </si>
  <si>
    <t>High source-side financial burden</t>
  </si>
  <si>
    <t>Pumping and procurement strategy</t>
  </si>
  <si>
    <t>D7</t>
  </si>
  <si>
    <t>Renewable energy contribution</t>
  </si>
  <si>
    <t>Adaptive capacity</t>
  </si>
  <si>
    <t>Decarbonisation</t>
  </si>
  <si>
    <t>Share of pumping energy covered by renewables</t>
  </si>
  <si>
    <t>Dependence on grid energy and price volatility</t>
  </si>
  <si>
    <t>Renewable-energy investment</t>
  </si>
  <si>
    <t>Current snapshot</t>
  </si>
  <si>
    <t>2025 only</t>
  </si>
  <si>
    <t>D8</t>
  </si>
  <si>
    <t>Pump redundancy</t>
  </si>
  <si>
    <t>Functional redundancy</t>
  </si>
  <si>
    <t>Spare pumping capacity relative to peak requirement</t>
  </si>
  <si>
    <t>No backup under pump failure or peak demand</t>
  </si>
  <si>
    <t>Pump reserve and contingency planning</t>
  </si>
  <si>
    <t>E</t>
  </si>
  <si>
    <t>E1</t>
  </si>
  <si>
    <t>Gross irrigation requirement</t>
  </si>
  <si>
    <t>mm</t>
  </si>
  <si>
    <t>Demand magnitude and concentration</t>
  </si>
  <si>
    <t>Seasonal gross irrigation demand imposed by crop/technology configuration</t>
  </si>
  <si>
    <t>High seasonal water demand</t>
  </si>
  <si>
    <t>Crop pattern and efficiency measures</t>
  </si>
  <si>
    <t>E2</t>
  </si>
  <si>
    <t>Peak demand factor</t>
  </si>
  <si>
    <t>Share of seasonal demand concentrated in peak month</t>
  </si>
  <si>
    <t>High short-term pressure on source/network/energy</t>
  </si>
  <si>
    <t>Peak management and operating schedules</t>
  </si>
  <si>
    <t>E3</t>
  </si>
  <si>
    <t>Peak demand staggering</t>
  </si>
  <si>
    <t>Reduction in coincident peak due to temporal spreading among crops</t>
  </si>
  <si>
    <t>Synchronous crop-demand peaks</t>
  </si>
  <si>
    <t>Crop calendars and demand scheduling</t>
  </si>
  <si>
    <t>E4</t>
  </si>
  <si>
    <t>Irrigation system factor</t>
  </si>
  <si>
    <t>Irrigation technology and control</t>
  </si>
  <si>
    <t>Demand amplification associated with application efficiency and wetted fraction</t>
  </si>
  <si>
    <t>Technology-induced gross-demand amplification</t>
  </si>
  <si>
    <t>Technology performance improvement</t>
  </si>
  <si>
    <t>Partly</t>
  </si>
  <si>
    <t>2016–2025; low/high efficiency</t>
  </si>
  <si>
    <t>E5</t>
  </si>
  <si>
    <t>On-farm technology and control</t>
  </si>
  <si>
    <t>Monitoring, scheduling, automation and variable-rate control</t>
  </si>
  <si>
    <t>Limited ability to adjust irrigation under stress</t>
  </si>
  <si>
    <t>Farm-control upgrades</t>
  </si>
  <si>
    <t>E6</t>
  </si>
  <si>
    <t>Water-deficit and salinity tolerance</t>
  </si>
  <si>
    <t>Crop flexibility and exposure</t>
  </si>
  <si>
    <t>Crop-pattern capacity to tolerate moderate abiotic stress</t>
  </si>
  <si>
    <t>Yield sensitivity under deficit/salinity</t>
  </si>
  <si>
    <t>Crop diversification and deficit irrigation</t>
  </si>
  <si>
    <t>E7</t>
  </si>
  <si>
    <t>Share of permanent crops</t>
  </si>
  <si>
    <t>Long-term irrigation commitment and reduced allocation flexibility</t>
  </si>
  <si>
    <t>Rigid drought demand and asset-loss risk</t>
  </si>
  <si>
    <t>Allocation priorities and expansion control</t>
  </si>
  <si>
    <t>E8</t>
  </si>
  <si>
    <t>Soil-water buffering capacity</t>
  </si>
  <si>
    <t>Structural capacity</t>
  </si>
  <si>
    <t>Local buffering</t>
  </si>
  <si>
    <t>Plant-available soil-water storage in the effective root zone</t>
  </si>
  <si>
    <t>Rapid onset of irrigation demand and low interruption buffer</t>
  </si>
  <si>
    <t>Soil/crop management</t>
  </si>
  <si>
    <t>E9</t>
  </si>
  <si>
    <t>Alternative local access to storage</t>
  </si>
  <si>
    <t>Potential proximity-based access to local ponds/tanks</t>
  </si>
  <si>
    <t>No local buffer during short supply interruptions</t>
  </si>
  <si>
    <t>Local storage inventory and connection verification</t>
  </si>
  <si>
    <t>Current structural snapshot</t>
  </si>
  <si>
    <t>Current mapping</t>
  </si>
  <si>
    <t>E10</t>
  </si>
  <si>
    <t>Chill requirement adequacy indicator</t>
  </si>
  <si>
    <t>Adequacy of accumulated winter chill for chill-dependent crops</t>
  </si>
  <si>
    <t>Phenological/yield risk under warm winters</t>
  </si>
  <si>
    <t>Crop/variety adaptation</t>
  </si>
  <si>
    <t>F</t>
  </si>
  <si>
    <t>F1</t>
  </si>
  <si>
    <t>Preparedness, alert thresholds and response rules</t>
  </si>
  <si>
    <t>Institutional capacity</t>
  </si>
  <si>
    <t>Preparedness</t>
  </si>
  <si>
    <t>Formal planning, alert thresholds and drought/emergency rules</t>
  </si>
  <si>
    <t>Late or inconsistent response to emerging stress</t>
  </si>
  <si>
    <t>Contingency planning and rule formalisation</t>
  </si>
  <si>
    <t>Current assessment</t>
  </si>
  <si>
    <t>Current evidence</t>
  </si>
  <si>
    <t>F2</t>
  </si>
  <si>
    <t>Operational monitoring and control capacity</t>
  </si>
  <si>
    <t>Monitoring and control</t>
  </si>
  <si>
    <t>Availability and use of operational information and control capacity</t>
  </si>
  <si>
    <t>Weak detection and anticipation of failure</t>
  </si>
  <si>
    <t>Monitoring, telemetry and records</t>
  </si>
  <si>
    <t>F3</t>
  </si>
  <si>
    <t>Financial and infrastructure management capacity</t>
  </si>
  <si>
    <t>Financial and infrastructure capacity</t>
  </si>
  <si>
    <t>Capacity to maintain infrastructure, cover costs and mobilise emergency resources</t>
  </si>
  <si>
    <t>Maintenance/financial failure during stress</t>
  </si>
  <si>
    <t>Budgets, reserves and maintenance plans</t>
  </si>
  <si>
    <t>F4</t>
  </si>
  <si>
    <t>Participation, communication and compliance</t>
  </si>
  <si>
    <t>Participation and compliance</t>
  </si>
  <si>
    <t>Farmer involvement, communication, enforcement and conflict resolution</t>
  </si>
  <si>
    <t>Low compliance and ineffective rationing</t>
  </si>
  <si>
    <t>Communication and governance procedures</t>
  </si>
  <si>
    <t>Corrected resilience thresholds and boundary rules</t>
  </si>
  <si>
    <t>Indicator</t>
  </si>
  <si>
    <t>T1</t>
  </si>
  <si>
    <t>T2</t>
  </si>
  <si>
    <t>T3</t>
  </si>
  <si>
    <t>T4 saturation</t>
  </si>
  <si>
    <t>Class 1 Low</t>
  </si>
  <si>
    <t>Class 2 Moderate</t>
  </si>
  <si>
    <t>Class 3 Good</t>
  </si>
  <si>
    <t>Class 4 Excellent</t>
  </si>
  <si>
    <t>Threshold note</t>
  </si>
  <si>
    <t>x &lt; 0.4</t>
  </si>
  <si>
    <t>0.4 ≤ x &lt; 0.6</t>
  </si>
  <si>
    <t>0.6 ≤ x &lt; 0.8</t>
  </si>
  <si>
    <t>x ≥ 0.8</t>
  </si>
  <si>
    <t>x &gt; 12</t>
  </si>
  <si>
    <t>6 &lt; x ≤ 12</t>
  </si>
  <si>
    <t>3 &lt; x ≤ 6</t>
  </si>
  <si>
    <t>x ≤ 3</t>
  </si>
  <si>
    <t>x &gt; 1.1</t>
  </si>
  <si>
    <t>0.9 &lt; x ≤ 1.1</t>
  </si>
  <si>
    <t>0.5 &lt; x ≤ 0.9</t>
  </si>
  <si>
    <t>x ≤ 0.5</t>
  </si>
  <si>
    <t>x &lt; 0.75</t>
  </si>
  <si>
    <t>0.75 ≤ x &lt; 1.5</t>
  </si>
  <si>
    <t>1.5 ≤ x ≤ 3</t>
  </si>
  <si>
    <t>x &gt; 3</t>
  </si>
  <si>
    <t>T4=90.8309 is a fixed technical saturation anchor, not the Excellent class boundary.</t>
  </si>
  <si>
    <t>x &gt; 2</t>
  </si>
  <si>
    <t>1.5 &lt; x ≤ 2</t>
  </si>
  <si>
    <t>1.05 &lt; x ≤ 1.5</t>
  </si>
  <si>
    <t>x ≤ 1.05</t>
  </si>
  <si>
    <t>User-approved correction: Good 1.05&lt;x≤1.50; Excellent x≤1.05.</t>
  </si>
  <si>
    <t>x &lt; 0.5</t>
  </si>
  <si>
    <t>0.5 ≤ x &lt; 0.6</t>
  </si>
  <si>
    <t>x &lt; 0.7</t>
  </si>
  <si>
    <t>0.7 ≤ x &lt; 0.75</t>
  </si>
  <si>
    <t>0.75 ≤ x &lt; 0.8</t>
  </si>
  <si>
    <t>x &lt; 0.25</t>
  </si>
  <si>
    <t>0.25 ≤ x &lt; 0.5</t>
  </si>
  <si>
    <t>0.5 ≤ x &lt; 0.75</t>
  </si>
  <si>
    <t>x ≥ 0.75</t>
  </si>
  <si>
    <t>x &gt; 0.3</t>
  </si>
  <si>
    <t>0.1 &lt; x ≤ 0.3</t>
  </si>
  <si>
    <t>0.01 &lt; x ≤ 0.1</t>
  </si>
  <si>
    <t>x ≤ 0.01</t>
  </si>
  <si>
    <t>0.75 ≤ x &lt; 0.85</t>
  </si>
  <si>
    <t>x ≥ 0.85</t>
  </si>
  <si>
    <t>x &gt; 1</t>
  </si>
  <si>
    <t>0.5 &lt; x ≤ 1</t>
  </si>
  <si>
    <t>0.3 &lt; x ≤ 0.5</t>
  </si>
  <si>
    <t>x ≤ 0.3</t>
  </si>
  <si>
    <t>Current v2 preserves % of Pmin implementation; harmonise manuscript equation/unit.</t>
  </si>
  <si>
    <t>x &gt; 2000</t>
  </si>
  <si>
    <t>1500 &lt; x ≤ 2000</t>
  </si>
  <si>
    <t>1000 &lt; x ≤ 1500</t>
  </si>
  <si>
    <t>x ≤ 1000</t>
  </si>
  <si>
    <t>x &gt; 0.4</t>
  </si>
  <si>
    <t>0.3 &lt; x ≤ 0.4</t>
  </si>
  <si>
    <t>0.2 &lt; x ≤ 0.3</t>
  </si>
  <si>
    <t>x ≤ 0.2</t>
  </si>
  <si>
    <t>x &gt; 0.35</t>
  </si>
  <si>
    <t>0.25 &lt; x ≤ 0.35</t>
  </si>
  <si>
    <t>0.15 &lt; x ≤ 0.25</t>
  </si>
  <si>
    <t>x ≤ 0.15</t>
  </si>
  <si>
    <t>x &gt; 200</t>
  </si>
  <si>
    <t>150 &lt; x ≤ 200</t>
  </si>
  <si>
    <t>100 &lt; x ≤ 150</t>
  </si>
  <si>
    <t>x ≤ 100</t>
  </si>
  <si>
    <t>x &gt; 0.06</t>
  </si>
  <si>
    <t>0.04 &lt; x ≤ 0.06</t>
  </si>
  <si>
    <t>0.02 &lt; x ≤ 0.04</t>
  </si>
  <si>
    <t>x ≤ 0.02</t>
  </si>
  <si>
    <t>x &lt; 0.05</t>
  </si>
  <si>
    <t>0.05 ≤ x &lt; 0.1</t>
  </si>
  <si>
    <t>0.1 ≤ x &lt; 0.2</t>
  </si>
  <si>
    <t>x ≥ 0.2</t>
  </si>
  <si>
    <t>x &lt; 0</t>
  </si>
  <si>
    <t>0 ≤ x &lt; 0.25</t>
  </si>
  <si>
    <t>x ≥ 0.5</t>
  </si>
  <si>
    <t>x &gt; 600</t>
  </si>
  <si>
    <t>500 &lt; x ≤ 600</t>
  </si>
  <si>
    <t>400 &lt; x ≤ 500</t>
  </si>
  <si>
    <t>x ≤ 400</t>
  </si>
  <si>
    <t>x &gt; 0.45</t>
  </si>
  <si>
    <t>0.35 &lt; x ≤ 0.45</t>
  </si>
  <si>
    <t>x ≤ 0.25</t>
  </si>
  <si>
    <t>x &gt; 1.25</t>
  </si>
  <si>
    <t>1.05 &lt; x ≤ 1.25</t>
  </si>
  <si>
    <t>0.75 &lt; x ≤ 1.05</t>
  </si>
  <si>
    <t>x ≤ 0.75</t>
  </si>
  <si>
    <t>0 ≤ x &lt; 0.2</t>
  </si>
  <si>
    <t>0.2 ≤ x &lt; 0.25</t>
  </si>
  <si>
    <t>x ≥ 0.25</t>
  </si>
  <si>
    <t>x &gt; 0.6</t>
  </si>
  <si>
    <t>0.4 &lt; x ≤ 0.6</t>
  </si>
  <si>
    <t>x &lt; 40</t>
  </si>
  <si>
    <t>40 ≤ x &lt; 60</t>
  </si>
  <si>
    <t>60 ≤ x &lt; 80</t>
  </si>
  <si>
    <t>x ≥ 80</t>
  </si>
  <si>
    <t>0.7 ≤ x &lt; 0.85</t>
  </si>
  <si>
    <t>0.85 ≤ x &lt; 0.95</t>
  </si>
  <si>
    <t>x ≥ 0.95</t>
  </si>
  <si>
    <t>Embedded annual indicator values</t>
  </si>
  <si>
    <t>Year</t>
  </si>
  <si>
    <t>Period group</t>
  </si>
  <si>
    <t>Raw value</t>
  </si>
  <si>
    <t>Annual availability</t>
  </si>
  <si>
    <t>Source treatment</t>
  </si>
  <si>
    <t>Pre</t>
  </si>
  <si>
    <t>Available</t>
  </si>
  <si>
    <t>Not annual / missing</t>
  </si>
  <si>
    <t>Period-level definition; annual diagnostic excluded.</t>
  </si>
  <si>
    <t>Missing energy data; blank, not zero.</t>
  </si>
  <si>
    <t>PV contribution unavailable before 2025.</t>
  </si>
  <si>
    <t>Current structural value; annual change not inferred.</t>
  </si>
  <si>
    <t>Current evidence assessment only.</t>
  </si>
  <si>
    <t>Transition</t>
  </si>
  <si>
    <t>Post</t>
  </si>
  <si>
    <t>Four-member GIR ensemble — period results</t>
  </si>
  <si>
    <t>Variant-level integrated results</t>
  </si>
  <si>
    <t>Rule</t>
  </si>
  <si>
    <t>The ensemble has four members. Mean/min/max are summaries and are not counted as additional members.</t>
  </si>
  <si>
    <t>Variant</t>
  </si>
  <si>
    <t>Equal A</t>
  </si>
  <si>
    <t>Equal B</t>
  </si>
  <si>
    <t>Equal C</t>
  </si>
  <si>
    <t>Equal D</t>
  </si>
  <si>
    <t>Equal E</t>
  </si>
  <si>
    <t>Equal F</t>
  </si>
  <si>
    <t>Equal overall</t>
  </si>
  <si>
    <t>Dim overall</t>
  </si>
  <si>
    <t>Normalised value</t>
  </si>
  <si>
    <t>Comment</t>
  </si>
  <si>
    <t>ISW50_EffHigh</t>
  </si>
  <si>
    <t>Complete variant retained; no cross-variant mixing.</t>
  </si>
  <si>
    <t>ISW50_EffLow</t>
  </si>
  <si>
    <t>ISW90_EffHigh</t>
  </si>
  <si>
    <t>ISW90_EffLow</t>
  </si>
  <si>
    <t>Summary</t>
  </si>
  <si>
    <t>Min</t>
  </si>
  <si>
    <t>Mean</t>
  </si>
  <si>
    <t>Max</t>
  </si>
  <si>
    <t>Dimension overall</t>
  </si>
  <si>
    <t>Baseline 2016–2025 — corrected normalisation and aggregation</t>
  </si>
  <si>
    <t>Type</t>
  </si>
  <si>
    <t>Dimension</t>
  </si>
  <si>
    <t>T4</t>
  </si>
  <si>
    <t>Normalised</t>
  </si>
  <si>
    <t>Class</t>
  </si>
  <si>
    <t>Equal wt</t>
  </si>
  <si>
    <t>Dimension wt</t>
  </si>
  <si>
    <t>Selected contribution</t>
  </si>
  <si>
    <t>Subsystem and CIS scores</t>
  </si>
  <si>
    <t>Equal indicators</t>
  </si>
  <si>
    <t>Selected score</t>
  </si>
  <si>
    <t>Manuscript comparison</t>
  </si>
  <si>
    <t>Manuscript 0.63</t>
  </si>
  <si>
    <t>Manuscript 0.90</t>
  </si>
  <si>
    <t>Manuscript 0.76</t>
  </si>
  <si>
    <t>Manuscript 0.71</t>
  </si>
  <si>
    <t>Manuscript 0.70</t>
  </si>
  <si>
    <t>Manuscript 0.59</t>
  </si>
  <si>
    <t>Overall CIS</t>
  </si>
  <si>
    <t>Manuscript 0.72</t>
  </si>
  <si>
    <t>Annual indicator summary — interannual variability only</t>
  </si>
  <si>
    <t>Definition</t>
  </si>
  <si>
    <t>Min–max on this sheet is the range among annual values. It is not the four-member ensemble range.</t>
  </si>
  <si>
    <t>n years</t>
  </si>
  <si>
    <t>SD</t>
  </si>
  <si>
    <t>Annual min</t>
  </si>
  <si>
    <t>Annual max</t>
  </si>
  <si>
    <t>Interpretation</t>
  </si>
  <si>
    <t>Use in aggregation</t>
  </si>
  <si>
    <t>QC</t>
  </si>
  <si>
    <t>Describe interannual variability only; do not label as ensemble uncertainty.</t>
  </si>
  <si>
    <t>Annual variability</t>
  </si>
  <si>
    <t>OK</t>
  </si>
  <si>
    <t>Period-only; annual diagnostic excluded</t>
  </si>
  <si>
    <t>Not annual</t>
  </si>
  <si>
    <t>2025 snapshot</t>
  </si>
  <si>
    <t>Structural snapshot</t>
  </si>
  <si>
    <t>Pre- versus post-expansion comparison</t>
  </si>
  <si>
    <t>Caution</t>
  </si>
  <si>
    <t>Main periods: 2016–2020 versus 2022–2025; 2021 is transition. Differences are descriptive, not causal expansion effects.</t>
  </si>
  <si>
    <t>Pre raw</t>
  </si>
  <si>
    <t>Post raw</t>
  </si>
  <si>
    <t>Difference</t>
  </si>
  <si>
    <t>Relative change %</t>
  </si>
  <si>
    <t>Pre norm</t>
  </si>
  <si>
    <t>Post norm</t>
  </si>
  <si>
    <t>Norm change</t>
  </si>
  <si>
    <t>Pre class</t>
  </si>
  <si>
    <t>Post class</t>
  </si>
  <si>
    <t>Good</t>
  </si>
  <si>
    <t>A–E comparable indicator</t>
  </si>
  <si>
    <t>Interpret jointly with climate and crop/technology changes; do not infer causality from period contrast.</t>
  </si>
  <si>
    <t>Excellent</t>
  </si>
  <si>
    <t>Moderate</t>
  </si>
  <si>
    <t>Low</t>
  </si>
  <si>
    <t>Not available</t>
  </si>
  <si>
    <t>Comparable A–E subsystem scores</t>
  </si>
  <si>
    <t>Pre score</t>
  </si>
  <si>
    <t>Post score</t>
  </si>
  <si>
    <t>Descriptive contrast; 2021 excluded.</t>
  </si>
  <si>
    <t>A–E mean</t>
  </si>
  <si>
    <t>F excluded because it is not annual.</t>
  </si>
  <si>
    <t>Exploratory Spearman correlation matrices</t>
  </si>
  <si>
    <t>Annual central series; n≤10. Do not use correlation alone to delete indicators. Period-only/static indicators are excluded.</t>
  </si>
  <si>
    <t>Subsystem A</t>
  </si>
  <si>
    <t>Subsystem B</t>
  </si>
  <si>
    <t>Subsystem C</t>
  </si>
  <si>
    <t>Subsystem D</t>
  </si>
  <si>
    <t>Subsystem E</t>
  </si>
  <si>
    <t>Redundancy review and indicator-retention decisions</t>
  </si>
  <si>
    <t>Indicator 1</t>
  </si>
  <si>
    <t>Indicator 2</t>
  </si>
  <si>
    <t>rho</t>
  </si>
  <si>
    <t>n</t>
  </si>
  <si>
    <t>Preferred decision</t>
  </si>
  <si>
    <t>Fallback if unresolved</t>
  </si>
  <si>
    <t>Status</t>
  </si>
  <si>
    <t>Time and volume reliability coincide because failures are rare.</t>
  </si>
  <si>
    <t>Retain; failure-free record limits statistical discrimination.</t>
  </si>
  <si>
    <t>Retain one in aggregation and keep the other diagnostic-only; eliminate only after documented decision.</t>
  </si>
  <si>
    <t>Retain / group</t>
  </si>
  <si>
    <t>B3 only differs when failure occurs; annual central series has few failures.</t>
  </si>
  <si>
    <t>Retain; report event-based functional distinction.</t>
  </si>
  <si>
    <t>Recovery is undefined/informative only after failure; default=1 when no failure.</t>
  </si>
  <si>
    <t>Retain; use scenario stress test to show added information.</t>
  </si>
  <si>
    <t>Global supplied volume and failure-month performance share deficits.</t>
  </si>
  <si>
    <t>Retain; group B1/B2 as adequacy and B3 separately as severity.</t>
  </si>
  <si>
    <t>High reliability and recovery co-occur in failure-sparse period.</t>
  </si>
  <si>
    <t>Retain; test under low-efficiency scenario.</t>
  </si>
  <si>
    <t>Failure severity and recovery share the same small set of events.</t>
  </si>
  <si>
    <t>Retain; distinct before/during vs after failure roles.</t>
  </si>
  <si>
    <t>Exact rank equivalence; supplied and abstracted volumes are nearly proportional.</t>
  </si>
  <si>
    <t>Retain in diagnostics; dimension-balanced weighting; test D3 diagnostic-only.</t>
  </si>
  <si>
    <t>Exact rank equivalence; volume denominators are nearly proportional.</t>
  </si>
  <si>
    <t>Retain in diagnostics; dimension-balanced weighting; test D6 diagnostic-only.</t>
  </si>
  <si>
    <t>Reliability and mean deficit respond to the same pressure-failure records.</t>
  </si>
  <si>
    <t>Retain in separate reliability/severity dimensions; harmonise equations.</t>
  </si>
  <si>
    <t>Deficit severity and persistence co-vary in this short record.</t>
  </si>
  <si>
    <t>Retain both; interpret correlation as common drought forcing.</t>
  </si>
  <si>
    <t>Same drought threshold, but frequency vs cumulative volume severity.</t>
  </si>
  <si>
    <t>Retain both; same dimension, shared dimension weight.</t>
  </si>
  <si>
    <t>Same failure sequence, but frequency vs event persistence.</t>
  </si>
  <si>
    <t>Retain both; A3 represents temporal sequencing.</t>
  </si>
  <si>
    <t>Post-expansion drip increase co-occurs with permanent-crop expansion.</t>
  </si>
  <si>
    <t>Not redundant: technology efficiency and demand rigidity have opposite operational meanings.</t>
  </si>
  <si>
    <t>Mean and upper-tail deficit are related.</t>
  </si>
  <si>
    <t>Retain; dimension-balanced weighting; C4 supports critical-hydrant targeting.</t>
  </si>
  <si>
    <t>Critical deficit rises when reliability falls.</t>
  </si>
  <si>
    <t>Retain; different local-tail information.</t>
  </si>
  <si>
    <t>Same energy numerator with area vs delivered-volume denominator.</t>
  </si>
  <si>
    <t>Retain for distinct benchmarking; same energy-intensity dimension.</t>
  </si>
  <si>
    <t>Same energy numerator with area vs source-volume denominator.</t>
  </si>
  <si>
    <t>Retain for source/service interpretation; same dimension.</t>
  </si>
  <si>
    <t>Same cost numerator with area vs delivered-volume denominator.</t>
  </si>
  <si>
    <t>Retain for tariff/service benchmarking; same financial-exposure dimension.</t>
  </si>
  <si>
    <t>Same cost numerator with area vs source-volume denominator.</t>
  </si>
  <si>
    <t>Retain for source-side financial interpretation; same dimension.</t>
  </si>
  <si>
    <t>Shared temporal drivers require conceptual review.</t>
  </si>
  <si>
    <t>Retain provisionally; review operational distinction before any exclusion.</t>
  </si>
  <si>
    <t>Diagnostic-only sensitivity — no permanent deletion applied</t>
  </si>
  <si>
    <t>Case</t>
  </si>
  <si>
    <t>Excluded from aggregation</t>
  </si>
  <si>
    <t>Overall</t>
  </si>
  <si>
    <t>All indicators retained</t>
  </si>
  <si>
    <t>D3 and D6 diagnostic-only</t>
  </si>
  <si>
    <t>D3, D6</t>
  </si>
  <si>
    <t>A6 diagnostic-only</t>
  </si>
  <si>
    <t>D3, D6 and A6 diagnostic-only</t>
  </si>
  <si>
    <t>D3, D6, A6</t>
  </si>
  <si>
    <t>C5 diagnostic-only</t>
  </si>
  <si>
    <t>Sensitivity analysis</t>
  </si>
  <si>
    <t>A. Weighting profiles</t>
  </si>
  <si>
    <t>Profile</t>
  </si>
  <si>
    <t>Equal indicator weights</t>
  </si>
  <si>
    <t>Dimension-balanced within subsystems</t>
  </si>
  <si>
    <t>Performance/stress emphasis</t>
  </si>
  <si>
    <t>Capacity/adaptation emphasis</t>
  </si>
  <si>
    <t>B. Individual subsystem weight ±10% (renormalised)</t>
  </si>
  <si>
    <t>Change</t>
  </si>
  <si>
    <t>Delta</t>
  </si>
  <si>
    <t>C. Leave-one-subsystem-out</t>
  </si>
  <si>
    <t>Excluded</t>
  </si>
  <si>
    <t>Robustness test; not a recommended model specification.</t>
  </si>
  <si>
    <t>D. Threshold-anchor sensitivity</t>
  </si>
  <si>
    <t>Delta %</t>
  </si>
  <si>
    <t>Overall delta</t>
  </si>
  <si>
    <t>Lenient</t>
  </si>
  <si>
    <t>Stricter</t>
  </si>
  <si>
    <t>Integrated resilience dashboard v2</t>
  </si>
  <si>
    <t>Baseline scores</t>
  </si>
  <si>
    <t>Metric</t>
  </si>
  <si>
    <t>Meaning</t>
  </si>
  <si>
    <t>Equal-indicator overall</t>
  </si>
  <si>
    <t>All indicators equal within subsystem.</t>
  </si>
  <si>
    <t>Dimension-balanced overall</t>
  </si>
  <si>
    <t>Equal dimensions within subsystem; preferred anti-double-counting candidate.</t>
  </si>
  <si>
    <t>Ensemble min (dimension)</t>
  </si>
  <si>
    <t>Lowest complete GIR variant.</t>
  </si>
  <si>
    <t>Ensemble max (dimension)</t>
  </si>
  <si>
    <t>Highest complete GIR variant.</t>
  </si>
  <si>
    <t>Pre-expansion A–E mean</t>
  </si>
  <si>
    <t>2016–2020; F excluded.</t>
  </si>
  <si>
    <t>Post-expansion A–E mean</t>
  </si>
  <si>
    <t>2022–2025; descriptive, not causal.</t>
  </si>
  <si>
    <t>Subsystem profile</t>
  </si>
  <si>
    <t>GIR ensemble variant scores</t>
  </si>
  <si>
    <t>Decision warnings</t>
  </si>
  <si>
    <t>C1–C5</t>
  </si>
  <si>
    <t>Harmonise equations, labels and units before publication.</t>
  </si>
  <si>
    <t>D2/D3 and D5/D6</t>
  </si>
  <si>
    <t>rho=1 in available annual data; retain but balance by dimension and test diagnostic-only alternatives.</t>
  </si>
  <si>
    <t>B1–B4</t>
  </si>
  <si>
    <t>High correlations arise from failure-sparse conditions; use the low-efficiency scenario to demonstrate different functions.</t>
  </si>
  <si>
    <t>A5/A6</t>
  </si>
  <si>
    <t>Keep both; explain structural buffering potential versus dependence/stress.</t>
  </si>
  <si>
    <t>Pre/post</t>
  </si>
  <si>
    <t>Do not interpret as a causal expansion effect.</t>
  </si>
  <si>
    <t>Quality-control checks</t>
  </si>
  <si>
    <t>Check</t>
  </si>
  <si>
    <t>Expected</t>
  </si>
  <si>
    <t>Observed</t>
  </si>
  <si>
    <t>Action if failed</t>
  </si>
  <si>
    <t>Scope</t>
  </si>
  <si>
    <t>Indicator count</t>
  </si>
  <si>
    <t>PASS</t>
  </si>
  <si>
    <t>Review catalog.</t>
  </si>
  <si>
    <t>Catalog</t>
  </si>
  <si>
    <t>Exactly four GIR variants</t>
  </si>
  <si>
    <t>Remove ensemble mean as member or add missing variant.</t>
  </si>
  <si>
    <t>Ensemble</t>
  </si>
  <si>
    <t>Correct control period.</t>
  </si>
  <si>
    <t>External links in v2</t>
  </si>
  <si>
    <t>Rebuild with embedded values.</t>
  </si>
  <si>
    <t>Workbook</t>
  </si>
  <si>
    <t>D1–D3 missing 2016–2017 treated as blank</t>
  </si>
  <si>
    <t>Blank</t>
  </si>
  <si>
    <t>Do not replace missing values with zero.</t>
  </si>
  <si>
    <t>Energy</t>
  </si>
  <si>
    <t>D7 temporal treatment</t>
  </si>
  <si>
    <t>Remove zero-filled years.</t>
  </si>
  <si>
    <t>F pre/post use</t>
  </si>
  <si>
    <t>Do not reconstruct unsupported annual scores.</t>
  </si>
  <si>
    <t>Management</t>
  </si>
  <si>
    <t>Baseline normalised range</t>
  </si>
  <si>
    <t>0–1</t>
  </si>
  <si>
    <t>0.330–1.000</t>
  </si>
  <si>
    <t>Review formula/threshold direction.</t>
  </si>
  <si>
    <t>Normalisation</t>
  </si>
  <si>
    <t>Equal overall score</t>
  </si>
  <si>
    <t>Recalculated</t>
  </si>
  <si>
    <t>Review raw values and B import.</t>
  </si>
  <si>
    <t>Baseline</t>
  </si>
  <si>
    <t>Dimension overall score</t>
  </si>
  <si>
    <t>Review dimension weights.</t>
  </si>
  <si>
    <t>v2 change log</t>
  </si>
  <si>
    <t>Change ID</t>
  </si>
  <si>
    <t>Area</t>
  </si>
  <si>
    <t>Problem in v1</t>
  </si>
  <si>
    <t>Correction in v2</t>
  </si>
  <si>
    <t>Effect</t>
  </si>
  <si>
    <t>Manuscript follow-up</t>
  </si>
  <si>
    <t>V2-01</t>
  </si>
  <si>
    <t>Architecture</t>
  </si>
  <si>
    <t>External links to subsystem workbooks.</t>
  </si>
  <si>
    <t>All source values embedded; no external links.</t>
  </si>
  <si>
    <t>Standalone and reproducible.</t>
  </si>
  <si>
    <t>Cite supplementary tool and version.</t>
  </si>
  <si>
    <t>V2-02</t>
  </si>
  <si>
    <t>Thresholds</t>
  </si>
  <si>
    <t>Gaps, overlaps and inconsistent A5/A6 direction.</t>
  </si>
  <si>
    <t>Corrected threshold table and explicit boundary rules.</t>
  </si>
  <si>
    <t>Valid classification.</t>
  </si>
  <si>
    <t>Replace manuscript Table 9.</t>
  </si>
  <si>
    <t>V2-03</t>
  </si>
  <si>
    <t>B1–B5 repeated from one cell; B5 transformed value confused.</t>
  </si>
  <si>
    <t>Each B indicator imported separately; raw B5=0.</t>
  </si>
  <si>
    <t>Correct B score.</t>
  </si>
  <si>
    <t>Update results.</t>
  </si>
  <si>
    <t>V2-04</t>
  </si>
  <si>
    <t>A4–A6 raw values used as thresholds and annual means used incorrectly.</t>
  </si>
  <si>
    <t>Fixed anchors; period-level A4–A6 retained.</t>
  </si>
  <si>
    <t>Correct A score.</t>
  </si>
  <si>
    <t>Update methods/results.</t>
  </si>
  <si>
    <t>V2-05</t>
  </si>
  <si>
    <t>Energy data</t>
  </si>
  <si>
    <t>Missing energy years encoded as zero; D7 zero-filled.</t>
  </si>
  <si>
    <t>Blanks for 2016–2017 D1–D3; D7 is 2025 snapshot.</t>
  </si>
  <si>
    <t>Unbiased temporal statistics.</t>
  </si>
  <si>
    <t>Add coverage table.</t>
  </si>
  <si>
    <t>V2-06</t>
  </si>
  <si>
    <t>Weighting</t>
  </si>
  <si>
    <t>Equal indicators can overcount dimensions with many related metrics.</t>
  </si>
  <si>
    <t>Dimension-balanced profile added; equal-indicator remains comparator.</t>
  </si>
  <si>
    <t>Preserves indicators while reducing implicit double count.</t>
  </si>
  <si>
    <t>Describe aggregation and sensitivity.</t>
  </si>
  <si>
    <t>V2-07</t>
  </si>
  <si>
    <t>Uncertainty</t>
  </si>
  <si>
    <t>Annual, ensemble and sensitivity ranges mixed.</t>
  </si>
  <si>
    <t>Separate dedicated outputs.</t>
  </si>
  <si>
    <t>Clear uncertainty attribution.</t>
  </si>
  <si>
    <t>Revise terminology in text/figures.</t>
  </si>
  <si>
    <t>V2-08</t>
  </si>
  <si>
    <t>Expansion</t>
  </si>
  <si>
    <t>No structural period comparison.</t>
  </si>
  <si>
    <t>Pre 2016–2020, transition 2021, post 2022–2025.</t>
  </si>
  <si>
    <t>Tests structural stability.</t>
  </si>
  <si>
    <t>Add pre/post results.</t>
  </si>
  <si>
    <t>V2-09</t>
  </si>
  <si>
    <t>Sensitivity</t>
  </si>
  <si>
    <t>No complete sensitivity output.</t>
  </si>
  <si>
    <t>Weights, leave-one-out, thresholds and diagnostic-only cases added.</t>
  </si>
  <si>
    <t>Robustness evidence.</t>
  </si>
  <si>
    <t>Add table/figure.</t>
  </si>
  <si>
    <t>V2-10</t>
  </si>
  <si>
    <t>Redundancy</t>
  </si>
  <si>
    <t>No correlation or operational rationale matrix.</t>
  </si>
  <si>
    <t>Spearman screens and indicator catalog added.</t>
  </si>
  <si>
    <t>Transparent retention decisions.</t>
  </si>
  <si>
    <t>Add supplementary table.</t>
  </si>
  <si>
    <t>Hydrant pressure coverage</t>
  </si>
  <si>
    <t>Overall relative pressure deficit</t>
  </si>
  <si>
    <t>Critical relative pressure deficit</t>
  </si>
  <si>
    <t>Maximum relative pressure 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</si>
</sst>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%"/>
  </numFmts>
  <fonts count="6" x14ac:knownFonts="1">
    <font>
      <sz val="11"/>
      <name val="Carlito"/>
    </font>
    <font>
      <b/>
      <sz val="16"/>
      <color rgb="FFFFFFFF"/>
      <name val="Carlito"/>
      <family val="2"/>
    </font>
    <font>
      <b/>
      <sz val="11"/>
      <name val="Carlito"/>
      <family val="2"/>
    </font>
    <font>
      <b/>
      <sz val="10"/>
      <color rgb="FFFFFFFF"/>
      <name val="Carlito"/>
      <family val="2"/>
    </font>
    <font>
      <b/>
      <sz val="11"/>
      <color rgb="FFFFFFFF"/>
      <name val="Carlito"/>
      <family val="2"/>
    </font>
    <font>
      <sz val="11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F7A8C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5" borderId="0" xfId="0" applyFont="1" applyFill="1" applyAlignment="1">
      <alignment wrapText="1"/>
    </xf>
    <xf numFmtId="0" fontId="4" fillId="6" borderId="0" xfId="0" applyFont="1" applyFill="1"/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2" fillId="5" borderId="0" xfId="0" applyFont="1" applyFill="1" applyAlignment="1">
      <alignment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Subsystem scores: equal vs dimension-balanced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Equal indicators</c:v>
          </c:tx>
          <c:invertIfNegative val="1"/>
          <c:cat>
            <c:strRef>
              <c:f>'12_DASHBOARD'!$A$15:$A$20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'12_DASHBOARD'!$B$15:$B$20</c:f>
              <c:numCache>
                <c:formatCode>0.000</c:formatCode>
                <c:ptCount val="6"/>
                <c:pt idx="0">
                  <c:v>0.60981447207677852</c:v>
                </c:pt>
                <c:pt idx="1">
                  <c:v>0.88427374090298339</c:v>
                </c:pt>
                <c:pt idx="2">
                  <c:v>0.7574868154702159</c:v>
                </c:pt>
                <c:pt idx="3">
                  <c:v>0.66498611813235564</c:v>
                </c:pt>
                <c:pt idx="4">
                  <c:v>0.70466671504645562</c:v>
                </c:pt>
                <c:pt idx="5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B-4E89-8DCC-34C3D2607DE7}"/>
            </c:ext>
          </c:extLst>
        </c:ser>
        <c:ser>
          <c:idx val="1"/>
          <c:order val="1"/>
          <c:tx>
            <c:v>Dimension-balanced</c:v>
          </c:tx>
          <c:invertIfNegative val="1"/>
          <c:cat>
            <c:strRef>
              <c:f>'12_DASHBOARD'!$A$15:$A$20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'12_DASHBOARD'!$C$15:$C$20</c:f>
              <c:numCache>
                <c:formatCode>0.000</c:formatCode>
                <c:ptCount val="6"/>
                <c:pt idx="0">
                  <c:v>0.59980884489797592</c:v>
                </c:pt>
                <c:pt idx="1">
                  <c:v>0.8578087490579297</c:v>
                </c:pt>
                <c:pt idx="2">
                  <c:v>0.78797961524213567</c:v>
                </c:pt>
                <c:pt idx="3">
                  <c:v>0.67098652506316636</c:v>
                </c:pt>
                <c:pt idx="4">
                  <c:v>0.68151860488024085</c:v>
                </c:pt>
                <c:pt idx="5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B-4E89-8DCC-34C3D2607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0.9"/>
          <c:min val="0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Complete GIR variants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Equal overall</c:v>
          </c:tx>
          <c:invertIfNegative val="1"/>
          <c:cat>
            <c:strRef>
              <c:f>'12_DASHBOARD'!$A$25:$A$28</c:f>
              <c:strCache>
                <c:ptCount val="4"/>
                <c:pt idx="0">
                  <c:v>ISW50_EffHigh</c:v>
                </c:pt>
                <c:pt idx="1">
                  <c:v>ISW50_EffLow</c:v>
                </c:pt>
                <c:pt idx="2">
                  <c:v>ISW90_EffHigh</c:v>
                </c:pt>
                <c:pt idx="3">
                  <c:v>ISW90_EffLow</c:v>
                </c:pt>
              </c:strCache>
            </c:strRef>
          </c:cat>
          <c:val>
            <c:numRef>
              <c:f>'12_DASHBOARD'!$B$25:$B$28</c:f>
              <c:numCache>
                <c:formatCode>0.000</c:formatCode>
                <c:ptCount val="4"/>
                <c:pt idx="0">
                  <c:v>0.72007465211604549</c:v>
                </c:pt>
                <c:pt idx="1">
                  <c:v>0.66409420131336361</c:v>
                </c:pt>
                <c:pt idx="2">
                  <c:v>0.72245006497783881</c:v>
                </c:pt>
                <c:pt idx="3">
                  <c:v>0.72630706154573421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3-4E57-8D13-461849E1D088}"/>
            </c:ext>
          </c:extLst>
        </c:ser>
        <c:ser>
          <c:idx val="1"/>
          <c:order val="1"/>
          <c:tx>
            <c:v>Dimension overall</c:v>
          </c:tx>
          <c:invertIfNegative val="1"/>
          <c:cat>
            <c:strRef>
              <c:f>'12_DASHBOARD'!$A$25:$A$28</c:f>
              <c:strCache>
                <c:ptCount val="4"/>
                <c:pt idx="0">
                  <c:v>ISW50_EffHigh</c:v>
                </c:pt>
                <c:pt idx="1">
                  <c:v>ISW50_EffLow</c:v>
                </c:pt>
                <c:pt idx="2">
                  <c:v>ISW90_EffHigh</c:v>
                </c:pt>
                <c:pt idx="3">
                  <c:v>ISW90_EffLow</c:v>
                </c:pt>
              </c:strCache>
            </c:strRef>
          </c:cat>
          <c:val>
            <c:numRef>
              <c:f>'12_DASHBOARD'!$C$25:$C$28</c:f>
              <c:numCache>
                <c:formatCode>0.000</c:formatCode>
                <c:ptCount val="4"/>
                <c:pt idx="0">
                  <c:v>0.72169522416090925</c:v>
                </c:pt>
                <c:pt idx="1">
                  <c:v>0.65116967663880532</c:v>
                </c:pt>
                <c:pt idx="2">
                  <c:v>0.72374195543649222</c:v>
                </c:pt>
                <c:pt idx="3">
                  <c:v>0.72581750554719127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3-4E57-8D13-461849E1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0.9"/>
          <c:min val="0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3</xdr:row>
      <xdr:rowOff>38100</xdr:rowOff>
    </xdr:from>
    <xdr:to>
      <xdr:col>14</xdr:col>
      <xdr:colOff>581025</xdr:colOff>
      <xdr:row>21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638175</xdr:colOff>
      <xdr:row>23</xdr:row>
      <xdr:rowOff>95250</xdr:rowOff>
    </xdr:from>
    <xdr:to>
      <xdr:col>14</xdr:col>
      <xdr:colOff>638175</xdr:colOff>
      <xdr:row>48</xdr:row>
      <xdr:rowOff>95250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catorCatalog" displayName="IndicatorCatalog" ref="A3:R41">
  <tableColumns count="18">
    <tableColumn id="1" xr3:uid="{00000000-0010-0000-0000-000001000000}" name="Subsystem"/>
    <tableColumn id="2" xr3:uid="{00000000-0010-0000-0000-000002000000}" name="Code"/>
    <tableColumn id="3" xr3:uid="{00000000-0010-0000-0000-000003000000}" name="Indicator name"/>
    <tableColumn id="4" xr3:uid="{00000000-0010-0000-0000-000004000000}" name="Unit"/>
    <tableColumn id="5" xr3:uid="{00000000-0010-0000-0000-000005000000}" name="Orientation"/>
    <tableColumn id="6" xr3:uid="{00000000-0010-0000-0000-000006000000}" name="Indicator type"/>
    <tableColumn id="7" xr3:uid="{00000000-0010-0000-0000-000007000000}" name="Operational dimension"/>
    <tableColumn id="8" xr3:uid="{00000000-0010-0000-0000-000008000000}" name="Operational role"/>
    <tableColumn id="9" xr3:uid="{00000000-0010-0000-0000-000009000000}" name="Failure mechanism"/>
    <tableColumn id="10" xr3:uid="{00000000-0010-0000-0000-00000A000000}" name="Decision supported"/>
    <tableColumn id="11" xr3:uid="{00000000-0010-0000-0000-00000B000000}" name="Temporal basis"/>
    <tableColumn id="12" xr3:uid="{00000000-0010-0000-0000-00000C000000}" name="Ensemble dependency"/>
    <tableColumn id="13" xr3:uid="{00000000-0010-0000-0000-00000D000000}" name="Coverage"/>
    <tableColumn id="14" xr3:uid="{00000000-0010-0000-0000-00000E000000}" name="Aggregation status"/>
    <tableColumn id="15" xr3:uid="{00000000-0010-0000-0000-00000F000000}" name="Active"/>
    <tableColumn id="16" xr3:uid="{00000000-0010-0000-0000-000010000000}" name="Equal weight"/>
    <tableColumn id="17" xr3:uid="{00000000-0010-0000-0000-000011000000}" name="Dimension weight"/>
    <tableColumn id="18" xr3:uid="{00000000-0010-0000-0000-00001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resholdTable" displayName="ThresholdTable" ref="A3:N41">
  <tableColumns count="14">
    <tableColumn id="1" xr3:uid="{00000000-0010-0000-0100-000001000000}" name="Subsystem"/>
    <tableColumn id="2" xr3:uid="{00000000-0010-0000-0100-000002000000}" name="Code"/>
    <tableColumn id="3" xr3:uid="{00000000-0010-0000-0100-000003000000}" name="Indicator"/>
    <tableColumn id="4" xr3:uid="{00000000-0010-0000-0100-000004000000}" name="Unit"/>
    <tableColumn id="5" xr3:uid="{00000000-0010-0000-0100-000005000000}" name="Orientation"/>
    <tableColumn id="6" xr3:uid="{00000000-0010-0000-0100-000006000000}" name="T1"/>
    <tableColumn id="7" xr3:uid="{00000000-0010-0000-0100-000007000000}" name="T2"/>
    <tableColumn id="8" xr3:uid="{00000000-0010-0000-0100-000008000000}" name="T3"/>
    <tableColumn id="9" xr3:uid="{00000000-0010-0000-0100-000009000000}" name="T4 saturation"/>
    <tableColumn id="10" xr3:uid="{00000000-0010-0000-0100-00000A000000}" name="Class 1 Low"/>
    <tableColumn id="11" xr3:uid="{00000000-0010-0000-0100-00000B000000}" name="Class 2 Moderate"/>
    <tableColumn id="12" xr3:uid="{00000000-0010-0000-0100-00000C000000}" name="Class 3 Good"/>
    <tableColumn id="13" xr3:uid="{00000000-0010-0000-0100-00000D000000}" name="Class 4 Excellent"/>
    <tableColumn id="14" xr3:uid="{00000000-0010-0000-0100-00000E000000}" name="Threshold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nualData" displayName="AnnualData" ref="A3:H383">
  <tableColumns count="8">
    <tableColumn id="1" xr3:uid="{00000000-0010-0000-0200-000001000000}" name="Year"/>
    <tableColumn id="2" xr3:uid="{00000000-0010-0000-0200-000002000000}" name="Period group"/>
    <tableColumn id="3" xr3:uid="{00000000-0010-0000-0200-000003000000}" name="Subsystem"/>
    <tableColumn id="4" xr3:uid="{00000000-0010-0000-0200-000004000000}" name="Indicator"/>
    <tableColumn id="5" xr3:uid="{00000000-0010-0000-0200-000005000000}" name="Raw value"/>
    <tableColumn id="6" xr3:uid="{00000000-0010-0000-0200-000006000000}" name="Annual availability"/>
    <tableColumn id="7" xr3:uid="{00000000-0010-0000-0200-000007000000}" name="Source treatment"/>
    <tableColumn id="8" xr3:uid="{00000000-0010-0000-02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"/>
    </sheetView>
  </sheetViews>
  <sheetFormatPr defaultRowHeight="15" x14ac:dyDescent="0.25"/>
  <cols>
    <col min="1" max="1" width="30" customWidth="1"/>
    <col min="2" max="2" width="105" customWidth="1"/>
  </cols>
  <sheetData>
    <row r="1" spans="1:8" ht="30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3" spans="1:8" x14ac:dyDescent="0.25">
      <c r="A3" s="2" t="s">
        <v>1</v>
      </c>
      <c r="B3" s="1" t="s">
        <v>2</v>
      </c>
    </row>
    <row r="4" spans="1:8" ht="30" x14ac:dyDescent="0.25">
      <c r="A4" s="2" t="s">
        <v>3</v>
      </c>
      <c r="B4" s="1" t="s">
        <v>4</v>
      </c>
    </row>
    <row r="5" spans="1:8" ht="30" x14ac:dyDescent="0.25">
      <c r="A5" s="2" t="s">
        <v>5</v>
      </c>
      <c r="B5" s="1" t="s">
        <v>6</v>
      </c>
    </row>
    <row r="6" spans="1:8" x14ac:dyDescent="0.25">
      <c r="A6" s="2" t="s">
        <v>7</v>
      </c>
      <c r="B6" s="1" t="s">
        <v>8</v>
      </c>
    </row>
    <row r="7" spans="1:8" x14ac:dyDescent="0.25">
      <c r="A7" s="2" t="s">
        <v>9</v>
      </c>
      <c r="B7" s="1" t="s">
        <v>10</v>
      </c>
    </row>
    <row r="8" spans="1:8" x14ac:dyDescent="0.25">
      <c r="A8" s="2" t="s">
        <v>11</v>
      </c>
      <c r="B8" s="1" t="s">
        <v>12</v>
      </c>
    </row>
    <row r="9" spans="1:8" ht="30" x14ac:dyDescent="0.25">
      <c r="A9" s="2" t="s">
        <v>13</v>
      </c>
      <c r="B9" s="1" t="s">
        <v>14</v>
      </c>
    </row>
    <row r="10" spans="1:8" ht="30" x14ac:dyDescent="0.25">
      <c r="A10" s="2" t="s">
        <v>15</v>
      </c>
      <c r="B10" s="1" t="s">
        <v>16</v>
      </c>
    </row>
    <row r="11" spans="1:8" x14ac:dyDescent="0.25">
      <c r="A11" s="2" t="s">
        <v>17</v>
      </c>
      <c r="B11" s="1" t="s">
        <v>18</v>
      </c>
    </row>
    <row r="12" spans="1:8" x14ac:dyDescent="0.25">
      <c r="A12" s="2" t="s">
        <v>19</v>
      </c>
      <c r="B12" s="1" t="s">
        <v>20</v>
      </c>
    </row>
    <row r="13" spans="1:8" ht="30" x14ac:dyDescent="0.25">
      <c r="A13" s="2" t="s">
        <v>21</v>
      </c>
      <c r="B13" s="1" t="s">
        <v>22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C32" sqref="C32"/>
    </sheetView>
  </sheetViews>
  <sheetFormatPr defaultRowHeight="15" x14ac:dyDescent="0.25"/>
  <cols>
    <col min="1" max="1" width="30" customWidth="1"/>
    <col min="2" max="2" width="26" customWidth="1"/>
    <col min="3" max="3" width="45" customWidth="1"/>
    <col min="4" max="4" width="12" customWidth="1"/>
  </cols>
  <sheetData>
    <row r="1" spans="1:6" ht="30" customHeight="1" x14ac:dyDescent="0.25">
      <c r="A1" s="12" t="s">
        <v>23</v>
      </c>
      <c r="B1" s="13"/>
      <c r="C1" s="13"/>
      <c r="D1" s="13"/>
      <c r="E1" s="13"/>
      <c r="F1" s="13"/>
    </row>
    <row r="3" spans="1:6" ht="30" customHeight="1" x14ac:dyDescent="0.25">
      <c r="A3" s="3" t="s">
        <v>24</v>
      </c>
      <c r="B3" s="3" t="s">
        <v>25</v>
      </c>
      <c r="C3" s="3" t="s">
        <v>26</v>
      </c>
      <c r="D3" s="3" t="s">
        <v>27</v>
      </c>
    </row>
    <row r="4" spans="1:6" x14ac:dyDescent="0.25">
      <c r="A4" s="1" t="s">
        <v>28</v>
      </c>
      <c r="B4" s="4">
        <v>2016</v>
      </c>
      <c r="C4" s="1" t="s">
        <v>29</v>
      </c>
      <c r="D4" s="1" t="s">
        <v>30</v>
      </c>
    </row>
    <row r="5" spans="1:6" x14ac:dyDescent="0.25">
      <c r="A5" s="1" t="s">
        <v>31</v>
      </c>
      <c r="B5" s="4">
        <v>2025</v>
      </c>
      <c r="C5" s="1" t="s">
        <v>29</v>
      </c>
      <c r="D5" s="1" t="s">
        <v>30</v>
      </c>
    </row>
    <row r="6" spans="1:6" x14ac:dyDescent="0.25">
      <c r="A6" s="1" t="s">
        <v>32</v>
      </c>
      <c r="B6" s="4">
        <v>2016</v>
      </c>
      <c r="C6" s="1" t="s">
        <v>33</v>
      </c>
      <c r="D6" s="1" t="s">
        <v>30</v>
      </c>
    </row>
    <row r="7" spans="1:6" x14ac:dyDescent="0.25">
      <c r="A7" s="1" t="s">
        <v>34</v>
      </c>
      <c r="B7" s="4">
        <v>2020</v>
      </c>
      <c r="C7" s="1" t="s">
        <v>33</v>
      </c>
      <c r="D7" s="1" t="s">
        <v>30</v>
      </c>
    </row>
    <row r="8" spans="1:6" x14ac:dyDescent="0.25">
      <c r="A8" s="1" t="s">
        <v>35</v>
      </c>
      <c r="B8" s="4">
        <v>2021</v>
      </c>
      <c r="C8" s="1" t="s">
        <v>36</v>
      </c>
      <c r="D8" s="1" t="s">
        <v>30</v>
      </c>
    </row>
    <row r="9" spans="1:6" x14ac:dyDescent="0.25">
      <c r="A9" s="1" t="s">
        <v>37</v>
      </c>
      <c r="B9" s="4">
        <v>2022</v>
      </c>
      <c r="C9" s="1" t="s">
        <v>33</v>
      </c>
      <c r="D9" s="1" t="s">
        <v>30</v>
      </c>
    </row>
    <row r="10" spans="1:6" x14ac:dyDescent="0.25">
      <c r="A10" s="1" t="s">
        <v>38</v>
      </c>
      <c r="B10" s="4">
        <v>2025</v>
      </c>
      <c r="C10" s="1" t="s">
        <v>33</v>
      </c>
      <c r="D10" s="1" t="s">
        <v>30</v>
      </c>
    </row>
    <row r="11" spans="1:6" x14ac:dyDescent="0.25">
      <c r="A11" s="1" t="s">
        <v>39</v>
      </c>
      <c r="B11" s="4" t="s">
        <v>40</v>
      </c>
      <c r="C11" s="1" t="s">
        <v>41</v>
      </c>
      <c r="D11" s="1" t="s">
        <v>30</v>
      </c>
    </row>
    <row r="12" spans="1:6" x14ac:dyDescent="0.25">
      <c r="A12" s="1" t="s">
        <v>42</v>
      </c>
      <c r="B12" s="4" t="s">
        <v>43</v>
      </c>
      <c r="C12" s="1" t="s">
        <v>44</v>
      </c>
      <c r="D12" s="1" t="s">
        <v>45</v>
      </c>
    </row>
    <row r="13" spans="1:6" x14ac:dyDescent="0.25">
      <c r="A13" s="1" t="s">
        <v>46</v>
      </c>
      <c r="B13" s="1" t="s">
        <v>47</v>
      </c>
      <c r="C13" s="1" t="s">
        <v>48</v>
      </c>
      <c r="D13" s="1" t="s">
        <v>45</v>
      </c>
    </row>
    <row r="14" spans="1:6" x14ac:dyDescent="0.25">
      <c r="A14" s="1"/>
      <c r="B14" s="1"/>
      <c r="C14" s="1"/>
      <c r="D14" s="1"/>
    </row>
  </sheetData>
  <mergeCells count="1">
    <mergeCell ref="A1:F1"/>
  </mergeCells>
  <dataValidations count="1">
    <dataValidation type="list" sqref="B11" xr:uid="{00000000-0002-0000-0100-000000000000}">
      <formula1>"Equal indicators,Dimension-balanced"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topLeftCell="H1" workbookViewId="0">
      <selection activeCell="H45" sqref="H45"/>
    </sheetView>
  </sheetViews>
  <sheetFormatPr defaultRowHeight="15" x14ac:dyDescent="0.25"/>
  <cols>
    <col min="1" max="1" width="10" customWidth="1"/>
    <col min="2" max="2" width="8" customWidth="1"/>
    <col min="3" max="3" width="34" customWidth="1"/>
    <col min="4" max="5" width="12" customWidth="1"/>
    <col min="6" max="6" width="20" customWidth="1"/>
    <col min="7" max="7" width="29" customWidth="1"/>
    <col min="8" max="8" width="50" customWidth="1"/>
    <col min="9" max="10" width="42" customWidth="1"/>
    <col min="11" max="11" width="22" customWidth="1"/>
    <col min="12" max="12" width="17" customWidth="1"/>
    <col min="13" max="13" width="26" customWidth="1"/>
    <col min="14" max="14" width="22" customWidth="1"/>
    <col min="15" max="15" width="15" customWidth="1"/>
    <col min="16" max="16" width="13" customWidth="1"/>
    <col min="17" max="17" width="14" customWidth="1"/>
    <col min="18" max="18" width="42" customWidth="1"/>
  </cols>
  <sheetData>
    <row r="1" spans="1:18" ht="30" customHeight="1" x14ac:dyDescent="0.25">
      <c r="A1" s="12" t="s">
        <v>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18" ht="30" customHeight="1" x14ac:dyDescent="0.25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</row>
    <row r="4" spans="1:18" ht="15" customHeight="1" x14ac:dyDescent="0.25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45</v>
      </c>
      <c r="M4" s="1" t="s">
        <v>79</v>
      </c>
      <c r="N4" s="1" t="s">
        <v>80</v>
      </c>
      <c r="O4" s="1" t="s">
        <v>30</v>
      </c>
      <c r="P4" s="5">
        <v>0.16666666666666666</v>
      </c>
      <c r="Q4" s="5">
        <v>0.125</v>
      </c>
      <c r="R4" s="1"/>
    </row>
    <row r="5" spans="1:18" ht="15" customHeight="1" x14ac:dyDescent="0.25">
      <c r="A5" s="1" t="s">
        <v>68</v>
      </c>
      <c r="B5" s="1" t="s">
        <v>81</v>
      </c>
      <c r="C5" s="1" t="s">
        <v>82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83</v>
      </c>
      <c r="I5" s="1" t="s">
        <v>84</v>
      </c>
      <c r="J5" s="1" t="s">
        <v>85</v>
      </c>
      <c r="K5" s="1" t="s">
        <v>78</v>
      </c>
      <c r="L5" s="1" t="s">
        <v>45</v>
      </c>
      <c r="M5" s="1" t="s">
        <v>79</v>
      </c>
      <c r="N5" s="1" t="s">
        <v>80</v>
      </c>
      <c r="O5" s="1" t="s">
        <v>30</v>
      </c>
      <c r="P5" s="5">
        <v>0.16666666666666666</v>
      </c>
      <c r="Q5" s="5">
        <v>0.125</v>
      </c>
      <c r="R5" s="1"/>
    </row>
    <row r="6" spans="1:18" ht="15" customHeight="1" x14ac:dyDescent="0.25">
      <c r="A6" s="1" t="s">
        <v>68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91</v>
      </c>
      <c r="H6" s="1" t="s">
        <v>92</v>
      </c>
      <c r="I6" s="1" t="s">
        <v>93</v>
      </c>
      <c r="J6" s="1" t="s">
        <v>94</v>
      </c>
      <c r="K6" s="1" t="s">
        <v>78</v>
      </c>
      <c r="L6" s="1" t="s">
        <v>45</v>
      </c>
      <c r="M6" s="1" t="s">
        <v>79</v>
      </c>
      <c r="N6" s="1" t="s">
        <v>80</v>
      </c>
      <c r="O6" s="1" t="s">
        <v>30</v>
      </c>
      <c r="P6" s="5">
        <v>0.16666666666666666</v>
      </c>
      <c r="Q6" s="5">
        <v>0.25</v>
      </c>
      <c r="R6" s="1"/>
    </row>
    <row r="7" spans="1:18" ht="15" customHeight="1" x14ac:dyDescent="0.25">
      <c r="A7" s="1" t="s">
        <v>68</v>
      </c>
      <c r="B7" s="1" t="s">
        <v>95</v>
      </c>
      <c r="C7" s="1" t="s">
        <v>96</v>
      </c>
      <c r="D7" s="1" t="s">
        <v>71</v>
      </c>
      <c r="E7" s="1" t="s">
        <v>89</v>
      </c>
      <c r="F7" s="1" t="s">
        <v>97</v>
      </c>
      <c r="G7" s="1" t="s">
        <v>98</v>
      </c>
      <c r="H7" s="1" t="s">
        <v>99</v>
      </c>
      <c r="I7" s="1" t="s">
        <v>100</v>
      </c>
      <c r="J7" s="1" t="s">
        <v>101</v>
      </c>
      <c r="K7" s="1" t="s">
        <v>102</v>
      </c>
      <c r="L7" s="1" t="s">
        <v>45</v>
      </c>
      <c r="M7" s="1" t="s">
        <v>103</v>
      </c>
      <c r="N7" s="1" t="s">
        <v>80</v>
      </c>
      <c r="O7" s="1" t="s">
        <v>30</v>
      </c>
      <c r="P7" s="5">
        <v>0.16666666666666666</v>
      </c>
      <c r="Q7" s="5">
        <v>0.25</v>
      </c>
      <c r="R7" s="1"/>
    </row>
    <row r="8" spans="1:18" ht="15" customHeight="1" x14ac:dyDescent="0.25">
      <c r="A8" s="1" t="s">
        <v>68</v>
      </c>
      <c r="B8" s="1" t="s">
        <v>104</v>
      </c>
      <c r="C8" s="1" t="s">
        <v>105</v>
      </c>
      <c r="D8" s="1" t="s">
        <v>71</v>
      </c>
      <c r="E8" s="1" t="s">
        <v>72</v>
      </c>
      <c r="F8" s="1" t="s">
        <v>106</v>
      </c>
      <c r="G8" s="1" t="s">
        <v>107</v>
      </c>
      <c r="H8" s="1" t="s">
        <v>108</v>
      </c>
      <c r="I8" s="1" t="s">
        <v>109</v>
      </c>
      <c r="J8" s="1" t="s">
        <v>110</v>
      </c>
      <c r="K8" s="1" t="s">
        <v>102</v>
      </c>
      <c r="L8" s="1" t="s">
        <v>45</v>
      </c>
      <c r="M8" s="1" t="s">
        <v>111</v>
      </c>
      <c r="N8" s="1" t="s">
        <v>80</v>
      </c>
      <c r="O8" s="1" t="s">
        <v>30</v>
      </c>
      <c r="P8" s="5">
        <v>0.16666666666666666</v>
      </c>
      <c r="Q8" s="5">
        <v>0.125</v>
      </c>
      <c r="R8" s="1" t="s">
        <v>112</v>
      </c>
    </row>
    <row r="9" spans="1:18" ht="15" customHeight="1" x14ac:dyDescent="0.25">
      <c r="A9" s="1" t="s">
        <v>68</v>
      </c>
      <c r="B9" s="1" t="s">
        <v>113</v>
      </c>
      <c r="C9" s="1" t="s">
        <v>114</v>
      </c>
      <c r="D9" s="1" t="s">
        <v>71</v>
      </c>
      <c r="E9" s="1" t="s">
        <v>89</v>
      </c>
      <c r="F9" s="1" t="s">
        <v>90</v>
      </c>
      <c r="G9" s="1" t="s">
        <v>107</v>
      </c>
      <c r="H9" s="1" t="s">
        <v>115</v>
      </c>
      <c r="I9" s="1" t="s">
        <v>116</v>
      </c>
      <c r="J9" s="1" t="s">
        <v>117</v>
      </c>
      <c r="K9" s="1" t="s">
        <v>102</v>
      </c>
      <c r="L9" s="1" t="s">
        <v>45</v>
      </c>
      <c r="M9" s="1" t="s">
        <v>118</v>
      </c>
      <c r="N9" s="1" t="s">
        <v>80</v>
      </c>
      <c r="O9" s="1" t="s">
        <v>30</v>
      </c>
      <c r="P9" s="5">
        <v>0.16666666666666666</v>
      </c>
      <c r="Q9" s="5">
        <v>0.125</v>
      </c>
      <c r="R9" s="1" t="s">
        <v>112</v>
      </c>
    </row>
    <row r="10" spans="1:18" ht="15" customHeight="1" x14ac:dyDescent="0.25">
      <c r="A10" s="1" t="s">
        <v>119</v>
      </c>
      <c r="B10" s="1" t="s">
        <v>120</v>
      </c>
      <c r="C10" s="1" t="s">
        <v>121</v>
      </c>
      <c r="D10" s="1" t="s">
        <v>71</v>
      </c>
      <c r="E10" s="1" t="s">
        <v>72</v>
      </c>
      <c r="F10" s="1" t="s">
        <v>73</v>
      </c>
      <c r="G10" s="1" t="s">
        <v>122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30</v>
      </c>
      <c r="M10" s="1" t="s">
        <v>127</v>
      </c>
      <c r="N10" s="1" t="s">
        <v>80</v>
      </c>
      <c r="O10" s="1" t="s">
        <v>30</v>
      </c>
      <c r="P10" s="5">
        <v>0.2</v>
      </c>
      <c r="Q10" s="5">
        <v>0.125</v>
      </c>
      <c r="R10" s="1"/>
    </row>
    <row r="11" spans="1:18" ht="15" customHeight="1" x14ac:dyDescent="0.25">
      <c r="A11" s="1" t="s">
        <v>119</v>
      </c>
      <c r="B11" s="1" t="s">
        <v>128</v>
      </c>
      <c r="C11" s="1" t="s">
        <v>129</v>
      </c>
      <c r="D11" s="1" t="s">
        <v>71</v>
      </c>
      <c r="E11" s="1" t="s">
        <v>72</v>
      </c>
      <c r="F11" s="1" t="s">
        <v>73</v>
      </c>
      <c r="G11" s="1" t="s">
        <v>122</v>
      </c>
      <c r="H11" s="1" t="s">
        <v>130</v>
      </c>
      <c r="I11" s="1" t="s">
        <v>131</v>
      </c>
      <c r="J11" s="1" t="s">
        <v>132</v>
      </c>
      <c r="K11" s="1" t="s">
        <v>126</v>
      </c>
      <c r="L11" s="1" t="s">
        <v>30</v>
      </c>
      <c r="M11" s="1" t="s">
        <v>127</v>
      </c>
      <c r="N11" s="1" t="s">
        <v>80</v>
      </c>
      <c r="O11" s="1" t="s">
        <v>30</v>
      </c>
      <c r="P11" s="5">
        <v>0.2</v>
      </c>
      <c r="Q11" s="5">
        <v>0.125</v>
      </c>
      <c r="R11" s="1"/>
    </row>
    <row r="12" spans="1:18" ht="15" customHeight="1" x14ac:dyDescent="0.25">
      <c r="A12" s="1" t="s">
        <v>119</v>
      </c>
      <c r="B12" s="1" t="s">
        <v>133</v>
      </c>
      <c r="C12" s="1" t="s">
        <v>134</v>
      </c>
      <c r="D12" s="1" t="s">
        <v>71</v>
      </c>
      <c r="E12" s="1" t="s">
        <v>72</v>
      </c>
      <c r="F12" s="1" t="s">
        <v>73</v>
      </c>
      <c r="G12" s="1" t="s">
        <v>135</v>
      </c>
      <c r="H12" s="1" t="s">
        <v>136</v>
      </c>
      <c r="I12" s="1" t="s">
        <v>137</v>
      </c>
      <c r="J12" s="1" t="s">
        <v>138</v>
      </c>
      <c r="K12" s="1" t="s">
        <v>126</v>
      </c>
      <c r="L12" s="1" t="s">
        <v>30</v>
      </c>
      <c r="M12" s="1" t="s">
        <v>127</v>
      </c>
      <c r="N12" s="1" t="s">
        <v>80</v>
      </c>
      <c r="O12" s="1" t="s">
        <v>30</v>
      </c>
      <c r="P12" s="5">
        <v>0.2</v>
      </c>
      <c r="Q12" s="5">
        <v>0.25</v>
      </c>
      <c r="R12" s="1"/>
    </row>
    <row r="13" spans="1:18" ht="15" customHeight="1" x14ac:dyDescent="0.25">
      <c r="A13" s="1" t="s">
        <v>119</v>
      </c>
      <c r="B13" s="1" t="s">
        <v>139</v>
      </c>
      <c r="C13" s="1" t="s">
        <v>140</v>
      </c>
      <c r="D13" s="1" t="s">
        <v>71</v>
      </c>
      <c r="E13" s="1" t="s">
        <v>72</v>
      </c>
      <c r="F13" s="1" t="s">
        <v>73</v>
      </c>
      <c r="G13" s="1" t="s">
        <v>141</v>
      </c>
      <c r="H13" s="1" t="s">
        <v>142</v>
      </c>
      <c r="I13" s="1" t="s">
        <v>143</v>
      </c>
      <c r="J13" s="1" t="s">
        <v>144</v>
      </c>
      <c r="K13" s="1" t="s">
        <v>126</v>
      </c>
      <c r="L13" s="1" t="s">
        <v>30</v>
      </c>
      <c r="M13" s="1" t="s">
        <v>127</v>
      </c>
      <c r="N13" s="1" t="s">
        <v>80</v>
      </c>
      <c r="O13" s="1" t="s">
        <v>30</v>
      </c>
      <c r="P13" s="5">
        <v>0.2</v>
      </c>
      <c r="Q13" s="5">
        <v>0.25</v>
      </c>
      <c r="R13" s="1"/>
    </row>
    <row r="14" spans="1:18" ht="15" customHeight="1" x14ac:dyDescent="0.25">
      <c r="A14" s="1" t="s">
        <v>119</v>
      </c>
      <c r="B14" s="1" t="s">
        <v>145</v>
      </c>
      <c r="C14" s="1" t="s">
        <v>146</v>
      </c>
      <c r="D14" s="1" t="s">
        <v>71</v>
      </c>
      <c r="E14" s="1" t="s">
        <v>89</v>
      </c>
      <c r="F14" s="1" t="s">
        <v>73</v>
      </c>
      <c r="G14" s="1" t="s">
        <v>147</v>
      </c>
      <c r="H14" s="1" t="s">
        <v>148</v>
      </c>
      <c r="I14" s="1" t="s">
        <v>149</v>
      </c>
      <c r="J14" s="1" t="s">
        <v>150</v>
      </c>
      <c r="K14" s="1" t="s">
        <v>126</v>
      </c>
      <c r="L14" s="1" t="s">
        <v>30</v>
      </c>
      <c r="M14" s="1" t="s">
        <v>127</v>
      </c>
      <c r="N14" s="1" t="s">
        <v>80</v>
      </c>
      <c r="O14" s="1" t="s">
        <v>30</v>
      </c>
      <c r="P14" s="5">
        <v>0.2</v>
      </c>
      <c r="Q14" s="5">
        <v>0.25</v>
      </c>
      <c r="R14" s="1"/>
    </row>
    <row r="15" spans="1:18" ht="15" customHeight="1" x14ac:dyDescent="0.25">
      <c r="A15" s="1" t="s">
        <v>151</v>
      </c>
      <c r="B15" s="1" t="s">
        <v>152</v>
      </c>
      <c r="C15" s="1" t="s">
        <v>153</v>
      </c>
      <c r="D15" s="1" t="s">
        <v>71</v>
      </c>
      <c r="E15" s="1" t="s">
        <v>72</v>
      </c>
      <c r="F15" s="1" t="s">
        <v>73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30</v>
      </c>
      <c r="M15" s="1" t="s">
        <v>127</v>
      </c>
      <c r="N15" s="1" t="s">
        <v>80</v>
      </c>
      <c r="O15" s="1" t="s">
        <v>30</v>
      </c>
      <c r="P15" s="5">
        <v>0.2</v>
      </c>
      <c r="Q15" s="5">
        <v>0.25</v>
      </c>
      <c r="R15" s="1" t="s">
        <v>159</v>
      </c>
    </row>
    <row r="16" spans="1:18" ht="15" customHeight="1" x14ac:dyDescent="0.25">
      <c r="A16" s="1" t="s">
        <v>151</v>
      </c>
      <c r="B16" s="1" t="s">
        <v>160</v>
      </c>
      <c r="C16" s="1" t="s">
        <v>161</v>
      </c>
      <c r="D16" s="1" t="s">
        <v>71</v>
      </c>
      <c r="E16" s="1" t="s">
        <v>72</v>
      </c>
      <c r="F16" s="1" t="s">
        <v>73</v>
      </c>
      <c r="G16" s="1" t="s">
        <v>154</v>
      </c>
      <c r="H16" s="1" t="s">
        <v>162</v>
      </c>
      <c r="I16" s="1" t="s">
        <v>163</v>
      </c>
      <c r="J16" s="1" t="s">
        <v>164</v>
      </c>
      <c r="K16" s="1" t="s">
        <v>158</v>
      </c>
      <c r="L16" s="1" t="s">
        <v>30</v>
      </c>
      <c r="M16" s="1" t="s">
        <v>127</v>
      </c>
      <c r="N16" s="1" t="s">
        <v>80</v>
      </c>
      <c r="O16" s="1" t="s">
        <v>30</v>
      </c>
      <c r="P16" s="5">
        <v>0.2</v>
      </c>
      <c r="Q16" s="5">
        <v>0.25</v>
      </c>
      <c r="R16" s="1" t="s">
        <v>159</v>
      </c>
    </row>
    <row r="17" spans="1:18" ht="15" customHeight="1" x14ac:dyDescent="0.25">
      <c r="A17" s="1" t="s">
        <v>151</v>
      </c>
      <c r="B17" s="1" t="s">
        <v>165</v>
      </c>
      <c r="C17" s="1" t="s">
        <v>166</v>
      </c>
      <c r="D17" s="1" t="s">
        <v>167</v>
      </c>
      <c r="E17" s="1" t="s">
        <v>89</v>
      </c>
      <c r="F17" s="1" t="s">
        <v>73</v>
      </c>
      <c r="G17" s="1" t="s">
        <v>168</v>
      </c>
      <c r="H17" s="1" t="s">
        <v>169</v>
      </c>
      <c r="I17" s="1" t="s">
        <v>170</v>
      </c>
      <c r="J17" s="1" t="s">
        <v>171</v>
      </c>
      <c r="K17" s="1" t="s">
        <v>158</v>
      </c>
      <c r="L17" s="1" t="s">
        <v>30</v>
      </c>
      <c r="M17" s="1" t="s">
        <v>127</v>
      </c>
      <c r="N17" s="1" t="s">
        <v>80</v>
      </c>
      <c r="O17" s="1" t="s">
        <v>30</v>
      </c>
      <c r="P17" s="5">
        <v>0.2</v>
      </c>
      <c r="Q17" s="5">
        <v>0.16666666666666666</v>
      </c>
      <c r="R17" s="1" t="s">
        <v>159</v>
      </c>
    </row>
    <row r="18" spans="1:18" ht="15" customHeight="1" x14ac:dyDescent="0.25">
      <c r="A18" s="1" t="s">
        <v>151</v>
      </c>
      <c r="B18" s="1" t="s">
        <v>172</v>
      </c>
      <c r="C18" s="1" t="s">
        <v>173</v>
      </c>
      <c r="D18" s="1" t="s">
        <v>71</v>
      </c>
      <c r="E18" s="1" t="s">
        <v>89</v>
      </c>
      <c r="F18" s="1" t="s">
        <v>73</v>
      </c>
      <c r="G18" s="1" t="s">
        <v>168</v>
      </c>
      <c r="H18" s="1" t="s">
        <v>174</v>
      </c>
      <c r="I18" s="1" t="s">
        <v>175</v>
      </c>
      <c r="J18" s="1" t="s">
        <v>176</v>
      </c>
      <c r="K18" s="1" t="s">
        <v>158</v>
      </c>
      <c r="L18" s="1" t="s">
        <v>30</v>
      </c>
      <c r="M18" s="1" t="s">
        <v>127</v>
      </c>
      <c r="N18" s="1" t="s">
        <v>80</v>
      </c>
      <c r="O18" s="1" t="s">
        <v>30</v>
      </c>
      <c r="P18" s="5">
        <v>0.2</v>
      </c>
      <c r="Q18" s="5">
        <v>0.16666666666666666</v>
      </c>
      <c r="R18" s="1" t="s">
        <v>159</v>
      </c>
    </row>
    <row r="19" spans="1:18" ht="15" customHeight="1" x14ac:dyDescent="0.25">
      <c r="A19" s="1" t="s">
        <v>151</v>
      </c>
      <c r="B19" s="1" t="s">
        <v>177</v>
      </c>
      <c r="C19" s="1" t="s">
        <v>178</v>
      </c>
      <c r="D19" s="1" t="s">
        <v>71</v>
      </c>
      <c r="E19" s="1" t="s">
        <v>89</v>
      </c>
      <c r="F19" s="1" t="s">
        <v>73</v>
      </c>
      <c r="G19" s="1" t="s">
        <v>168</v>
      </c>
      <c r="H19" s="1" t="s">
        <v>179</v>
      </c>
      <c r="I19" s="1" t="s">
        <v>180</v>
      </c>
      <c r="J19" s="1" t="s">
        <v>181</v>
      </c>
      <c r="K19" s="1" t="s">
        <v>158</v>
      </c>
      <c r="L19" s="1" t="s">
        <v>30</v>
      </c>
      <c r="M19" s="1" t="s">
        <v>127</v>
      </c>
      <c r="N19" s="1" t="s">
        <v>80</v>
      </c>
      <c r="O19" s="1" t="s">
        <v>30</v>
      </c>
      <c r="P19" s="5">
        <v>0.2</v>
      </c>
      <c r="Q19" s="5">
        <v>0.16666666666666666</v>
      </c>
      <c r="R19" s="1" t="s">
        <v>159</v>
      </c>
    </row>
    <row r="20" spans="1:18" ht="15" customHeight="1" x14ac:dyDescent="0.25">
      <c r="A20" s="1" t="s">
        <v>182</v>
      </c>
      <c r="B20" s="1" t="s">
        <v>183</v>
      </c>
      <c r="C20" s="1" t="s">
        <v>184</v>
      </c>
      <c r="D20" s="1" t="s">
        <v>185</v>
      </c>
      <c r="E20" s="1" t="s">
        <v>89</v>
      </c>
      <c r="F20" s="1" t="s">
        <v>73</v>
      </c>
      <c r="G20" s="1" t="s">
        <v>186</v>
      </c>
      <c r="H20" s="1" t="s">
        <v>187</v>
      </c>
      <c r="I20" s="1" t="s">
        <v>188</v>
      </c>
      <c r="J20" s="1" t="s">
        <v>189</v>
      </c>
      <c r="K20" s="1" t="s">
        <v>190</v>
      </c>
      <c r="L20" s="1" t="s">
        <v>45</v>
      </c>
      <c r="M20" s="1" t="s">
        <v>191</v>
      </c>
      <c r="N20" s="1" t="s">
        <v>80</v>
      </c>
      <c r="O20" s="1" t="s">
        <v>30</v>
      </c>
      <c r="P20" s="5">
        <v>0.125</v>
      </c>
      <c r="Q20" s="5">
        <v>8.3333333333333329E-2</v>
      </c>
      <c r="R20" s="1"/>
    </row>
    <row r="21" spans="1:18" ht="15" customHeight="1" x14ac:dyDescent="0.25">
      <c r="A21" s="1" t="s">
        <v>182</v>
      </c>
      <c r="B21" s="1" t="s">
        <v>192</v>
      </c>
      <c r="C21" s="1" t="s">
        <v>193</v>
      </c>
      <c r="D21" s="1" t="s">
        <v>194</v>
      </c>
      <c r="E21" s="1" t="s">
        <v>89</v>
      </c>
      <c r="F21" s="1" t="s">
        <v>73</v>
      </c>
      <c r="G21" s="1" t="s">
        <v>186</v>
      </c>
      <c r="H21" s="1" t="s">
        <v>195</v>
      </c>
      <c r="I21" s="1" t="s">
        <v>196</v>
      </c>
      <c r="J21" s="1" t="s">
        <v>197</v>
      </c>
      <c r="K21" s="1" t="s">
        <v>190</v>
      </c>
      <c r="L21" s="1" t="s">
        <v>45</v>
      </c>
      <c r="M21" s="1" t="s">
        <v>191</v>
      </c>
      <c r="N21" s="1" t="s">
        <v>80</v>
      </c>
      <c r="O21" s="1" t="s">
        <v>30</v>
      </c>
      <c r="P21" s="5">
        <v>0.125</v>
      </c>
      <c r="Q21" s="5">
        <v>8.3333333333333329E-2</v>
      </c>
      <c r="R21" s="1"/>
    </row>
    <row r="22" spans="1:18" ht="15" customHeight="1" x14ac:dyDescent="0.25">
      <c r="A22" s="1" t="s">
        <v>182</v>
      </c>
      <c r="B22" s="1" t="s">
        <v>198</v>
      </c>
      <c r="C22" s="1" t="s">
        <v>199</v>
      </c>
      <c r="D22" s="1" t="s">
        <v>194</v>
      </c>
      <c r="E22" s="1" t="s">
        <v>89</v>
      </c>
      <c r="F22" s="1" t="s">
        <v>73</v>
      </c>
      <c r="G22" s="1" t="s">
        <v>186</v>
      </c>
      <c r="H22" s="1" t="s">
        <v>200</v>
      </c>
      <c r="I22" s="1" t="s">
        <v>201</v>
      </c>
      <c r="J22" s="1" t="s">
        <v>202</v>
      </c>
      <c r="K22" s="1" t="s">
        <v>190</v>
      </c>
      <c r="L22" s="1" t="s">
        <v>45</v>
      </c>
      <c r="M22" s="1" t="s">
        <v>191</v>
      </c>
      <c r="N22" s="1" t="s">
        <v>80</v>
      </c>
      <c r="O22" s="1" t="s">
        <v>30</v>
      </c>
      <c r="P22" s="5">
        <v>0.125</v>
      </c>
      <c r="Q22" s="5">
        <v>8.3333333333333329E-2</v>
      </c>
      <c r="R22" s="1" t="s">
        <v>203</v>
      </c>
    </row>
    <row r="23" spans="1:18" ht="15" customHeight="1" x14ac:dyDescent="0.25">
      <c r="A23" s="1" t="s">
        <v>182</v>
      </c>
      <c r="B23" s="1" t="s">
        <v>204</v>
      </c>
      <c r="C23" s="1" t="s">
        <v>205</v>
      </c>
      <c r="D23" s="1" t="s">
        <v>206</v>
      </c>
      <c r="E23" s="1" t="s">
        <v>89</v>
      </c>
      <c r="F23" s="1" t="s">
        <v>97</v>
      </c>
      <c r="G23" s="1" t="s">
        <v>207</v>
      </c>
      <c r="H23" s="1" t="s">
        <v>208</v>
      </c>
      <c r="I23" s="1" t="s">
        <v>209</v>
      </c>
      <c r="J23" s="1" t="s">
        <v>210</v>
      </c>
      <c r="K23" s="1" t="s">
        <v>211</v>
      </c>
      <c r="L23" s="1" t="s">
        <v>45</v>
      </c>
      <c r="M23" s="1" t="s">
        <v>8</v>
      </c>
      <c r="N23" s="1" t="s">
        <v>80</v>
      </c>
      <c r="O23" s="1" t="s">
        <v>30</v>
      </c>
      <c r="P23" s="5">
        <v>0.125</v>
      </c>
      <c r="Q23" s="5">
        <v>8.3333333333333329E-2</v>
      </c>
      <c r="R23" s="1"/>
    </row>
    <row r="24" spans="1:18" ht="15" customHeight="1" x14ac:dyDescent="0.25">
      <c r="A24" s="1" t="s">
        <v>182</v>
      </c>
      <c r="B24" s="1" t="s">
        <v>212</v>
      </c>
      <c r="C24" s="1" t="s">
        <v>213</v>
      </c>
      <c r="D24" s="1" t="s">
        <v>214</v>
      </c>
      <c r="E24" s="1" t="s">
        <v>89</v>
      </c>
      <c r="F24" s="1" t="s">
        <v>97</v>
      </c>
      <c r="G24" s="1" t="s">
        <v>207</v>
      </c>
      <c r="H24" s="1" t="s">
        <v>215</v>
      </c>
      <c r="I24" s="1" t="s">
        <v>216</v>
      </c>
      <c r="J24" s="1" t="s">
        <v>217</v>
      </c>
      <c r="K24" s="1" t="s">
        <v>211</v>
      </c>
      <c r="L24" s="1" t="s">
        <v>45</v>
      </c>
      <c r="M24" s="1" t="s">
        <v>8</v>
      </c>
      <c r="N24" s="1" t="s">
        <v>80</v>
      </c>
      <c r="O24" s="1" t="s">
        <v>30</v>
      </c>
      <c r="P24" s="5">
        <v>0.125</v>
      </c>
      <c r="Q24" s="5">
        <v>8.3333333333333329E-2</v>
      </c>
      <c r="R24" s="1"/>
    </row>
    <row r="25" spans="1:18" ht="15" customHeight="1" x14ac:dyDescent="0.25">
      <c r="A25" s="1" t="s">
        <v>182</v>
      </c>
      <c r="B25" s="1" t="s">
        <v>218</v>
      </c>
      <c r="C25" s="1" t="s">
        <v>219</v>
      </c>
      <c r="D25" s="1" t="s">
        <v>214</v>
      </c>
      <c r="E25" s="1" t="s">
        <v>89</v>
      </c>
      <c r="F25" s="1" t="s">
        <v>97</v>
      </c>
      <c r="G25" s="1" t="s">
        <v>207</v>
      </c>
      <c r="H25" s="1" t="s">
        <v>220</v>
      </c>
      <c r="I25" s="1" t="s">
        <v>221</v>
      </c>
      <c r="J25" s="1" t="s">
        <v>222</v>
      </c>
      <c r="K25" s="1" t="s">
        <v>211</v>
      </c>
      <c r="L25" s="1" t="s">
        <v>45</v>
      </c>
      <c r="M25" s="1" t="s">
        <v>8</v>
      </c>
      <c r="N25" s="1" t="s">
        <v>80</v>
      </c>
      <c r="O25" s="1" t="s">
        <v>30</v>
      </c>
      <c r="P25" s="5">
        <v>0.125</v>
      </c>
      <c r="Q25" s="5">
        <v>8.3333333333333329E-2</v>
      </c>
      <c r="R25" s="1" t="s">
        <v>203</v>
      </c>
    </row>
    <row r="26" spans="1:18" ht="15" customHeight="1" x14ac:dyDescent="0.25">
      <c r="A26" s="1" t="s">
        <v>182</v>
      </c>
      <c r="B26" s="1" t="s">
        <v>223</v>
      </c>
      <c r="C26" s="1" t="s">
        <v>224</v>
      </c>
      <c r="D26" s="1" t="s">
        <v>71</v>
      </c>
      <c r="E26" s="1" t="s">
        <v>72</v>
      </c>
      <c r="F26" s="1" t="s">
        <v>225</v>
      </c>
      <c r="G26" s="1" t="s">
        <v>226</v>
      </c>
      <c r="H26" s="1" t="s">
        <v>227</v>
      </c>
      <c r="I26" s="1" t="s">
        <v>228</v>
      </c>
      <c r="J26" s="1" t="s">
        <v>229</v>
      </c>
      <c r="K26" s="1" t="s">
        <v>230</v>
      </c>
      <c r="L26" s="1" t="s">
        <v>45</v>
      </c>
      <c r="M26" s="1" t="s">
        <v>231</v>
      </c>
      <c r="N26" s="1" t="s">
        <v>80</v>
      </c>
      <c r="O26" s="1" t="s">
        <v>30</v>
      </c>
      <c r="P26" s="5">
        <v>0.125</v>
      </c>
      <c r="Q26" s="5">
        <v>0.25</v>
      </c>
      <c r="R26" s="1"/>
    </row>
    <row r="27" spans="1:18" ht="15" customHeight="1" x14ac:dyDescent="0.25">
      <c r="A27" s="1" t="s">
        <v>182</v>
      </c>
      <c r="B27" s="1" t="s">
        <v>232</v>
      </c>
      <c r="C27" s="1" t="s">
        <v>233</v>
      </c>
      <c r="D27" s="1" t="s">
        <v>71</v>
      </c>
      <c r="E27" s="1" t="s">
        <v>72</v>
      </c>
      <c r="F27" s="1" t="s">
        <v>225</v>
      </c>
      <c r="G27" s="1" t="s">
        <v>234</v>
      </c>
      <c r="H27" s="1" t="s">
        <v>235</v>
      </c>
      <c r="I27" s="1" t="s">
        <v>236</v>
      </c>
      <c r="J27" s="1" t="s">
        <v>237</v>
      </c>
      <c r="K27" s="1" t="s">
        <v>211</v>
      </c>
      <c r="L27" s="1" t="s">
        <v>45</v>
      </c>
      <c r="M27" s="1" t="s">
        <v>8</v>
      </c>
      <c r="N27" s="1" t="s">
        <v>80</v>
      </c>
      <c r="O27" s="1" t="s">
        <v>30</v>
      </c>
      <c r="P27" s="5">
        <v>0.125</v>
      </c>
      <c r="Q27" s="5">
        <v>0.25</v>
      </c>
      <c r="R27" s="1"/>
    </row>
    <row r="28" spans="1:18" ht="15" customHeight="1" x14ac:dyDescent="0.25">
      <c r="A28" s="1" t="s">
        <v>238</v>
      </c>
      <c r="B28" s="1" t="s">
        <v>239</v>
      </c>
      <c r="C28" s="1" t="s">
        <v>240</v>
      </c>
      <c r="D28" s="1" t="s">
        <v>241</v>
      </c>
      <c r="E28" s="1" t="s">
        <v>89</v>
      </c>
      <c r="F28" s="1" t="s">
        <v>90</v>
      </c>
      <c r="G28" s="1" t="s">
        <v>242</v>
      </c>
      <c r="H28" s="1" t="s">
        <v>243</v>
      </c>
      <c r="I28" s="1" t="s">
        <v>244</v>
      </c>
      <c r="J28" s="1" t="s">
        <v>245</v>
      </c>
      <c r="K28" s="1" t="s">
        <v>158</v>
      </c>
      <c r="L28" s="1" t="s">
        <v>30</v>
      </c>
      <c r="M28" s="1" t="s">
        <v>127</v>
      </c>
      <c r="N28" s="1" t="s">
        <v>80</v>
      </c>
      <c r="O28" s="1" t="s">
        <v>30</v>
      </c>
      <c r="P28" s="5">
        <v>0.1</v>
      </c>
      <c r="Q28" s="5">
        <v>8.3333333333333329E-2</v>
      </c>
      <c r="R28" s="1"/>
    </row>
    <row r="29" spans="1:18" ht="15" customHeight="1" x14ac:dyDescent="0.25">
      <c r="A29" s="1" t="s">
        <v>238</v>
      </c>
      <c r="B29" s="1" t="s">
        <v>246</v>
      </c>
      <c r="C29" s="1" t="s">
        <v>247</v>
      </c>
      <c r="D29" s="1" t="s">
        <v>71</v>
      </c>
      <c r="E29" s="1" t="s">
        <v>89</v>
      </c>
      <c r="F29" s="1" t="s">
        <v>90</v>
      </c>
      <c r="G29" s="1" t="s">
        <v>242</v>
      </c>
      <c r="H29" s="1" t="s">
        <v>248</v>
      </c>
      <c r="I29" s="1" t="s">
        <v>249</v>
      </c>
      <c r="J29" s="1" t="s">
        <v>250</v>
      </c>
      <c r="K29" s="1" t="s">
        <v>158</v>
      </c>
      <c r="L29" s="1" t="s">
        <v>30</v>
      </c>
      <c r="M29" s="1" t="s">
        <v>127</v>
      </c>
      <c r="N29" s="1" t="s">
        <v>80</v>
      </c>
      <c r="O29" s="1" t="s">
        <v>30</v>
      </c>
      <c r="P29" s="5">
        <v>0.1</v>
      </c>
      <c r="Q29" s="5">
        <v>8.3333333333333329E-2</v>
      </c>
      <c r="R29" s="1"/>
    </row>
    <row r="30" spans="1:18" ht="15" customHeight="1" x14ac:dyDescent="0.25">
      <c r="A30" s="1" t="s">
        <v>238</v>
      </c>
      <c r="B30" s="1" t="s">
        <v>251</v>
      </c>
      <c r="C30" s="1" t="s">
        <v>252</v>
      </c>
      <c r="D30" s="1" t="s">
        <v>71</v>
      </c>
      <c r="E30" s="1" t="s">
        <v>72</v>
      </c>
      <c r="F30" s="1" t="s">
        <v>225</v>
      </c>
      <c r="G30" s="1" t="s">
        <v>242</v>
      </c>
      <c r="H30" s="1" t="s">
        <v>253</v>
      </c>
      <c r="I30" s="1" t="s">
        <v>254</v>
      </c>
      <c r="J30" s="1" t="s">
        <v>255</v>
      </c>
      <c r="K30" s="1" t="s">
        <v>158</v>
      </c>
      <c r="L30" s="1" t="s">
        <v>30</v>
      </c>
      <c r="M30" s="1" t="s">
        <v>127</v>
      </c>
      <c r="N30" s="1" t="s">
        <v>80</v>
      </c>
      <c r="O30" s="1" t="s">
        <v>30</v>
      </c>
      <c r="P30" s="5">
        <v>0.1</v>
      </c>
      <c r="Q30" s="5">
        <v>8.3333333333333329E-2</v>
      </c>
      <c r="R30" s="1"/>
    </row>
    <row r="31" spans="1:18" ht="15" customHeight="1" x14ac:dyDescent="0.25">
      <c r="A31" s="1" t="s">
        <v>238</v>
      </c>
      <c r="B31" s="1" t="s">
        <v>256</v>
      </c>
      <c r="C31" s="1" t="s">
        <v>257</v>
      </c>
      <c r="D31" s="1" t="s">
        <v>71</v>
      </c>
      <c r="E31" s="1" t="s">
        <v>89</v>
      </c>
      <c r="F31" s="1" t="s">
        <v>90</v>
      </c>
      <c r="G31" s="1" t="s">
        <v>258</v>
      </c>
      <c r="H31" s="1" t="s">
        <v>259</v>
      </c>
      <c r="I31" s="1" t="s">
        <v>260</v>
      </c>
      <c r="J31" s="1" t="s">
        <v>261</v>
      </c>
      <c r="K31" s="1" t="s">
        <v>158</v>
      </c>
      <c r="L31" s="1" t="s">
        <v>262</v>
      </c>
      <c r="M31" s="1" t="s">
        <v>263</v>
      </c>
      <c r="N31" s="1" t="s">
        <v>80</v>
      </c>
      <c r="O31" s="1" t="s">
        <v>30</v>
      </c>
      <c r="P31" s="5">
        <v>0.1</v>
      </c>
      <c r="Q31" s="5">
        <v>0.125</v>
      </c>
      <c r="R31" s="1"/>
    </row>
    <row r="32" spans="1:18" ht="15" customHeight="1" x14ac:dyDescent="0.25">
      <c r="A32" s="1" t="s">
        <v>238</v>
      </c>
      <c r="B32" s="1" t="s">
        <v>264</v>
      </c>
      <c r="C32" s="1" t="s">
        <v>265</v>
      </c>
      <c r="D32" s="1" t="s">
        <v>71</v>
      </c>
      <c r="E32" s="1" t="s">
        <v>72</v>
      </c>
      <c r="F32" s="1" t="s">
        <v>225</v>
      </c>
      <c r="G32" s="1" t="s">
        <v>258</v>
      </c>
      <c r="H32" s="1" t="s">
        <v>266</v>
      </c>
      <c r="I32" s="1" t="s">
        <v>267</v>
      </c>
      <c r="J32" s="1" t="s">
        <v>268</v>
      </c>
      <c r="K32" s="1" t="s">
        <v>158</v>
      </c>
      <c r="L32" s="1" t="s">
        <v>45</v>
      </c>
      <c r="M32" s="1" t="s">
        <v>8</v>
      </c>
      <c r="N32" s="1" t="s">
        <v>80</v>
      </c>
      <c r="O32" s="1" t="s">
        <v>30</v>
      </c>
      <c r="P32" s="5">
        <v>0.1</v>
      </c>
      <c r="Q32" s="5">
        <v>0.125</v>
      </c>
      <c r="R32" s="1"/>
    </row>
    <row r="33" spans="1:18" ht="15" customHeight="1" x14ac:dyDescent="0.25">
      <c r="A33" s="1" t="s">
        <v>238</v>
      </c>
      <c r="B33" s="1" t="s">
        <v>269</v>
      </c>
      <c r="C33" s="1" t="s">
        <v>270</v>
      </c>
      <c r="D33" s="1" t="s">
        <v>71</v>
      </c>
      <c r="E33" s="1" t="s">
        <v>72</v>
      </c>
      <c r="F33" s="1" t="s">
        <v>225</v>
      </c>
      <c r="G33" s="1" t="s">
        <v>271</v>
      </c>
      <c r="H33" s="1" t="s">
        <v>272</v>
      </c>
      <c r="I33" s="1" t="s">
        <v>273</v>
      </c>
      <c r="J33" s="1" t="s">
        <v>274</v>
      </c>
      <c r="K33" s="1" t="s">
        <v>158</v>
      </c>
      <c r="L33" s="1" t="s">
        <v>45</v>
      </c>
      <c r="M33" s="1" t="s">
        <v>8</v>
      </c>
      <c r="N33" s="1" t="s">
        <v>80</v>
      </c>
      <c r="O33" s="1" t="s">
        <v>30</v>
      </c>
      <c r="P33" s="5">
        <v>0.1</v>
      </c>
      <c r="Q33" s="5">
        <v>8.3333333333333329E-2</v>
      </c>
      <c r="R33" s="1"/>
    </row>
    <row r="34" spans="1:18" ht="15" customHeight="1" x14ac:dyDescent="0.25">
      <c r="A34" s="1" t="s">
        <v>238</v>
      </c>
      <c r="B34" s="1" t="s">
        <v>275</v>
      </c>
      <c r="C34" s="1" t="s">
        <v>276</v>
      </c>
      <c r="D34" s="1" t="s">
        <v>71</v>
      </c>
      <c r="E34" s="1" t="s">
        <v>89</v>
      </c>
      <c r="F34" s="1" t="s">
        <v>97</v>
      </c>
      <c r="G34" s="1" t="s">
        <v>271</v>
      </c>
      <c r="H34" s="1" t="s">
        <v>277</v>
      </c>
      <c r="I34" s="1" t="s">
        <v>278</v>
      </c>
      <c r="J34" s="1" t="s">
        <v>279</v>
      </c>
      <c r="K34" s="1" t="s">
        <v>158</v>
      </c>
      <c r="L34" s="1" t="s">
        <v>45</v>
      </c>
      <c r="M34" s="1" t="s">
        <v>8</v>
      </c>
      <c r="N34" s="1" t="s">
        <v>80</v>
      </c>
      <c r="O34" s="1" t="s">
        <v>30</v>
      </c>
      <c r="P34" s="5">
        <v>0.1</v>
      </c>
      <c r="Q34" s="5">
        <v>8.3333333333333329E-2</v>
      </c>
      <c r="R34" s="1"/>
    </row>
    <row r="35" spans="1:18" ht="15" customHeight="1" x14ac:dyDescent="0.25">
      <c r="A35" s="1" t="s">
        <v>238</v>
      </c>
      <c r="B35" s="1" t="s">
        <v>280</v>
      </c>
      <c r="C35" s="1" t="s">
        <v>281</v>
      </c>
      <c r="D35" s="1" t="s">
        <v>241</v>
      </c>
      <c r="E35" s="1" t="s">
        <v>72</v>
      </c>
      <c r="F35" s="1" t="s">
        <v>282</v>
      </c>
      <c r="G35" s="1" t="s">
        <v>283</v>
      </c>
      <c r="H35" s="1" t="s">
        <v>284</v>
      </c>
      <c r="I35" s="1" t="s">
        <v>285</v>
      </c>
      <c r="J35" s="1" t="s">
        <v>286</v>
      </c>
      <c r="K35" s="1" t="s">
        <v>158</v>
      </c>
      <c r="L35" s="1" t="s">
        <v>45</v>
      </c>
      <c r="M35" s="1" t="s">
        <v>8</v>
      </c>
      <c r="N35" s="1" t="s">
        <v>80</v>
      </c>
      <c r="O35" s="1" t="s">
        <v>30</v>
      </c>
      <c r="P35" s="5">
        <v>0.1</v>
      </c>
      <c r="Q35" s="5">
        <v>0.125</v>
      </c>
      <c r="R35" s="1"/>
    </row>
    <row r="36" spans="1:18" ht="15" customHeight="1" x14ac:dyDescent="0.25">
      <c r="A36" s="1" t="s">
        <v>238</v>
      </c>
      <c r="B36" s="1" t="s">
        <v>287</v>
      </c>
      <c r="C36" s="1" t="s">
        <v>288</v>
      </c>
      <c r="D36" s="1" t="s">
        <v>71</v>
      </c>
      <c r="E36" s="1" t="s">
        <v>72</v>
      </c>
      <c r="F36" s="1" t="s">
        <v>106</v>
      </c>
      <c r="G36" s="1" t="s">
        <v>283</v>
      </c>
      <c r="H36" s="1" t="s">
        <v>289</v>
      </c>
      <c r="I36" s="1" t="s">
        <v>290</v>
      </c>
      <c r="J36" s="1" t="s">
        <v>291</v>
      </c>
      <c r="K36" s="1" t="s">
        <v>292</v>
      </c>
      <c r="L36" s="1" t="s">
        <v>45</v>
      </c>
      <c r="M36" s="1" t="s">
        <v>293</v>
      </c>
      <c r="N36" s="1" t="s">
        <v>80</v>
      </c>
      <c r="O36" s="1" t="s">
        <v>30</v>
      </c>
      <c r="P36" s="5">
        <v>0.1</v>
      </c>
      <c r="Q36" s="5">
        <v>0.125</v>
      </c>
      <c r="R36" s="1"/>
    </row>
    <row r="37" spans="1:18" ht="15" customHeight="1" x14ac:dyDescent="0.25">
      <c r="A37" s="1" t="s">
        <v>238</v>
      </c>
      <c r="B37" s="1" t="s">
        <v>294</v>
      </c>
      <c r="C37" s="1" t="s">
        <v>295</v>
      </c>
      <c r="D37" s="1" t="s">
        <v>71</v>
      </c>
      <c r="E37" s="1" t="s">
        <v>72</v>
      </c>
      <c r="F37" s="1" t="s">
        <v>97</v>
      </c>
      <c r="G37" s="1" t="s">
        <v>271</v>
      </c>
      <c r="H37" s="1" t="s">
        <v>296</v>
      </c>
      <c r="I37" s="1" t="s">
        <v>297</v>
      </c>
      <c r="J37" s="1" t="s">
        <v>298</v>
      </c>
      <c r="K37" s="1" t="s">
        <v>158</v>
      </c>
      <c r="L37" s="1" t="s">
        <v>45</v>
      </c>
      <c r="M37" s="1" t="s">
        <v>8</v>
      </c>
      <c r="N37" s="1" t="s">
        <v>80</v>
      </c>
      <c r="O37" s="1" t="s">
        <v>30</v>
      </c>
      <c r="P37" s="5">
        <v>0.1</v>
      </c>
      <c r="Q37" s="5">
        <v>8.3333333333333329E-2</v>
      </c>
      <c r="R37" s="1"/>
    </row>
    <row r="38" spans="1:18" ht="15" customHeight="1" x14ac:dyDescent="0.25">
      <c r="A38" s="1" t="s">
        <v>299</v>
      </c>
      <c r="B38" s="1" t="s">
        <v>300</v>
      </c>
      <c r="C38" s="1" t="s">
        <v>301</v>
      </c>
      <c r="D38" s="1" t="s">
        <v>71</v>
      </c>
      <c r="E38" s="1" t="s">
        <v>72</v>
      </c>
      <c r="F38" s="1" t="s">
        <v>302</v>
      </c>
      <c r="G38" s="1" t="s">
        <v>303</v>
      </c>
      <c r="H38" s="1" t="s">
        <v>304</v>
      </c>
      <c r="I38" s="1" t="s">
        <v>305</v>
      </c>
      <c r="J38" s="1" t="s">
        <v>306</v>
      </c>
      <c r="K38" s="1" t="s">
        <v>307</v>
      </c>
      <c r="L38" s="1" t="s">
        <v>45</v>
      </c>
      <c r="M38" s="1" t="s">
        <v>308</v>
      </c>
      <c r="N38" s="1" t="s">
        <v>80</v>
      </c>
      <c r="O38" s="1" t="s">
        <v>30</v>
      </c>
      <c r="P38" s="5">
        <v>0.25</v>
      </c>
      <c r="Q38" s="5">
        <v>0.25</v>
      </c>
      <c r="R38" s="1"/>
    </row>
    <row r="39" spans="1:18" ht="15" customHeight="1" x14ac:dyDescent="0.25">
      <c r="A39" s="1" t="s">
        <v>299</v>
      </c>
      <c r="B39" s="1" t="s">
        <v>309</v>
      </c>
      <c r="C39" s="1" t="s">
        <v>310</v>
      </c>
      <c r="D39" s="1" t="s">
        <v>71</v>
      </c>
      <c r="E39" s="1" t="s">
        <v>72</v>
      </c>
      <c r="F39" s="1" t="s">
        <v>302</v>
      </c>
      <c r="G39" s="1" t="s">
        <v>311</v>
      </c>
      <c r="H39" s="1" t="s">
        <v>312</v>
      </c>
      <c r="I39" s="1" t="s">
        <v>313</v>
      </c>
      <c r="J39" s="1" t="s">
        <v>314</v>
      </c>
      <c r="K39" s="1" t="s">
        <v>307</v>
      </c>
      <c r="L39" s="1" t="s">
        <v>45</v>
      </c>
      <c r="M39" s="1" t="s">
        <v>308</v>
      </c>
      <c r="N39" s="1" t="s">
        <v>80</v>
      </c>
      <c r="O39" s="1" t="s">
        <v>30</v>
      </c>
      <c r="P39" s="5">
        <v>0.25</v>
      </c>
      <c r="Q39" s="5">
        <v>0.25</v>
      </c>
      <c r="R39" s="1"/>
    </row>
    <row r="40" spans="1:18" ht="15" customHeight="1" x14ac:dyDescent="0.25">
      <c r="A40" s="1" t="s">
        <v>299</v>
      </c>
      <c r="B40" s="1" t="s">
        <v>315</v>
      </c>
      <c r="C40" s="1" t="s">
        <v>316</v>
      </c>
      <c r="D40" s="1" t="s">
        <v>71</v>
      </c>
      <c r="E40" s="1" t="s">
        <v>72</v>
      </c>
      <c r="F40" s="1" t="s">
        <v>302</v>
      </c>
      <c r="G40" s="1" t="s">
        <v>317</v>
      </c>
      <c r="H40" s="1" t="s">
        <v>318</v>
      </c>
      <c r="I40" s="1" t="s">
        <v>319</v>
      </c>
      <c r="J40" s="1" t="s">
        <v>320</v>
      </c>
      <c r="K40" s="1" t="s">
        <v>307</v>
      </c>
      <c r="L40" s="1" t="s">
        <v>45</v>
      </c>
      <c r="M40" s="1" t="s">
        <v>308</v>
      </c>
      <c r="N40" s="1" t="s">
        <v>80</v>
      </c>
      <c r="O40" s="1" t="s">
        <v>30</v>
      </c>
      <c r="P40" s="5">
        <v>0.25</v>
      </c>
      <c r="Q40" s="5">
        <v>0.25</v>
      </c>
      <c r="R40" s="1"/>
    </row>
    <row r="41" spans="1:18" ht="15" customHeight="1" x14ac:dyDescent="0.25">
      <c r="A41" s="1" t="s">
        <v>299</v>
      </c>
      <c r="B41" s="1" t="s">
        <v>321</v>
      </c>
      <c r="C41" s="1" t="s">
        <v>322</v>
      </c>
      <c r="D41" s="1" t="s">
        <v>71</v>
      </c>
      <c r="E41" s="1" t="s">
        <v>72</v>
      </c>
      <c r="F41" s="1" t="s">
        <v>302</v>
      </c>
      <c r="G41" s="1" t="s">
        <v>323</v>
      </c>
      <c r="H41" s="1" t="s">
        <v>324</v>
      </c>
      <c r="I41" s="1" t="s">
        <v>325</v>
      </c>
      <c r="J41" s="1" t="s">
        <v>326</v>
      </c>
      <c r="K41" s="1" t="s">
        <v>307</v>
      </c>
      <c r="L41" s="1" t="s">
        <v>45</v>
      </c>
      <c r="M41" s="1" t="s">
        <v>308</v>
      </c>
      <c r="N41" s="1" t="s">
        <v>80</v>
      </c>
      <c r="O41" s="1" t="s">
        <v>30</v>
      </c>
      <c r="P41" s="5">
        <v>0.25</v>
      </c>
      <c r="Q41" s="5">
        <v>0.25</v>
      </c>
      <c r="R41" s="1"/>
    </row>
  </sheetData>
  <mergeCells count="1">
    <mergeCell ref="A1:R1"/>
  </mergeCells>
  <dataValidations count="1">
    <dataValidation type="list" sqref="O4:O41" xr:uid="{00000000-0002-0000-0200-000000000000}">
      <formula1>"Yes,Diagnostic only,No"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>
      <selection activeCell="L46" sqref="L46"/>
    </sheetView>
  </sheetViews>
  <sheetFormatPr defaultRowHeight="15" x14ac:dyDescent="0.25"/>
  <cols>
    <col min="1" max="1" width="10" customWidth="1"/>
    <col min="2" max="2" width="8" customWidth="1"/>
    <col min="3" max="3" width="34" customWidth="1"/>
    <col min="4" max="5" width="12" customWidth="1"/>
    <col min="6" max="8" width="11" customWidth="1"/>
    <col min="9" max="9" width="14" customWidth="1"/>
    <col min="10" max="10" width="22" customWidth="1"/>
    <col min="11" max="12" width="24" customWidth="1"/>
    <col min="13" max="13" width="22" customWidth="1"/>
    <col min="14" max="14" width="50" customWidth="1"/>
  </cols>
  <sheetData>
    <row r="1" spans="1:14" ht="30" customHeight="1" x14ac:dyDescent="0.25">
      <c r="A1" s="12" t="s">
        <v>327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ht="30" customHeight="1" x14ac:dyDescent="0.25">
      <c r="A3" s="3" t="s">
        <v>50</v>
      </c>
      <c r="B3" s="3" t="s">
        <v>51</v>
      </c>
      <c r="C3" s="3" t="s">
        <v>328</v>
      </c>
      <c r="D3" s="3" t="s">
        <v>53</v>
      </c>
      <c r="E3" s="3" t="s">
        <v>54</v>
      </c>
      <c r="F3" s="3" t="s">
        <v>329</v>
      </c>
      <c r="G3" s="3" t="s">
        <v>330</v>
      </c>
      <c r="H3" s="3" t="s">
        <v>331</v>
      </c>
      <c r="I3" s="3" t="s">
        <v>332</v>
      </c>
      <c r="J3" s="3" t="s">
        <v>333</v>
      </c>
      <c r="K3" s="3" t="s">
        <v>334</v>
      </c>
      <c r="L3" s="3" t="s">
        <v>335</v>
      </c>
      <c r="M3" s="3" t="s">
        <v>336</v>
      </c>
      <c r="N3" s="3" t="s">
        <v>337</v>
      </c>
    </row>
    <row r="4" spans="1:14" ht="15" customHeight="1" x14ac:dyDescent="0.25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5">
        <v>0.4</v>
      </c>
      <c r="G4" s="5">
        <v>0.6</v>
      </c>
      <c r="H4" s="5">
        <v>0.8</v>
      </c>
      <c r="I4" s="5">
        <v>1</v>
      </c>
      <c r="J4" s="1" t="s">
        <v>338</v>
      </c>
      <c r="K4" s="1" t="s">
        <v>339</v>
      </c>
      <c r="L4" s="1" t="s">
        <v>340</v>
      </c>
      <c r="M4" s="1" t="s">
        <v>341</v>
      </c>
      <c r="N4" s="1"/>
    </row>
    <row r="5" spans="1:14" ht="15" customHeight="1" x14ac:dyDescent="0.25">
      <c r="A5" s="1" t="s">
        <v>68</v>
      </c>
      <c r="B5" s="1" t="s">
        <v>81</v>
      </c>
      <c r="C5" s="1" t="s">
        <v>82</v>
      </c>
      <c r="D5" s="1" t="s">
        <v>71</v>
      </c>
      <c r="E5" s="1" t="s">
        <v>72</v>
      </c>
      <c r="F5" s="5">
        <v>0.4</v>
      </c>
      <c r="G5" s="5">
        <v>0.6</v>
      </c>
      <c r="H5" s="5">
        <v>0.8</v>
      </c>
      <c r="I5" s="5">
        <v>1</v>
      </c>
      <c r="J5" s="1" t="s">
        <v>338</v>
      </c>
      <c r="K5" s="1" t="s">
        <v>339</v>
      </c>
      <c r="L5" s="1" t="s">
        <v>340</v>
      </c>
      <c r="M5" s="1" t="s">
        <v>341</v>
      </c>
      <c r="N5" s="1"/>
    </row>
    <row r="6" spans="1:14" ht="15" customHeight="1" x14ac:dyDescent="0.25">
      <c r="A6" s="1" t="s">
        <v>68</v>
      </c>
      <c r="B6" s="1" t="s">
        <v>86</v>
      </c>
      <c r="C6" s="1" t="s">
        <v>87</v>
      </c>
      <c r="D6" s="1" t="s">
        <v>88</v>
      </c>
      <c r="E6" s="1" t="s">
        <v>89</v>
      </c>
      <c r="F6" s="5">
        <v>12</v>
      </c>
      <c r="G6" s="5">
        <v>6</v>
      </c>
      <c r="H6" s="5">
        <v>3</v>
      </c>
      <c r="I6" s="5">
        <v>0</v>
      </c>
      <c r="J6" s="1" t="s">
        <v>342</v>
      </c>
      <c r="K6" s="1" t="s">
        <v>343</v>
      </c>
      <c r="L6" s="1" t="s">
        <v>344</v>
      </c>
      <c r="M6" s="1" t="s">
        <v>345</v>
      </c>
      <c r="N6" s="1"/>
    </row>
    <row r="7" spans="1:14" ht="15" customHeight="1" x14ac:dyDescent="0.25">
      <c r="A7" s="1" t="s">
        <v>68</v>
      </c>
      <c r="B7" s="1" t="s">
        <v>95</v>
      </c>
      <c r="C7" s="1" t="s">
        <v>96</v>
      </c>
      <c r="D7" s="1" t="s">
        <v>71</v>
      </c>
      <c r="E7" s="1" t="s">
        <v>89</v>
      </c>
      <c r="F7" s="5">
        <v>1.1000000000000001</v>
      </c>
      <c r="G7" s="5">
        <v>0.9</v>
      </c>
      <c r="H7" s="5">
        <v>0.5</v>
      </c>
      <c r="I7" s="5">
        <v>0</v>
      </c>
      <c r="J7" s="1" t="s">
        <v>346</v>
      </c>
      <c r="K7" s="1" t="s">
        <v>347</v>
      </c>
      <c r="L7" s="1" t="s">
        <v>348</v>
      </c>
      <c r="M7" s="1" t="s">
        <v>349</v>
      </c>
      <c r="N7" s="1"/>
    </row>
    <row r="8" spans="1:14" ht="15" customHeight="1" x14ac:dyDescent="0.25">
      <c r="A8" s="1" t="s">
        <v>68</v>
      </c>
      <c r="B8" s="1" t="s">
        <v>104</v>
      </c>
      <c r="C8" s="1" t="s">
        <v>105</v>
      </c>
      <c r="D8" s="1" t="s">
        <v>71</v>
      </c>
      <c r="E8" s="1" t="s">
        <v>72</v>
      </c>
      <c r="F8" s="5">
        <v>0.75</v>
      </c>
      <c r="G8" s="5">
        <v>1.5</v>
      </c>
      <c r="H8" s="5">
        <v>3</v>
      </c>
      <c r="I8" s="5">
        <v>90.830935457300612</v>
      </c>
      <c r="J8" s="1" t="s">
        <v>350</v>
      </c>
      <c r="K8" s="1" t="s">
        <v>351</v>
      </c>
      <c r="L8" s="1" t="s">
        <v>352</v>
      </c>
      <c r="M8" s="1" t="s">
        <v>353</v>
      </c>
      <c r="N8" s="1" t="s">
        <v>354</v>
      </c>
    </row>
    <row r="9" spans="1:14" ht="15" customHeight="1" x14ac:dyDescent="0.25">
      <c r="A9" s="1" t="s">
        <v>68</v>
      </c>
      <c r="B9" s="1" t="s">
        <v>113</v>
      </c>
      <c r="C9" s="1" t="s">
        <v>114</v>
      </c>
      <c r="D9" s="1" t="s">
        <v>71</v>
      </c>
      <c r="E9" s="1" t="s">
        <v>89</v>
      </c>
      <c r="F9" s="5">
        <v>2</v>
      </c>
      <c r="G9" s="5">
        <v>1.5</v>
      </c>
      <c r="H9" s="5">
        <v>1.05</v>
      </c>
      <c r="I9" s="5">
        <v>1</v>
      </c>
      <c r="J9" s="1" t="s">
        <v>355</v>
      </c>
      <c r="K9" s="1" t="s">
        <v>356</v>
      </c>
      <c r="L9" s="1" t="s">
        <v>357</v>
      </c>
      <c r="M9" s="1" t="s">
        <v>358</v>
      </c>
      <c r="N9" s="1" t="s">
        <v>359</v>
      </c>
    </row>
    <row r="10" spans="1:14" ht="15" customHeight="1" x14ac:dyDescent="0.25">
      <c r="A10" s="1" t="s">
        <v>119</v>
      </c>
      <c r="B10" s="1" t="s">
        <v>120</v>
      </c>
      <c r="C10" s="1" t="s">
        <v>121</v>
      </c>
      <c r="D10" s="1" t="s">
        <v>71</v>
      </c>
      <c r="E10" s="1" t="s">
        <v>72</v>
      </c>
      <c r="F10" s="5">
        <v>0.5</v>
      </c>
      <c r="G10" s="5">
        <v>0.6</v>
      </c>
      <c r="H10" s="5">
        <v>0.8</v>
      </c>
      <c r="I10" s="5">
        <v>1</v>
      </c>
      <c r="J10" s="1" t="s">
        <v>360</v>
      </c>
      <c r="K10" s="1" t="s">
        <v>361</v>
      </c>
      <c r="L10" s="1" t="s">
        <v>340</v>
      </c>
      <c r="M10" s="1" t="s">
        <v>341</v>
      </c>
      <c r="N10" s="1"/>
    </row>
    <row r="11" spans="1:14" ht="15" customHeight="1" x14ac:dyDescent="0.25">
      <c r="A11" s="1" t="s">
        <v>119</v>
      </c>
      <c r="B11" s="1" t="s">
        <v>128</v>
      </c>
      <c r="C11" s="1" t="s">
        <v>129</v>
      </c>
      <c r="D11" s="1" t="s">
        <v>71</v>
      </c>
      <c r="E11" s="1" t="s">
        <v>72</v>
      </c>
      <c r="F11" s="5">
        <v>0.5</v>
      </c>
      <c r="G11" s="5">
        <v>0.6</v>
      </c>
      <c r="H11" s="5">
        <v>0.8</v>
      </c>
      <c r="I11" s="5">
        <v>1</v>
      </c>
      <c r="J11" s="1" t="s">
        <v>360</v>
      </c>
      <c r="K11" s="1" t="s">
        <v>361</v>
      </c>
      <c r="L11" s="1" t="s">
        <v>340</v>
      </c>
      <c r="M11" s="1" t="s">
        <v>341</v>
      </c>
      <c r="N11" s="1"/>
    </row>
    <row r="12" spans="1:14" ht="15" customHeight="1" x14ac:dyDescent="0.25">
      <c r="A12" s="1" t="s">
        <v>119</v>
      </c>
      <c r="B12" s="1" t="s">
        <v>133</v>
      </c>
      <c r="C12" s="1" t="s">
        <v>134</v>
      </c>
      <c r="D12" s="1" t="s">
        <v>71</v>
      </c>
      <c r="E12" s="1" t="s">
        <v>72</v>
      </c>
      <c r="F12" s="5">
        <v>0.7</v>
      </c>
      <c r="G12" s="5">
        <v>0.75</v>
      </c>
      <c r="H12" s="5">
        <v>0.8</v>
      </c>
      <c r="I12" s="5">
        <v>1</v>
      </c>
      <c r="J12" s="1" t="s">
        <v>362</v>
      </c>
      <c r="K12" s="1" t="s">
        <v>363</v>
      </c>
      <c r="L12" s="1" t="s">
        <v>364</v>
      </c>
      <c r="M12" s="1" t="s">
        <v>341</v>
      </c>
      <c r="N12" s="1"/>
    </row>
    <row r="13" spans="1:14" ht="15" customHeight="1" x14ac:dyDescent="0.25">
      <c r="A13" s="1" t="s">
        <v>119</v>
      </c>
      <c r="B13" s="1" t="s">
        <v>139</v>
      </c>
      <c r="C13" s="1" t="s">
        <v>140</v>
      </c>
      <c r="D13" s="1" t="s">
        <v>71</v>
      </c>
      <c r="E13" s="1" t="s">
        <v>72</v>
      </c>
      <c r="F13" s="5">
        <v>0.25</v>
      </c>
      <c r="G13" s="5">
        <v>0.5</v>
      </c>
      <c r="H13" s="5">
        <v>0.75</v>
      </c>
      <c r="I13" s="5">
        <v>1</v>
      </c>
      <c r="J13" s="1" t="s">
        <v>365</v>
      </c>
      <c r="K13" s="1" t="s">
        <v>366</v>
      </c>
      <c r="L13" s="1" t="s">
        <v>367</v>
      </c>
      <c r="M13" s="1" t="s">
        <v>368</v>
      </c>
      <c r="N13" s="1"/>
    </row>
    <row r="14" spans="1:14" ht="15" customHeight="1" x14ac:dyDescent="0.25">
      <c r="A14" s="1" t="s">
        <v>119</v>
      </c>
      <c r="B14" s="1" t="s">
        <v>145</v>
      </c>
      <c r="C14" s="1" t="s">
        <v>146</v>
      </c>
      <c r="D14" s="1" t="s">
        <v>71</v>
      </c>
      <c r="E14" s="1" t="s">
        <v>89</v>
      </c>
      <c r="F14" s="5">
        <v>0.3</v>
      </c>
      <c r="G14" s="5">
        <v>0.1</v>
      </c>
      <c r="H14" s="5">
        <v>0.01</v>
      </c>
      <c r="I14" s="5">
        <v>0</v>
      </c>
      <c r="J14" s="1" t="s">
        <v>369</v>
      </c>
      <c r="K14" s="1" t="s">
        <v>370</v>
      </c>
      <c r="L14" s="1" t="s">
        <v>371</v>
      </c>
      <c r="M14" s="1" t="s">
        <v>372</v>
      </c>
      <c r="N14" s="1"/>
    </row>
    <row r="15" spans="1:14" ht="15" customHeight="1" x14ac:dyDescent="0.25">
      <c r="A15" s="1" t="s">
        <v>151</v>
      </c>
      <c r="B15" s="1" t="s">
        <v>152</v>
      </c>
      <c r="C15" s="1" t="s">
        <v>153</v>
      </c>
      <c r="D15" s="1" t="s">
        <v>71</v>
      </c>
      <c r="E15" s="1" t="s">
        <v>72</v>
      </c>
      <c r="F15" s="5">
        <v>0.5</v>
      </c>
      <c r="G15" s="5">
        <v>0.75</v>
      </c>
      <c r="H15" s="5">
        <v>0.85</v>
      </c>
      <c r="I15" s="5">
        <v>1</v>
      </c>
      <c r="J15" s="1" t="s">
        <v>360</v>
      </c>
      <c r="K15" s="1" t="s">
        <v>367</v>
      </c>
      <c r="L15" s="1" t="s">
        <v>373</v>
      </c>
      <c r="M15" s="1" t="s">
        <v>374</v>
      </c>
      <c r="N15" s="1"/>
    </row>
    <row r="16" spans="1:14" ht="15" customHeight="1" x14ac:dyDescent="0.25">
      <c r="A16" s="1" t="s">
        <v>151</v>
      </c>
      <c r="B16" s="1" t="s">
        <v>160</v>
      </c>
      <c r="C16" s="1" t="s">
        <v>161</v>
      </c>
      <c r="D16" s="1" t="s">
        <v>71</v>
      </c>
      <c r="E16" s="1" t="s">
        <v>72</v>
      </c>
      <c r="F16" s="5">
        <v>0.5</v>
      </c>
      <c r="G16" s="5">
        <v>0.75</v>
      </c>
      <c r="H16" s="5">
        <v>0.85</v>
      </c>
      <c r="I16" s="5">
        <v>1</v>
      </c>
      <c r="J16" s="1" t="s">
        <v>360</v>
      </c>
      <c r="K16" s="1" t="s">
        <v>367</v>
      </c>
      <c r="L16" s="1" t="s">
        <v>373</v>
      </c>
      <c r="M16" s="1" t="s">
        <v>374</v>
      </c>
      <c r="N16" s="1"/>
    </row>
    <row r="17" spans="1:14" ht="15" customHeight="1" x14ac:dyDescent="0.25">
      <c r="A17" s="1" t="s">
        <v>151</v>
      </c>
      <c r="B17" s="1" t="s">
        <v>165</v>
      </c>
      <c r="C17" s="1" t="s">
        <v>166</v>
      </c>
      <c r="D17" s="1" t="s">
        <v>167</v>
      </c>
      <c r="E17" s="1" t="s">
        <v>89</v>
      </c>
      <c r="F17" s="5">
        <v>1</v>
      </c>
      <c r="G17" s="5">
        <v>0.5</v>
      </c>
      <c r="H17" s="5">
        <v>0.3</v>
      </c>
      <c r="I17" s="5">
        <v>0.05</v>
      </c>
      <c r="J17" s="1" t="s">
        <v>375</v>
      </c>
      <c r="K17" s="1" t="s">
        <v>376</v>
      </c>
      <c r="L17" s="1" t="s">
        <v>377</v>
      </c>
      <c r="M17" s="1" t="s">
        <v>378</v>
      </c>
      <c r="N17" s="1" t="s">
        <v>379</v>
      </c>
    </row>
    <row r="18" spans="1:14" ht="15" customHeight="1" x14ac:dyDescent="0.25">
      <c r="A18" s="1" t="s">
        <v>151</v>
      </c>
      <c r="B18" s="1" t="s">
        <v>172</v>
      </c>
      <c r="C18" s="1" t="s">
        <v>173</v>
      </c>
      <c r="D18" s="1" t="s">
        <v>71</v>
      </c>
      <c r="E18" s="1" t="s">
        <v>89</v>
      </c>
      <c r="F18" s="5">
        <v>1</v>
      </c>
      <c r="G18" s="5">
        <v>0.5</v>
      </c>
      <c r="H18" s="5">
        <v>0.3</v>
      </c>
      <c r="I18" s="5">
        <v>0.05</v>
      </c>
      <c r="J18" s="1" t="s">
        <v>375</v>
      </c>
      <c r="K18" s="1" t="s">
        <v>376</v>
      </c>
      <c r="L18" s="1" t="s">
        <v>377</v>
      </c>
      <c r="M18" s="1" t="s">
        <v>378</v>
      </c>
      <c r="N18" s="1"/>
    </row>
    <row r="19" spans="1:14" ht="15" customHeight="1" x14ac:dyDescent="0.25">
      <c r="A19" s="1" t="s">
        <v>151</v>
      </c>
      <c r="B19" s="1" t="s">
        <v>177</v>
      </c>
      <c r="C19" s="1" t="s">
        <v>178</v>
      </c>
      <c r="D19" s="1" t="s">
        <v>71</v>
      </c>
      <c r="E19" s="1" t="s">
        <v>89</v>
      </c>
      <c r="F19" s="5">
        <v>1</v>
      </c>
      <c r="G19" s="5">
        <v>0.5</v>
      </c>
      <c r="H19" s="5">
        <v>0.3</v>
      </c>
      <c r="I19" s="5">
        <v>0.05</v>
      </c>
      <c r="J19" s="1" t="s">
        <v>375</v>
      </c>
      <c r="K19" s="1" t="s">
        <v>376</v>
      </c>
      <c r="L19" s="1" t="s">
        <v>377</v>
      </c>
      <c r="M19" s="1" t="s">
        <v>378</v>
      </c>
      <c r="N19" s="1"/>
    </row>
    <row r="20" spans="1:14" ht="15" customHeight="1" x14ac:dyDescent="0.25">
      <c r="A20" s="1" t="s">
        <v>182</v>
      </c>
      <c r="B20" s="1" t="s">
        <v>183</v>
      </c>
      <c r="C20" s="1" t="s">
        <v>184</v>
      </c>
      <c r="D20" s="1" t="s">
        <v>185</v>
      </c>
      <c r="E20" s="1" t="s">
        <v>89</v>
      </c>
      <c r="F20" s="5">
        <v>2000</v>
      </c>
      <c r="G20" s="5">
        <v>1500</v>
      </c>
      <c r="H20" s="5">
        <v>1000</v>
      </c>
      <c r="I20" s="5">
        <v>500</v>
      </c>
      <c r="J20" s="1" t="s">
        <v>380</v>
      </c>
      <c r="K20" s="1" t="s">
        <v>381</v>
      </c>
      <c r="L20" s="1" t="s">
        <v>382</v>
      </c>
      <c r="M20" s="1" t="s">
        <v>383</v>
      </c>
      <c r="N20" s="1"/>
    </row>
    <row r="21" spans="1:14" ht="15" customHeight="1" x14ac:dyDescent="0.25">
      <c r="A21" s="1" t="s">
        <v>182</v>
      </c>
      <c r="B21" s="1" t="s">
        <v>192</v>
      </c>
      <c r="C21" s="1" t="s">
        <v>193</v>
      </c>
      <c r="D21" s="1" t="s">
        <v>194</v>
      </c>
      <c r="E21" s="1" t="s">
        <v>89</v>
      </c>
      <c r="F21" s="5">
        <v>0.4</v>
      </c>
      <c r="G21" s="5">
        <v>0.3</v>
      </c>
      <c r="H21" s="5">
        <v>0.2</v>
      </c>
      <c r="I21" s="5">
        <v>0.1</v>
      </c>
      <c r="J21" s="1" t="s">
        <v>384</v>
      </c>
      <c r="K21" s="1" t="s">
        <v>385</v>
      </c>
      <c r="L21" s="1" t="s">
        <v>386</v>
      </c>
      <c r="M21" s="1" t="s">
        <v>387</v>
      </c>
      <c r="N21" s="1"/>
    </row>
    <row r="22" spans="1:14" ht="15" customHeight="1" x14ac:dyDescent="0.25">
      <c r="A22" s="1" t="s">
        <v>182</v>
      </c>
      <c r="B22" s="1" t="s">
        <v>198</v>
      </c>
      <c r="C22" s="1" t="s">
        <v>199</v>
      </c>
      <c r="D22" s="1" t="s">
        <v>194</v>
      </c>
      <c r="E22" s="1" t="s">
        <v>89</v>
      </c>
      <c r="F22" s="5">
        <v>0.35</v>
      </c>
      <c r="G22" s="5">
        <v>0.25</v>
      </c>
      <c r="H22" s="5">
        <v>0.15</v>
      </c>
      <c r="I22" s="5">
        <v>0.1</v>
      </c>
      <c r="J22" s="1" t="s">
        <v>388</v>
      </c>
      <c r="K22" s="1" t="s">
        <v>389</v>
      </c>
      <c r="L22" s="1" t="s">
        <v>390</v>
      </c>
      <c r="M22" s="1" t="s">
        <v>391</v>
      </c>
      <c r="N22" s="1"/>
    </row>
    <row r="23" spans="1:14" ht="15" customHeight="1" x14ac:dyDescent="0.25">
      <c r="A23" s="1" t="s">
        <v>182</v>
      </c>
      <c r="B23" s="1" t="s">
        <v>204</v>
      </c>
      <c r="C23" s="1" t="s">
        <v>205</v>
      </c>
      <c r="D23" s="1" t="s">
        <v>206</v>
      </c>
      <c r="E23" s="1" t="s">
        <v>89</v>
      </c>
      <c r="F23" s="5">
        <v>200</v>
      </c>
      <c r="G23" s="5">
        <v>150</v>
      </c>
      <c r="H23" s="5">
        <v>100</v>
      </c>
      <c r="I23" s="5">
        <v>50</v>
      </c>
      <c r="J23" s="1" t="s">
        <v>392</v>
      </c>
      <c r="K23" s="1" t="s">
        <v>393</v>
      </c>
      <c r="L23" s="1" t="s">
        <v>394</v>
      </c>
      <c r="M23" s="1" t="s">
        <v>395</v>
      </c>
      <c r="N23" s="1"/>
    </row>
    <row r="24" spans="1:14" ht="15" customHeight="1" x14ac:dyDescent="0.25">
      <c r="A24" s="1" t="s">
        <v>182</v>
      </c>
      <c r="B24" s="1" t="s">
        <v>212</v>
      </c>
      <c r="C24" s="1" t="s">
        <v>213</v>
      </c>
      <c r="D24" s="1" t="s">
        <v>214</v>
      </c>
      <c r="E24" s="1" t="s">
        <v>89</v>
      </c>
      <c r="F24" s="5">
        <v>0.06</v>
      </c>
      <c r="G24" s="5">
        <v>0.04</v>
      </c>
      <c r="H24" s="5">
        <v>0.02</v>
      </c>
      <c r="I24" s="5">
        <v>0.01</v>
      </c>
      <c r="J24" s="1" t="s">
        <v>396</v>
      </c>
      <c r="K24" s="1" t="s">
        <v>397</v>
      </c>
      <c r="L24" s="1" t="s">
        <v>398</v>
      </c>
      <c r="M24" s="1" t="s">
        <v>399</v>
      </c>
      <c r="N24" s="1"/>
    </row>
    <row r="25" spans="1:14" ht="15" customHeight="1" x14ac:dyDescent="0.25">
      <c r="A25" s="1" t="s">
        <v>182</v>
      </c>
      <c r="B25" s="1" t="s">
        <v>218</v>
      </c>
      <c r="C25" s="1" t="s">
        <v>219</v>
      </c>
      <c r="D25" s="1" t="s">
        <v>214</v>
      </c>
      <c r="E25" s="1" t="s">
        <v>89</v>
      </c>
      <c r="F25" s="5">
        <v>0.06</v>
      </c>
      <c r="G25" s="5">
        <v>0.04</v>
      </c>
      <c r="H25" s="5">
        <v>0.02</v>
      </c>
      <c r="I25" s="5">
        <v>0.01</v>
      </c>
      <c r="J25" s="1" t="s">
        <v>396</v>
      </c>
      <c r="K25" s="1" t="s">
        <v>397</v>
      </c>
      <c r="L25" s="1" t="s">
        <v>398</v>
      </c>
      <c r="M25" s="1" t="s">
        <v>399</v>
      </c>
      <c r="N25" s="1"/>
    </row>
    <row r="26" spans="1:14" ht="15" customHeight="1" x14ac:dyDescent="0.25">
      <c r="A26" s="1" t="s">
        <v>182</v>
      </c>
      <c r="B26" s="1" t="s">
        <v>223</v>
      </c>
      <c r="C26" s="1" t="s">
        <v>224</v>
      </c>
      <c r="D26" s="1" t="s">
        <v>71</v>
      </c>
      <c r="E26" s="1" t="s">
        <v>72</v>
      </c>
      <c r="F26" s="5">
        <v>0.05</v>
      </c>
      <c r="G26" s="5">
        <v>0.1</v>
      </c>
      <c r="H26" s="5">
        <v>0.2</v>
      </c>
      <c r="I26" s="5">
        <v>0.4</v>
      </c>
      <c r="J26" s="1" t="s">
        <v>400</v>
      </c>
      <c r="K26" s="1" t="s">
        <v>401</v>
      </c>
      <c r="L26" s="1" t="s">
        <v>402</v>
      </c>
      <c r="M26" s="1" t="s">
        <v>403</v>
      </c>
      <c r="N26" s="1"/>
    </row>
    <row r="27" spans="1:14" ht="15" customHeight="1" x14ac:dyDescent="0.25">
      <c r="A27" s="1" t="s">
        <v>182</v>
      </c>
      <c r="B27" s="1" t="s">
        <v>232</v>
      </c>
      <c r="C27" s="1" t="s">
        <v>233</v>
      </c>
      <c r="D27" s="1" t="s">
        <v>71</v>
      </c>
      <c r="E27" s="1" t="s">
        <v>72</v>
      </c>
      <c r="F27" s="5">
        <v>0</v>
      </c>
      <c r="G27" s="5">
        <v>0.25</v>
      </c>
      <c r="H27" s="5">
        <v>0.5</v>
      </c>
      <c r="I27" s="5">
        <v>1</v>
      </c>
      <c r="J27" s="1" t="s">
        <v>404</v>
      </c>
      <c r="K27" s="1" t="s">
        <v>405</v>
      </c>
      <c r="L27" s="1" t="s">
        <v>366</v>
      </c>
      <c r="M27" s="1" t="s">
        <v>406</v>
      </c>
      <c r="N27" s="1"/>
    </row>
    <row r="28" spans="1:14" ht="15" customHeight="1" x14ac:dyDescent="0.25">
      <c r="A28" s="1" t="s">
        <v>238</v>
      </c>
      <c r="B28" s="1" t="s">
        <v>239</v>
      </c>
      <c r="C28" s="1" t="s">
        <v>240</v>
      </c>
      <c r="D28" s="1" t="s">
        <v>241</v>
      </c>
      <c r="E28" s="1" t="s">
        <v>89</v>
      </c>
      <c r="F28" s="5">
        <v>600</v>
      </c>
      <c r="G28" s="5">
        <v>500</v>
      </c>
      <c r="H28" s="5">
        <v>400</v>
      </c>
      <c r="I28" s="5">
        <v>300</v>
      </c>
      <c r="J28" s="1" t="s">
        <v>407</v>
      </c>
      <c r="K28" s="1" t="s">
        <v>408</v>
      </c>
      <c r="L28" s="1" t="s">
        <v>409</v>
      </c>
      <c r="M28" s="1" t="s">
        <v>410</v>
      </c>
      <c r="N28" s="1"/>
    </row>
    <row r="29" spans="1:14" ht="15" customHeight="1" x14ac:dyDescent="0.25">
      <c r="A29" s="1" t="s">
        <v>238</v>
      </c>
      <c r="B29" s="1" t="s">
        <v>246</v>
      </c>
      <c r="C29" s="1" t="s">
        <v>247</v>
      </c>
      <c r="D29" s="1" t="s">
        <v>71</v>
      </c>
      <c r="E29" s="1" t="s">
        <v>89</v>
      </c>
      <c r="F29" s="5">
        <v>0.45</v>
      </c>
      <c r="G29" s="5">
        <v>0.35</v>
      </c>
      <c r="H29" s="5">
        <v>0.25</v>
      </c>
      <c r="I29" s="5">
        <v>0.2</v>
      </c>
      <c r="J29" s="1" t="s">
        <v>411</v>
      </c>
      <c r="K29" s="1" t="s">
        <v>412</v>
      </c>
      <c r="L29" s="1" t="s">
        <v>389</v>
      </c>
      <c r="M29" s="1" t="s">
        <v>413</v>
      </c>
      <c r="N29" s="1"/>
    </row>
    <row r="30" spans="1:14" ht="15" customHeight="1" x14ac:dyDescent="0.25">
      <c r="A30" s="1" t="s">
        <v>238</v>
      </c>
      <c r="B30" s="1" t="s">
        <v>251</v>
      </c>
      <c r="C30" s="1" t="s">
        <v>252</v>
      </c>
      <c r="D30" s="1" t="s">
        <v>71</v>
      </c>
      <c r="E30" s="1" t="s">
        <v>72</v>
      </c>
      <c r="F30" s="5">
        <v>0.25</v>
      </c>
      <c r="G30" s="5">
        <v>0.5</v>
      </c>
      <c r="H30" s="5">
        <v>0.75</v>
      </c>
      <c r="I30" s="5">
        <v>0.8</v>
      </c>
      <c r="J30" s="1" t="s">
        <v>365</v>
      </c>
      <c r="K30" s="1" t="s">
        <v>366</v>
      </c>
      <c r="L30" s="1" t="s">
        <v>367</v>
      </c>
      <c r="M30" s="1" t="s">
        <v>368</v>
      </c>
      <c r="N30" s="1"/>
    </row>
    <row r="31" spans="1:14" ht="15" customHeight="1" x14ac:dyDescent="0.25">
      <c r="A31" s="1" t="s">
        <v>238</v>
      </c>
      <c r="B31" s="1" t="s">
        <v>256</v>
      </c>
      <c r="C31" s="1" t="s">
        <v>257</v>
      </c>
      <c r="D31" s="1" t="s">
        <v>71</v>
      </c>
      <c r="E31" s="1" t="s">
        <v>89</v>
      </c>
      <c r="F31" s="5">
        <v>1.25</v>
      </c>
      <c r="G31" s="5">
        <v>1.05</v>
      </c>
      <c r="H31" s="5">
        <v>0.75</v>
      </c>
      <c r="I31" s="5">
        <v>0.5</v>
      </c>
      <c r="J31" s="1" t="s">
        <v>414</v>
      </c>
      <c r="K31" s="1" t="s">
        <v>415</v>
      </c>
      <c r="L31" s="1" t="s">
        <v>416</v>
      </c>
      <c r="M31" s="1" t="s">
        <v>417</v>
      </c>
      <c r="N31" s="1"/>
    </row>
    <row r="32" spans="1:14" ht="15" customHeight="1" x14ac:dyDescent="0.25">
      <c r="A32" s="1" t="s">
        <v>238</v>
      </c>
      <c r="B32" s="1" t="s">
        <v>264</v>
      </c>
      <c r="C32" s="1" t="s">
        <v>265</v>
      </c>
      <c r="D32" s="1" t="s">
        <v>71</v>
      </c>
      <c r="E32" s="1" t="s">
        <v>72</v>
      </c>
      <c r="F32" s="5">
        <v>0.25</v>
      </c>
      <c r="G32" s="5">
        <v>0.5</v>
      </c>
      <c r="H32" s="5">
        <v>0.75</v>
      </c>
      <c r="I32" s="5">
        <v>1</v>
      </c>
      <c r="J32" s="1" t="s">
        <v>365</v>
      </c>
      <c r="K32" s="1" t="s">
        <v>366</v>
      </c>
      <c r="L32" s="1" t="s">
        <v>367</v>
      </c>
      <c r="M32" s="1" t="s">
        <v>368</v>
      </c>
      <c r="N32" s="1"/>
    </row>
    <row r="33" spans="1:14" ht="15" customHeight="1" x14ac:dyDescent="0.25">
      <c r="A33" s="1" t="s">
        <v>238</v>
      </c>
      <c r="B33" s="1" t="s">
        <v>269</v>
      </c>
      <c r="C33" s="1" t="s">
        <v>270</v>
      </c>
      <c r="D33" s="1" t="s">
        <v>71</v>
      </c>
      <c r="E33" s="1" t="s">
        <v>72</v>
      </c>
      <c r="F33" s="5">
        <v>0</v>
      </c>
      <c r="G33" s="5">
        <v>0.2</v>
      </c>
      <c r="H33" s="5">
        <v>0.25</v>
      </c>
      <c r="I33" s="5">
        <v>0.3</v>
      </c>
      <c r="J33" s="1" t="s">
        <v>404</v>
      </c>
      <c r="K33" s="1" t="s">
        <v>418</v>
      </c>
      <c r="L33" s="1" t="s">
        <v>419</v>
      </c>
      <c r="M33" s="1" t="s">
        <v>420</v>
      </c>
      <c r="N33" s="1"/>
    </row>
    <row r="34" spans="1:14" ht="15" customHeight="1" x14ac:dyDescent="0.25">
      <c r="A34" s="1" t="s">
        <v>238</v>
      </c>
      <c r="B34" s="1" t="s">
        <v>275</v>
      </c>
      <c r="C34" s="1" t="s">
        <v>276</v>
      </c>
      <c r="D34" s="1" t="s">
        <v>71</v>
      </c>
      <c r="E34" s="1" t="s">
        <v>89</v>
      </c>
      <c r="F34" s="5">
        <v>0.6</v>
      </c>
      <c r="G34" s="5">
        <v>0.4</v>
      </c>
      <c r="H34" s="5">
        <v>0.3</v>
      </c>
      <c r="I34" s="5">
        <v>0.2</v>
      </c>
      <c r="J34" s="1" t="s">
        <v>421</v>
      </c>
      <c r="K34" s="1" t="s">
        <v>422</v>
      </c>
      <c r="L34" s="1" t="s">
        <v>385</v>
      </c>
      <c r="M34" s="1" t="s">
        <v>378</v>
      </c>
      <c r="N34" s="1"/>
    </row>
    <row r="35" spans="1:14" ht="15" customHeight="1" x14ac:dyDescent="0.25">
      <c r="A35" s="1" t="s">
        <v>238</v>
      </c>
      <c r="B35" s="1" t="s">
        <v>280</v>
      </c>
      <c r="C35" s="1" t="s">
        <v>281</v>
      </c>
      <c r="D35" s="1" t="s">
        <v>241</v>
      </c>
      <c r="E35" s="1" t="s">
        <v>72</v>
      </c>
      <c r="F35" s="5">
        <v>40</v>
      </c>
      <c r="G35" s="5">
        <v>60</v>
      </c>
      <c r="H35" s="5">
        <v>80</v>
      </c>
      <c r="I35" s="5">
        <v>100</v>
      </c>
      <c r="J35" s="1" t="s">
        <v>423</v>
      </c>
      <c r="K35" s="1" t="s">
        <v>424</v>
      </c>
      <c r="L35" s="1" t="s">
        <v>425</v>
      </c>
      <c r="M35" s="1" t="s">
        <v>426</v>
      </c>
      <c r="N35" s="1"/>
    </row>
    <row r="36" spans="1:14" ht="15" customHeight="1" x14ac:dyDescent="0.25">
      <c r="A36" s="1" t="s">
        <v>238</v>
      </c>
      <c r="B36" s="1" t="s">
        <v>287</v>
      </c>
      <c r="C36" s="1" t="s">
        <v>288</v>
      </c>
      <c r="D36" s="1" t="s">
        <v>71</v>
      </c>
      <c r="E36" s="1" t="s">
        <v>72</v>
      </c>
      <c r="F36" s="5">
        <v>0.25</v>
      </c>
      <c r="G36" s="5">
        <v>0.5</v>
      </c>
      <c r="H36" s="5">
        <v>0.75</v>
      </c>
      <c r="I36" s="5">
        <v>1</v>
      </c>
      <c r="J36" s="1" t="s">
        <v>365</v>
      </c>
      <c r="K36" s="1" t="s">
        <v>366</v>
      </c>
      <c r="L36" s="1" t="s">
        <v>367</v>
      </c>
      <c r="M36" s="1" t="s">
        <v>368</v>
      </c>
      <c r="N36" s="1"/>
    </row>
    <row r="37" spans="1:14" ht="15" customHeight="1" x14ac:dyDescent="0.25">
      <c r="A37" s="1" t="s">
        <v>238</v>
      </c>
      <c r="B37" s="1" t="s">
        <v>294</v>
      </c>
      <c r="C37" s="1" t="s">
        <v>295</v>
      </c>
      <c r="D37" s="1" t="s">
        <v>71</v>
      </c>
      <c r="E37" s="1" t="s">
        <v>72</v>
      </c>
      <c r="F37" s="5">
        <v>0.7</v>
      </c>
      <c r="G37" s="5">
        <v>0.85</v>
      </c>
      <c r="H37" s="5">
        <v>0.95</v>
      </c>
      <c r="I37" s="5">
        <v>1</v>
      </c>
      <c r="J37" s="1" t="s">
        <v>362</v>
      </c>
      <c r="K37" s="1" t="s">
        <v>427</v>
      </c>
      <c r="L37" s="1" t="s">
        <v>428</v>
      </c>
      <c r="M37" s="1" t="s">
        <v>429</v>
      </c>
      <c r="N37" s="1"/>
    </row>
    <row r="38" spans="1:14" ht="15" customHeight="1" x14ac:dyDescent="0.25">
      <c r="A38" s="1" t="s">
        <v>299</v>
      </c>
      <c r="B38" s="1" t="s">
        <v>300</v>
      </c>
      <c r="C38" s="1" t="s">
        <v>301</v>
      </c>
      <c r="D38" s="1" t="s">
        <v>71</v>
      </c>
      <c r="E38" s="1" t="s">
        <v>72</v>
      </c>
      <c r="F38" s="5">
        <v>0.25</v>
      </c>
      <c r="G38" s="5">
        <v>0.5</v>
      </c>
      <c r="H38" s="5">
        <v>0.75</v>
      </c>
      <c r="I38" s="5">
        <v>1</v>
      </c>
      <c r="J38" s="1" t="s">
        <v>365</v>
      </c>
      <c r="K38" s="1" t="s">
        <v>366</v>
      </c>
      <c r="L38" s="1" t="s">
        <v>367</v>
      </c>
      <c r="M38" s="1" t="s">
        <v>368</v>
      </c>
      <c r="N38" s="1"/>
    </row>
    <row r="39" spans="1:14" ht="15" customHeight="1" x14ac:dyDescent="0.25">
      <c r="A39" s="1" t="s">
        <v>299</v>
      </c>
      <c r="B39" s="1" t="s">
        <v>309</v>
      </c>
      <c r="C39" s="1" t="s">
        <v>310</v>
      </c>
      <c r="D39" s="1" t="s">
        <v>71</v>
      </c>
      <c r="E39" s="1" t="s">
        <v>72</v>
      </c>
      <c r="F39" s="5">
        <v>0.25</v>
      </c>
      <c r="G39" s="5">
        <v>0.5</v>
      </c>
      <c r="H39" s="5">
        <v>0.75</v>
      </c>
      <c r="I39" s="5">
        <v>1</v>
      </c>
      <c r="J39" s="1" t="s">
        <v>365</v>
      </c>
      <c r="K39" s="1" t="s">
        <v>366</v>
      </c>
      <c r="L39" s="1" t="s">
        <v>367</v>
      </c>
      <c r="M39" s="1" t="s">
        <v>368</v>
      </c>
      <c r="N39" s="1"/>
    </row>
    <row r="40" spans="1:14" ht="15" customHeight="1" x14ac:dyDescent="0.25">
      <c r="A40" s="1" t="s">
        <v>299</v>
      </c>
      <c r="B40" s="1" t="s">
        <v>315</v>
      </c>
      <c r="C40" s="1" t="s">
        <v>316</v>
      </c>
      <c r="D40" s="1" t="s">
        <v>71</v>
      </c>
      <c r="E40" s="1" t="s">
        <v>72</v>
      </c>
      <c r="F40" s="5">
        <v>0.25</v>
      </c>
      <c r="G40" s="5">
        <v>0.5</v>
      </c>
      <c r="H40" s="5">
        <v>0.75</v>
      </c>
      <c r="I40" s="5">
        <v>1</v>
      </c>
      <c r="J40" s="1" t="s">
        <v>365</v>
      </c>
      <c r="K40" s="1" t="s">
        <v>366</v>
      </c>
      <c r="L40" s="1" t="s">
        <v>367</v>
      </c>
      <c r="M40" s="1" t="s">
        <v>368</v>
      </c>
      <c r="N40" s="1"/>
    </row>
    <row r="41" spans="1:14" ht="15" customHeight="1" x14ac:dyDescent="0.25">
      <c r="A41" s="1" t="s">
        <v>299</v>
      </c>
      <c r="B41" s="1" t="s">
        <v>321</v>
      </c>
      <c r="C41" s="1" t="s">
        <v>322</v>
      </c>
      <c r="D41" s="1" t="s">
        <v>71</v>
      </c>
      <c r="E41" s="1" t="s">
        <v>72</v>
      </c>
      <c r="F41" s="5">
        <v>0.25</v>
      </c>
      <c r="G41" s="5">
        <v>0.5</v>
      </c>
      <c r="H41" s="5">
        <v>0.75</v>
      </c>
      <c r="I41" s="5">
        <v>1</v>
      </c>
      <c r="J41" s="1" t="s">
        <v>365</v>
      </c>
      <c r="K41" s="1" t="s">
        <v>366</v>
      </c>
      <c r="L41" s="1" t="s">
        <v>367</v>
      </c>
      <c r="M41" s="1" t="s">
        <v>368</v>
      </c>
      <c r="N41" s="1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3"/>
  <sheetViews>
    <sheetView topLeftCell="A255" workbookViewId="0">
      <selection activeCell="P12" sqref="P12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5" customWidth="1"/>
    <col min="6" max="6" width="22" customWidth="1"/>
    <col min="7" max="7" width="48" customWidth="1"/>
    <col min="8" max="8" width="30" customWidth="1"/>
  </cols>
  <sheetData>
    <row r="1" spans="1:8" ht="30" customHeight="1" x14ac:dyDescent="0.25">
      <c r="A1" s="12" t="s">
        <v>430</v>
      </c>
      <c r="B1" s="13"/>
      <c r="C1" s="13"/>
      <c r="D1" s="13"/>
      <c r="E1" s="13"/>
      <c r="F1" s="13"/>
      <c r="G1" s="13"/>
      <c r="H1" s="13"/>
    </row>
    <row r="3" spans="1:8" ht="30" customHeight="1" x14ac:dyDescent="0.25">
      <c r="A3" s="3" t="s">
        <v>431</v>
      </c>
      <c r="B3" s="3" t="s">
        <v>432</v>
      </c>
      <c r="C3" s="3" t="s">
        <v>50</v>
      </c>
      <c r="D3" s="3" t="s">
        <v>328</v>
      </c>
      <c r="E3" s="3" t="s">
        <v>433</v>
      </c>
      <c r="F3" s="3" t="s">
        <v>434</v>
      </c>
      <c r="G3" s="3" t="s">
        <v>435</v>
      </c>
      <c r="H3" s="3" t="s">
        <v>67</v>
      </c>
    </row>
    <row r="4" spans="1:8" x14ac:dyDescent="0.25">
      <c r="A4" s="1">
        <v>2016</v>
      </c>
      <c r="B4" s="1" t="s">
        <v>436</v>
      </c>
      <c r="C4" s="1" t="s">
        <v>68</v>
      </c>
      <c r="D4" s="1" t="s">
        <v>69</v>
      </c>
      <c r="E4" s="5">
        <v>1</v>
      </c>
      <c r="F4" s="1" t="s">
        <v>437</v>
      </c>
      <c r="G4" s="1"/>
      <c r="H4" s="1"/>
    </row>
    <row r="5" spans="1:8" x14ac:dyDescent="0.25">
      <c r="A5" s="1">
        <v>2016</v>
      </c>
      <c r="B5" s="1" t="s">
        <v>436</v>
      </c>
      <c r="C5" s="1" t="s">
        <v>68</v>
      </c>
      <c r="D5" s="1" t="s">
        <v>81</v>
      </c>
      <c r="E5" s="5">
        <v>1</v>
      </c>
      <c r="F5" s="1" t="s">
        <v>437</v>
      </c>
      <c r="G5" s="1"/>
      <c r="H5" s="1"/>
    </row>
    <row r="6" spans="1:8" x14ac:dyDescent="0.25">
      <c r="A6" s="1">
        <v>2016</v>
      </c>
      <c r="B6" s="1" t="s">
        <v>436</v>
      </c>
      <c r="C6" s="1" t="s">
        <v>68</v>
      </c>
      <c r="D6" s="1" t="s">
        <v>86</v>
      </c>
      <c r="E6" s="5">
        <v>0</v>
      </c>
      <c r="F6" s="1" t="s">
        <v>437</v>
      </c>
      <c r="G6" s="1"/>
      <c r="H6" s="1"/>
    </row>
    <row r="7" spans="1:8" x14ac:dyDescent="0.25">
      <c r="A7" s="1">
        <v>2016</v>
      </c>
      <c r="B7" s="1" t="s">
        <v>436</v>
      </c>
      <c r="C7" s="1" t="s">
        <v>68</v>
      </c>
      <c r="D7" s="1" t="s">
        <v>95</v>
      </c>
      <c r="E7" s="5"/>
      <c r="F7" s="1" t="s">
        <v>438</v>
      </c>
      <c r="G7" s="1" t="s">
        <v>439</v>
      </c>
      <c r="H7" s="1"/>
    </row>
    <row r="8" spans="1:8" x14ac:dyDescent="0.25">
      <c r="A8" s="1">
        <v>2016</v>
      </c>
      <c r="B8" s="1" t="s">
        <v>436</v>
      </c>
      <c r="C8" s="1" t="s">
        <v>68</v>
      </c>
      <c r="D8" s="1" t="s">
        <v>104</v>
      </c>
      <c r="E8" s="5"/>
      <c r="F8" s="1" t="s">
        <v>438</v>
      </c>
      <c r="G8" s="1" t="s">
        <v>439</v>
      </c>
      <c r="H8" s="1"/>
    </row>
    <row r="9" spans="1:8" x14ac:dyDescent="0.25">
      <c r="A9" s="1">
        <v>2016</v>
      </c>
      <c r="B9" s="1" t="s">
        <v>436</v>
      </c>
      <c r="C9" s="1" t="s">
        <v>68</v>
      </c>
      <c r="D9" s="1" t="s">
        <v>113</v>
      </c>
      <c r="E9" s="5"/>
      <c r="F9" s="1" t="s">
        <v>438</v>
      </c>
      <c r="G9" s="1" t="s">
        <v>439</v>
      </c>
      <c r="H9" s="1"/>
    </row>
    <row r="10" spans="1:8" x14ac:dyDescent="0.25">
      <c r="A10" s="1">
        <v>2016</v>
      </c>
      <c r="B10" s="1" t="s">
        <v>436</v>
      </c>
      <c r="C10" s="1" t="s">
        <v>119</v>
      </c>
      <c r="D10" s="1" t="s">
        <v>120</v>
      </c>
      <c r="E10" s="5">
        <v>1</v>
      </c>
      <c r="F10" s="1" t="s">
        <v>437</v>
      </c>
      <c r="G10" s="1"/>
      <c r="H10" s="1"/>
    </row>
    <row r="11" spans="1:8" x14ac:dyDescent="0.25">
      <c r="A11" s="1">
        <v>2016</v>
      </c>
      <c r="B11" s="1" t="s">
        <v>436</v>
      </c>
      <c r="C11" s="1" t="s">
        <v>119</v>
      </c>
      <c r="D11" s="1" t="s">
        <v>128</v>
      </c>
      <c r="E11" s="5">
        <v>1</v>
      </c>
      <c r="F11" s="1" t="s">
        <v>437</v>
      </c>
      <c r="G11" s="1"/>
      <c r="H11" s="1"/>
    </row>
    <row r="12" spans="1:8" x14ac:dyDescent="0.25">
      <c r="A12" s="1">
        <v>2016</v>
      </c>
      <c r="B12" s="1" t="s">
        <v>436</v>
      </c>
      <c r="C12" s="1" t="s">
        <v>119</v>
      </c>
      <c r="D12" s="1" t="s">
        <v>133</v>
      </c>
      <c r="E12" s="5">
        <v>1</v>
      </c>
      <c r="F12" s="1" t="s">
        <v>437</v>
      </c>
      <c r="G12" s="1"/>
      <c r="H12" s="1"/>
    </row>
    <row r="13" spans="1:8" x14ac:dyDescent="0.25">
      <c r="A13" s="1">
        <v>2016</v>
      </c>
      <c r="B13" s="1" t="s">
        <v>436</v>
      </c>
      <c r="C13" s="1" t="s">
        <v>119</v>
      </c>
      <c r="D13" s="1" t="s">
        <v>139</v>
      </c>
      <c r="E13" s="5">
        <v>1</v>
      </c>
      <c r="F13" s="1" t="s">
        <v>437</v>
      </c>
      <c r="G13" s="1"/>
      <c r="H13" s="1"/>
    </row>
    <row r="14" spans="1:8" x14ac:dyDescent="0.25">
      <c r="A14" s="1">
        <v>2016</v>
      </c>
      <c r="B14" s="1" t="s">
        <v>436</v>
      </c>
      <c r="C14" s="1" t="s">
        <v>119</v>
      </c>
      <c r="D14" s="1" t="s">
        <v>145</v>
      </c>
      <c r="E14" s="5">
        <v>0</v>
      </c>
      <c r="F14" s="1" t="s">
        <v>437</v>
      </c>
      <c r="G14" s="1"/>
      <c r="H14" s="1"/>
    </row>
    <row r="15" spans="1:8" x14ac:dyDescent="0.25">
      <c r="A15" s="1">
        <v>2016</v>
      </c>
      <c r="B15" s="1" t="s">
        <v>436</v>
      </c>
      <c r="C15" s="1" t="s">
        <v>151</v>
      </c>
      <c r="D15" s="1" t="s">
        <v>152</v>
      </c>
      <c r="E15" s="5">
        <v>0.97626513317191288</v>
      </c>
      <c r="F15" s="1" t="s">
        <v>437</v>
      </c>
      <c r="G15" s="1"/>
      <c r="H15" s="1"/>
    </row>
    <row r="16" spans="1:8" x14ac:dyDescent="0.25">
      <c r="A16" s="1">
        <v>2016</v>
      </c>
      <c r="B16" s="1" t="s">
        <v>436</v>
      </c>
      <c r="C16" s="1" t="s">
        <v>151</v>
      </c>
      <c r="D16" s="1" t="s">
        <v>160</v>
      </c>
      <c r="E16" s="5">
        <v>0.94936708860759489</v>
      </c>
      <c r="F16" s="1" t="s">
        <v>437</v>
      </c>
      <c r="G16" s="1"/>
      <c r="H16" s="1"/>
    </row>
    <row r="17" spans="1:8" x14ac:dyDescent="0.25">
      <c r="A17" s="1">
        <v>2016</v>
      </c>
      <c r="B17" s="1" t="s">
        <v>436</v>
      </c>
      <c r="C17" s="1" t="s">
        <v>151</v>
      </c>
      <c r="D17" s="1" t="s">
        <v>165</v>
      </c>
      <c r="E17" s="5">
        <v>0.60129413079420369</v>
      </c>
      <c r="F17" s="1" t="s">
        <v>437</v>
      </c>
      <c r="G17" s="1"/>
      <c r="H17" s="1"/>
    </row>
    <row r="18" spans="1:8" x14ac:dyDescent="0.25">
      <c r="A18" s="1">
        <v>2016</v>
      </c>
      <c r="B18" s="1" t="s">
        <v>436</v>
      </c>
      <c r="C18" s="1" t="s">
        <v>151</v>
      </c>
      <c r="D18" s="1" t="s">
        <v>172</v>
      </c>
      <c r="E18" s="5">
        <v>0.49990097303378367</v>
      </c>
      <c r="F18" s="1" t="s">
        <v>437</v>
      </c>
      <c r="G18" s="1"/>
      <c r="H18" s="1"/>
    </row>
    <row r="19" spans="1:8" x14ac:dyDescent="0.25">
      <c r="A19" s="1">
        <v>2016</v>
      </c>
      <c r="B19" s="1" t="s">
        <v>436</v>
      </c>
      <c r="C19" s="1" t="s">
        <v>151</v>
      </c>
      <c r="D19" s="1" t="s">
        <v>177</v>
      </c>
      <c r="E19" s="5">
        <v>0.55037188596831987</v>
      </c>
      <c r="F19" s="1" t="s">
        <v>437</v>
      </c>
      <c r="G19" s="1"/>
      <c r="H19" s="1"/>
    </row>
    <row r="20" spans="1:8" x14ac:dyDescent="0.25">
      <c r="A20" s="1">
        <v>2016</v>
      </c>
      <c r="B20" s="1" t="s">
        <v>436</v>
      </c>
      <c r="C20" s="1" t="s">
        <v>182</v>
      </c>
      <c r="D20" s="1" t="s">
        <v>183</v>
      </c>
      <c r="E20" s="5"/>
      <c r="F20" s="1" t="s">
        <v>438</v>
      </c>
      <c r="G20" s="1" t="s">
        <v>440</v>
      </c>
      <c r="H20" s="1"/>
    </row>
    <row r="21" spans="1:8" x14ac:dyDescent="0.25">
      <c r="A21" s="1">
        <v>2016</v>
      </c>
      <c r="B21" s="1" t="s">
        <v>436</v>
      </c>
      <c r="C21" s="1" t="s">
        <v>182</v>
      </c>
      <c r="D21" s="1" t="s">
        <v>192</v>
      </c>
      <c r="E21" s="5"/>
      <c r="F21" s="1" t="s">
        <v>438</v>
      </c>
      <c r="G21" s="1" t="s">
        <v>440</v>
      </c>
      <c r="H21" s="1"/>
    </row>
    <row r="22" spans="1:8" x14ac:dyDescent="0.25">
      <c r="A22" s="1">
        <v>2016</v>
      </c>
      <c r="B22" s="1" t="s">
        <v>436</v>
      </c>
      <c r="C22" s="1" t="s">
        <v>182</v>
      </c>
      <c r="D22" s="1" t="s">
        <v>198</v>
      </c>
      <c r="E22" s="5"/>
      <c r="F22" s="1" t="s">
        <v>438</v>
      </c>
      <c r="G22" s="1" t="s">
        <v>440</v>
      </c>
      <c r="H22" s="1"/>
    </row>
    <row r="23" spans="1:8" x14ac:dyDescent="0.25">
      <c r="A23" s="1">
        <v>2016</v>
      </c>
      <c r="B23" s="1" t="s">
        <v>436</v>
      </c>
      <c r="C23" s="1" t="s">
        <v>182</v>
      </c>
      <c r="D23" s="1" t="s">
        <v>204</v>
      </c>
      <c r="E23" s="5">
        <v>107.93797254668246</v>
      </c>
      <c r="F23" s="1" t="s">
        <v>437</v>
      </c>
      <c r="G23" s="1"/>
      <c r="H23" s="1"/>
    </row>
    <row r="24" spans="1:8" x14ac:dyDescent="0.25">
      <c r="A24" s="1">
        <v>2016</v>
      </c>
      <c r="B24" s="1" t="s">
        <v>436</v>
      </c>
      <c r="C24" s="1" t="s">
        <v>182</v>
      </c>
      <c r="D24" s="1" t="s">
        <v>212</v>
      </c>
      <c r="E24" s="5">
        <v>2.5065524696230419E-2</v>
      </c>
      <c r="F24" s="1" t="s">
        <v>437</v>
      </c>
      <c r="G24" s="1"/>
      <c r="H24" s="1"/>
    </row>
    <row r="25" spans="1:8" x14ac:dyDescent="0.25">
      <c r="A25" s="1">
        <v>2016</v>
      </c>
      <c r="B25" s="1" t="s">
        <v>436</v>
      </c>
      <c r="C25" s="1" t="s">
        <v>182</v>
      </c>
      <c r="D25" s="1" t="s">
        <v>218</v>
      </c>
      <c r="E25" s="5">
        <v>2.3566606319395837E-2</v>
      </c>
      <c r="F25" s="1" t="s">
        <v>437</v>
      </c>
      <c r="G25" s="1"/>
      <c r="H25" s="1"/>
    </row>
    <row r="26" spans="1:8" x14ac:dyDescent="0.25">
      <c r="A26" s="1">
        <v>2016</v>
      </c>
      <c r="B26" s="1" t="s">
        <v>436</v>
      </c>
      <c r="C26" s="1" t="s">
        <v>182</v>
      </c>
      <c r="D26" s="1" t="s">
        <v>223</v>
      </c>
      <c r="E26" s="5"/>
      <c r="F26" s="1" t="s">
        <v>438</v>
      </c>
      <c r="G26" s="1" t="s">
        <v>441</v>
      </c>
      <c r="H26" s="1"/>
    </row>
    <row r="27" spans="1:8" x14ac:dyDescent="0.25">
      <c r="A27" s="1">
        <v>2016</v>
      </c>
      <c r="B27" s="1" t="s">
        <v>436</v>
      </c>
      <c r="C27" s="1" t="s">
        <v>182</v>
      </c>
      <c r="D27" s="1" t="s">
        <v>232</v>
      </c>
      <c r="E27" s="5">
        <v>0.88133140376266283</v>
      </c>
      <c r="F27" s="1" t="s">
        <v>437</v>
      </c>
      <c r="G27" s="1"/>
      <c r="H27" s="1"/>
    </row>
    <row r="28" spans="1:8" x14ac:dyDescent="0.25">
      <c r="A28" s="1">
        <v>2016</v>
      </c>
      <c r="B28" s="1" t="s">
        <v>436</v>
      </c>
      <c r="C28" s="1" t="s">
        <v>238</v>
      </c>
      <c r="D28" s="1" t="s">
        <v>239</v>
      </c>
      <c r="E28" s="5">
        <v>406.89192218129409</v>
      </c>
      <c r="F28" s="1" t="s">
        <v>437</v>
      </c>
      <c r="G28" s="1"/>
      <c r="H28" s="1"/>
    </row>
    <row r="29" spans="1:8" x14ac:dyDescent="0.25">
      <c r="A29" s="1">
        <v>2016</v>
      </c>
      <c r="B29" s="1" t="s">
        <v>436</v>
      </c>
      <c r="C29" s="1" t="s">
        <v>238</v>
      </c>
      <c r="D29" s="1" t="s">
        <v>246</v>
      </c>
      <c r="E29" s="5">
        <v>0.35340834689694334</v>
      </c>
      <c r="F29" s="1" t="s">
        <v>437</v>
      </c>
      <c r="G29" s="1"/>
      <c r="H29" s="1"/>
    </row>
    <row r="30" spans="1:8" x14ac:dyDescent="0.25">
      <c r="A30" s="1">
        <v>2016</v>
      </c>
      <c r="B30" s="1" t="s">
        <v>436</v>
      </c>
      <c r="C30" s="1" t="s">
        <v>238</v>
      </c>
      <c r="D30" s="1" t="s">
        <v>251</v>
      </c>
      <c r="E30" s="5">
        <v>0.81292855224228133</v>
      </c>
      <c r="F30" s="1" t="s">
        <v>437</v>
      </c>
      <c r="G30" s="1"/>
      <c r="H30" s="1"/>
    </row>
    <row r="31" spans="1:8" x14ac:dyDescent="0.25">
      <c r="A31" s="1">
        <v>2016</v>
      </c>
      <c r="B31" s="1" t="s">
        <v>436</v>
      </c>
      <c r="C31" s="1" t="s">
        <v>238</v>
      </c>
      <c r="D31" s="1" t="s">
        <v>256</v>
      </c>
      <c r="E31" s="5">
        <v>0.99981950378735995</v>
      </c>
      <c r="F31" s="1" t="s">
        <v>437</v>
      </c>
      <c r="G31" s="1"/>
      <c r="H31" s="1"/>
    </row>
    <row r="32" spans="1:8" x14ac:dyDescent="0.25">
      <c r="A32" s="1">
        <v>2016</v>
      </c>
      <c r="B32" s="1" t="s">
        <v>436</v>
      </c>
      <c r="C32" s="1" t="s">
        <v>238</v>
      </c>
      <c r="D32" s="1" t="s">
        <v>264</v>
      </c>
      <c r="E32" s="5">
        <v>0.55455786648911143</v>
      </c>
      <c r="F32" s="1" t="s">
        <v>437</v>
      </c>
      <c r="G32" s="1"/>
      <c r="H32" s="1"/>
    </row>
    <row r="33" spans="1:8" x14ac:dyDescent="0.25">
      <c r="A33" s="1">
        <v>2016</v>
      </c>
      <c r="B33" s="1" t="s">
        <v>436</v>
      </c>
      <c r="C33" s="1" t="s">
        <v>238</v>
      </c>
      <c r="D33" s="1" t="s">
        <v>269</v>
      </c>
      <c r="E33" s="5">
        <v>0.56121245187502822</v>
      </c>
      <c r="F33" s="1" t="s">
        <v>437</v>
      </c>
      <c r="G33" s="1"/>
      <c r="H33" s="1"/>
    </row>
    <row r="34" spans="1:8" x14ac:dyDescent="0.25">
      <c r="A34" s="1">
        <v>2016</v>
      </c>
      <c r="B34" s="1" t="s">
        <v>436</v>
      </c>
      <c r="C34" s="1" t="s">
        <v>238</v>
      </c>
      <c r="D34" s="1" t="s">
        <v>275</v>
      </c>
      <c r="E34" s="5">
        <v>0.18425818155180682</v>
      </c>
      <c r="F34" s="1" t="s">
        <v>437</v>
      </c>
      <c r="G34" s="1"/>
      <c r="H34" s="1"/>
    </row>
    <row r="35" spans="1:8" x14ac:dyDescent="0.25">
      <c r="A35" s="1">
        <v>2016</v>
      </c>
      <c r="B35" s="1" t="s">
        <v>436</v>
      </c>
      <c r="C35" s="1" t="s">
        <v>238</v>
      </c>
      <c r="D35" s="1" t="s">
        <v>280</v>
      </c>
      <c r="E35" s="5">
        <v>77.802488074839403</v>
      </c>
      <c r="F35" s="1" t="s">
        <v>437</v>
      </c>
      <c r="G35" s="1"/>
      <c r="H35" s="1"/>
    </row>
    <row r="36" spans="1:8" x14ac:dyDescent="0.25">
      <c r="A36" s="1">
        <v>2016</v>
      </c>
      <c r="B36" s="1" t="s">
        <v>436</v>
      </c>
      <c r="C36" s="1" t="s">
        <v>238</v>
      </c>
      <c r="D36" s="1" t="s">
        <v>287</v>
      </c>
      <c r="E36" s="5">
        <v>0.41686880937942189</v>
      </c>
      <c r="F36" s="1" t="s">
        <v>437</v>
      </c>
      <c r="G36" s="1" t="s">
        <v>442</v>
      </c>
      <c r="H36" s="1"/>
    </row>
    <row r="37" spans="1:8" x14ac:dyDescent="0.25">
      <c r="A37" s="1">
        <v>2016</v>
      </c>
      <c r="B37" s="1" t="s">
        <v>436</v>
      </c>
      <c r="C37" s="1" t="s">
        <v>238</v>
      </c>
      <c r="D37" s="1" t="s">
        <v>294</v>
      </c>
      <c r="E37" s="5">
        <v>0.90774403395678427</v>
      </c>
      <c r="F37" s="1" t="s">
        <v>437</v>
      </c>
      <c r="G37" s="1"/>
      <c r="H37" s="1"/>
    </row>
    <row r="38" spans="1:8" x14ac:dyDescent="0.25">
      <c r="A38" s="1">
        <v>2016</v>
      </c>
      <c r="B38" s="1" t="s">
        <v>436</v>
      </c>
      <c r="C38" s="1" t="s">
        <v>299</v>
      </c>
      <c r="D38" s="1" t="s">
        <v>300</v>
      </c>
      <c r="E38" s="5"/>
      <c r="F38" s="1" t="s">
        <v>438</v>
      </c>
      <c r="G38" s="1" t="s">
        <v>443</v>
      </c>
      <c r="H38" s="1"/>
    </row>
    <row r="39" spans="1:8" x14ac:dyDescent="0.25">
      <c r="A39" s="1">
        <v>2016</v>
      </c>
      <c r="B39" s="1" t="s">
        <v>436</v>
      </c>
      <c r="C39" s="1" t="s">
        <v>299</v>
      </c>
      <c r="D39" s="1" t="s">
        <v>309</v>
      </c>
      <c r="E39" s="5"/>
      <c r="F39" s="1" t="s">
        <v>438</v>
      </c>
      <c r="G39" s="1" t="s">
        <v>443</v>
      </c>
      <c r="H39" s="1"/>
    </row>
    <row r="40" spans="1:8" x14ac:dyDescent="0.25">
      <c r="A40" s="1">
        <v>2016</v>
      </c>
      <c r="B40" s="1" t="s">
        <v>436</v>
      </c>
      <c r="C40" s="1" t="s">
        <v>299</v>
      </c>
      <c r="D40" s="1" t="s">
        <v>315</v>
      </c>
      <c r="E40" s="5"/>
      <c r="F40" s="1" t="s">
        <v>438</v>
      </c>
      <c r="G40" s="1" t="s">
        <v>443</v>
      </c>
      <c r="H40" s="1"/>
    </row>
    <row r="41" spans="1:8" x14ac:dyDescent="0.25">
      <c r="A41" s="1">
        <v>2016</v>
      </c>
      <c r="B41" s="1" t="s">
        <v>436</v>
      </c>
      <c r="C41" s="1" t="s">
        <v>299</v>
      </c>
      <c r="D41" s="1" t="s">
        <v>321</v>
      </c>
      <c r="E41" s="5"/>
      <c r="F41" s="1" t="s">
        <v>438</v>
      </c>
      <c r="G41" s="1" t="s">
        <v>443</v>
      </c>
      <c r="H41" s="1"/>
    </row>
    <row r="42" spans="1:8" x14ac:dyDescent="0.25">
      <c r="A42" s="1">
        <v>2017</v>
      </c>
      <c r="B42" s="1" t="s">
        <v>436</v>
      </c>
      <c r="C42" s="1" t="s">
        <v>68</v>
      </c>
      <c r="D42" s="1" t="s">
        <v>69</v>
      </c>
      <c r="E42" s="5">
        <v>0.75</v>
      </c>
      <c r="F42" s="1" t="s">
        <v>437</v>
      </c>
      <c r="G42" s="1"/>
      <c r="H42" s="1"/>
    </row>
    <row r="43" spans="1:8" x14ac:dyDescent="0.25">
      <c r="A43" s="1">
        <v>2017</v>
      </c>
      <c r="B43" s="1" t="s">
        <v>436</v>
      </c>
      <c r="C43" s="1" t="s">
        <v>68</v>
      </c>
      <c r="D43" s="1" t="s">
        <v>81</v>
      </c>
      <c r="E43" s="5">
        <v>0.96357804573573891</v>
      </c>
      <c r="F43" s="1" t="s">
        <v>437</v>
      </c>
      <c r="G43" s="1"/>
      <c r="H43" s="1"/>
    </row>
    <row r="44" spans="1:8" x14ac:dyDescent="0.25">
      <c r="A44" s="1">
        <v>2017</v>
      </c>
      <c r="B44" s="1" t="s">
        <v>436</v>
      </c>
      <c r="C44" s="1" t="s">
        <v>68</v>
      </c>
      <c r="D44" s="1" t="s">
        <v>86</v>
      </c>
      <c r="E44" s="5">
        <v>1</v>
      </c>
      <c r="F44" s="1" t="s">
        <v>437</v>
      </c>
      <c r="G44" s="1"/>
      <c r="H44" s="1"/>
    </row>
    <row r="45" spans="1:8" x14ac:dyDescent="0.25">
      <c r="A45" s="1">
        <v>2017</v>
      </c>
      <c r="B45" s="1" t="s">
        <v>436</v>
      </c>
      <c r="C45" s="1" t="s">
        <v>68</v>
      </c>
      <c r="D45" s="1" t="s">
        <v>95</v>
      </c>
      <c r="E45" s="5"/>
      <c r="F45" s="1" t="s">
        <v>438</v>
      </c>
      <c r="G45" s="1" t="s">
        <v>439</v>
      </c>
      <c r="H45" s="1"/>
    </row>
    <row r="46" spans="1:8" x14ac:dyDescent="0.25">
      <c r="A46" s="1">
        <v>2017</v>
      </c>
      <c r="B46" s="1" t="s">
        <v>436</v>
      </c>
      <c r="C46" s="1" t="s">
        <v>68</v>
      </c>
      <c r="D46" s="1" t="s">
        <v>104</v>
      </c>
      <c r="E46" s="5"/>
      <c r="F46" s="1" t="s">
        <v>438</v>
      </c>
      <c r="G46" s="1" t="s">
        <v>439</v>
      </c>
      <c r="H46" s="1"/>
    </row>
    <row r="47" spans="1:8" x14ac:dyDescent="0.25">
      <c r="A47" s="1">
        <v>2017</v>
      </c>
      <c r="B47" s="1" t="s">
        <v>436</v>
      </c>
      <c r="C47" s="1" t="s">
        <v>68</v>
      </c>
      <c r="D47" s="1" t="s">
        <v>113</v>
      </c>
      <c r="E47" s="5"/>
      <c r="F47" s="1" t="s">
        <v>438</v>
      </c>
      <c r="G47" s="1" t="s">
        <v>439</v>
      </c>
      <c r="H47" s="1"/>
    </row>
    <row r="48" spans="1:8" x14ac:dyDescent="0.25">
      <c r="A48" s="1">
        <v>2017</v>
      </c>
      <c r="B48" s="1" t="s">
        <v>436</v>
      </c>
      <c r="C48" s="1" t="s">
        <v>119</v>
      </c>
      <c r="D48" s="1" t="s">
        <v>120</v>
      </c>
      <c r="E48" s="5">
        <v>1</v>
      </c>
      <c r="F48" s="1" t="s">
        <v>437</v>
      </c>
      <c r="G48" s="1"/>
      <c r="H48" s="1"/>
    </row>
    <row r="49" spans="1:8" x14ac:dyDescent="0.25">
      <c r="A49" s="1">
        <v>2017</v>
      </c>
      <c r="B49" s="1" t="s">
        <v>436</v>
      </c>
      <c r="C49" s="1" t="s">
        <v>119</v>
      </c>
      <c r="D49" s="1" t="s">
        <v>128</v>
      </c>
      <c r="E49" s="5">
        <v>1</v>
      </c>
      <c r="F49" s="1" t="s">
        <v>437</v>
      </c>
      <c r="G49" s="1"/>
      <c r="H49" s="1"/>
    </row>
    <row r="50" spans="1:8" x14ac:dyDescent="0.25">
      <c r="A50" s="1">
        <v>2017</v>
      </c>
      <c r="B50" s="1" t="s">
        <v>436</v>
      </c>
      <c r="C50" s="1" t="s">
        <v>119</v>
      </c>
      <c r="D50" s="1" t="s">
        <v>133</v>
      </c>
      <c r="E50" s="5">
        <v>1</v>
      </c>
      <c r="F50" s="1" t="s">
        <v>437</v>
      </c>
      <c r="G50" s="1"/>
      <c r="H50" s="1"/>
    </row>
    <row r="51" spans="1:8" x14ac:dyDescent="0.25">
      <c r="A51" s="1">
        <v>2017</v>
      </c>
      <c r="B51" s="1" t="s">
        <v>436</v>
      </c>
      <c r="C51" s="1" t="s">
        <v>119</v>
      </c>
      <c r="D51" s="1" t="s">
        <v>139</v>
      </c>
      <c r="E51" s="5">
        <v>1</v>
      </c>
      <c r="F51" s="1" t="s">
        <v>437</v>
      </c>
      <c r="G51" s="1"/>
      <c r="H51" s="1"/>
    </row>
    <row r="52" spans="1:8" x14ac:dyDescent="0.25">
      <c r="A52" s="1">
        <v>2017</v>
      </c>
      <c r="B52" s="1" t="s">
        <v>436</v>
      </c>
      <c r="C52" s="1" t="s">
        <v>119</v>
      </c>
      <c r="D52" s="1" t="s">
        <v>145</v>
      </c>
      <c r="E52" s="5">
        <v>0</v>
      </c>
      <c r="F52" s="1" t="s">
        <v>437</v>
      </c>
      <c r="G52" s="1"/>
      <c r="H52" s="1"/>
    </row>
    <row r="53" spans="1:8" x14ac:dyDescent="0.25">
      <c r="A53" s="1">
        <v>2017</v>
      </c>
      <c r="B53" s="1" t="s">
        <v>436</v>
      </c>
      <c r="C53" s="1" t="s">
        <v>151</v>
      </c>
      <c r="D53" s="1" t="s">
        <v>152</v>
      </c>
      <c r="E53" s="5">
        <v>0.97501815980629536</v>
      </c>
      <c r="F53" s="1" t="s">
        <v>437</v>
      </c>
      <c r="G53" s="1"/>
      <c r="H53" s="1"/>
    </row>
    <row r="54" spans="1:8" x14ac:dyDescent="0.25">
      <c r="A54" s="1">
        <v>2017</v>
      </c>
      <c r="B54" s="1" t="s">
        <v>436</v>
      </c>
      <c r="C54" s="1" t="s">
        <v>151</v>
      </c>
      <c r="D54" s="1" t="s">
        <v>160</v>
      </c>
      <c r="E54" s="5">
        <v>0.96202531645569622</v>
      </c>
      <c r="F54" s="1" t="s">
        <v>437</v>
      </c>
      <c r="G54" s="1"/>
      <c r="H54" s="1"/>
    </row>
    <row r="55" spans="1:8" x14ac:dyDescent="0.25">
      <c r="A55" s="1">
        <v>2017</v>
      </c>
      <c r="B55" s="1" t="s">
        <v>436</v>
      </c>
      <c r="C55" s="1" t="s">
        <v>151</v>
      </c>
      <c r="D55" s="1" t="s">
        <v>165</v>
      </c>
      <c r="E55" s="5">
        <v>0.648332470898067</v>
      </c>
      <c r="F55" s="1" t="s">
        <v>437</v>
      </c>
      <c r="G55" s="1"/>
      <c r="H55" s="1"/>
    </row>
    <row r="56" spans="1:8" x14ac:dyDescent="0.25">
      <c r="A56" s="1">
        <v>2017</v>
      </c>
      <c r="B56" s="1" t="s">
        <v>436</v>
      </c>
      <c r="C56" s="1" t="s">
        <v>151</v>
      </c>
      <c r="D56" s="1" t="s">
        <v>172</v>
      </c>
      <c r="E56" s="5">
        <v>0.50104233997860215</v>
      </c>
      <c r="F56" s="1" t="s">
        <v>437</v>
      </c>
      <c r="G56" s="1"/>
      <c r="H56" s="1"/>
    </row>
    <row r="57" spans="1:8" x14ac:dyDescent="0.25">
      <c r="A57" s="1">
        <v>2017</v>
      </c>
      <c r="B57" s="1" t="s">
        <v>436</v>
      </c>
      <c r="C57" s="1" t="s">
        <v>151</v>
      </c>
      <c r="D57" s="1" t="s">
        <v>177</v>
      </c>
      <c r="E57" s="5">
        <v>0.55458603892268399</v>
      </c>
      <c r="F57" s="1" t="s">
        <v>437</v>
      </c>
      <c r="G57" s="1"/>
      <c r="H57" s="1"/>
    </row>
    <row r="58" spans="1:8" x14ac:dyDescent="0.25">
      <c r="A58" s="1">
        <v>2017</v>
      </c>
      <c r="B58" s="1" t="s">
        <v>436</v>
      </c>
      <c r="C58" s="1" t="s">
        <v>182</v>
      </c>
      <c r="D58" s="1" t="s">
        <v>183</v>
      </c>
      <c r="E58" s="5"/>
      <c r="F58" s="1" t="s">
        <v>438</v>
      </c>
      <c r="G58" s="1" t="s">
        <v>440</v>
      </c>
      <c r="H58" s="1"/>
    </row>
    <row r="59" spans="1:8" x14ac:dyDescent="0.25">
      <c r="A59" s="1">
        <v>2017</v>
      </c>
      <c r="B59" s="1" t="s">
        <v>436</v>
      </c>
      <c r="C59" s="1" t="s">
        <v>182</v>
      </c>
      <c r="D59" s="1" t="s">
        <v>192</v>
      </c>
      <c r="E59" s="5"/>
      <c r="F59" s="1" t="s">
        <v>438</v>
      </c>
      <c r="G59" s="1" t="s">
        <v>440</v>
      </c>
      <c r="H59" s="1"/>
    </row>
    <row r="60" spans="1:8" x14ac:dyDescent="0.25">
      <c r="A60" s="1">
        <v>2017</v>
      </c>
      <c r="B60" s="1" t="s">
        <v>436</v>
      </c>
      <c r="C60" s="1" t="s">
        <v>182</v>
      </c>
      <c r="D60" s="1" t="s">
        <v>198</v>
      </c>
      <c r="E60" s="5"/>
      <c r="F60" s="1" t="s">
        <v>438</v>
      </c>
      <c r="G60" s="1" t="s">
        <v>440</v>
      </c>
      <c r="H60" s="1"/>
    </row>
    <row r="61" spans="1:8" x14ac:dyDescent="0.25">
      <c r="A61" s="1">
        <v>2017</v>
      </c>
      <c r="B61" s="1" t="s">
        <v>436</v>
      </c>
      <c r="C61" s="1" t="s">
        <v>182</v>
      </c>
      <c r="D61" s="1" t="s">
        <v>204</v>
      </c>
      <c r="E61" s="5">
        <v>135.18125805475879</v>
      </c>
      <c r="F61" s="1" t="s">
        <v>437</v>
      </c>
      <c r="G61" s="1"/>
      <c r="H61" s="1"/>
    </row>
    <row r="62" spans="1:8" x14ac:dyDescent="0.25">
      <c r="A62" s="1">
        <v>2017</v>
      </c>
      <c r="B62" s="1" t="s">
        <v>436</v>
      </c>
      <c r="C62" s="1" t="s">
        <v>182</v>
      </c>
      <c r="D62" s="1" t="s">
        <v>212</v>
      </c>
      <c r="E62" s="5">
        <v>2.5830693359741353E-2</v>
      </c>
      <c r="F62" s="1" t="s">
        <v>437</v>
      </c>
      <c r="G62" s="1"/>
      <c r="H62" s="1"/>
    </row>
    <row r="63" spans="1:8" x14ac:dyDescent="0.25">
      <c r="A63" s="1">
        <v>2017</v>
      </c>
      <c r="B63" s="1" t="s">
        <v>436</v>
      </c>
      <c r="C63" s="1" t="s">
        <v>182</v>
      </c>
      <c r="D63" s="1" t="s">
        <v>218</v>
      </c>
      <c r="E63" s="5">
        <v>2.4286017896828816E-2</v>
      </c>
      <c r="F63" s="1" t="s">
        <v>437</v>
      </c>
      <c r="G63" s="1"/>
      <c r="H63" s="1"/>
    </row>
    <row r="64" spans="1:8" x14ac:dyDescent="0.25">
      <c r="A64" s="1">
        <v>2017</v>
      </c>
      <c r="B64" s="1" t="s">
        <v>436</v>
      </c>
      <c r="C64" s="1" t="s">
        <v>182</v>
      </c>
      <c r="D64" s="1" t="s">
        <v>223</v>
      </c>
      <c r="E64" s="5"/>
      <c r="F64" s="1" t="s">
        <v>438</v>
      </c>
      <c r="G64" s="1" t="s">
        <v>441</v>
      </c>
      <c r="H64" s="1"/>
    </row>
    <row r="65" spans="1:8" x14ac:dyDescent="0.25">
      <c r="A65" s="1">
        <v>2017</v>
      </c>
      <c r="B65" s="1" t="s">
        <v>436</v>
      </c>
      <c r="C65" s="1" t="s">
        <v>182</v>
      </c>
      <c r="D65" s="1" t="s">
        <v>232</v>
      </c>
      <c r="E65" s="5">
        <v>0.73796791443850263</v>
      </c>
      <c r="F65" s="1" t="s">
        <v>437</v>
      </c>
      <c r="G65" s="1"/>
      <c r="H65" s="1"/>
    </row>
    <row r="66" spans="1:8" x14ac:dyDescent="0.25">
      <c r="A66" s="1">
        <v>2017</v>
      </c>
      <c r="B66" s="1" t="s">
        <v>436</v>
      </c>
      <c r="C66" s="1" t="s">
        <v>238</v>
      </c>
      <c r="D66" s="1" t="s">
        <v>239</v>
      </c>
      <c r="E66" s="5">
        <v>482.62173243018134</v>
      </c>
      <c r="F66" s="1" t="s">
        <v>437</v>
      </c>
      <c r="G66" s="1"/>
      <c r="H66" s="1"/>
    </row>
    <row r="67" spans="1:8" x14ac:dyDescent="0.25">
      <c r="A67" s="1">
        <v>2017</v>
      </c>
      <c r="B67" s="1" t="s">
        <v>436</v>
      </c>
      <c r="C67" s="1" t="s">
        <v>238</v>
      </c>
      <c r="D67" s="1" t="s">
        <v>246</v>
      </c>
      <c r="E67" s="5">
        <v>0.33727586313918034</v>
      </c>
      <c r="F67" s="1" t="s">
        <v>437</v>
      </c>
      <c r="G67" s="1"/>
      <c r="H67" s="1"/>
    </row>
    <row r="68" spans="1:8" x14ac:dyDescent="0.25">
      <c r="A68" s="1">
        <v>2017</v>
      </c>
      <c r="B68" s="1" t="s">
        <v>436</v>
      </c>
      <c r="C68" s="1" t="s">
        <v>238</v>
      </c>
      <c r="D68" s="1" t="s">
        <v>251</v>
      </c>
      <c r="E68" s="5">
        <v>0.76089644606145046</v>
      </c>
      <c r="F68" s="1" t="s">
        <v>437</v>
      </c>
      <c r="G68" s="1"/>
      <c r="H68" s="1"/>
    </row>
    <row r="69" spans="1:8" x14ac:dyDescent="0.25">
      <c r="A69" s="1">
        <v>2017</v>
      </c>
      <c r="B69" s="1" t="s">
        <v>436</v>
      </c>
      <c r="C69" s="1" t="s">
        <v>238</v>
      </c>
      <c r="D69" s="1" t="s">
        <v>256</v>
      </c>
      <c r="E69" s="5">
        <v>0.99818253804123991</v>
      </c>
      <c r="F69" s="1" t="s">
        <v>437</v>
      </c>
      <c r="G69" s="1"/>
      <c r="H69" s="1"/>
    </row>
    <row r="70" spans="1:8" x14ac:dyDescent="0.25">
      <c r="A70" s="1">
        <v>2017</v>
      </c>
      <c r="B70" s="1" t="s">
        <v>436</v>
      </c>
      <c r="C70" s="1" t="s">
        <v>238</v>
      </c>
      <c r="D70" s="1" t="s">
        <v>264</v>
      </c>
      <c r="E70" s="5">
        <v>0.55516189212957423</v>
      </c>
      <c r="F70" s="1" t="s">
        <v>437</v>
      </c>
      <c r="G70" s="1"/>
      <c r="H70" s="1"/>
    </row>
    <row r="71" spans="1:8" x14ac:dyDescent="0.25">
      <c r="A71" s="1">
        <v>2017</v>
      </c>
      <c r="B71" s="1" t="s">
        <v>436</v>
      </c>
      <c r="C71" s="1" t="s">
        <v>238</v>
      </c>
      <c r="D71" s="1" t="s">
        <v>269</v>
      </c>
      <c r="E71" s="5">
        <v>0.55299896282606664</v>
      </c>
      <c r="F71" s="1" t="s">
        <v>437</v>
      </c>
      <c r="G71" s="1"/>
      <c r="H71" s="1"/>
    </row>
    <row r="72" spans="1:8" x14ac:dyDescent="0.25">
      <c r="A72" s="1">
        <v>2017</v>
      </c>
      <c r="B72" s="1" t="s">
        <v>436</v>
      </c>
      <c r="C72" s="1" t="s">
        <v>238</v>
      </c>
      <c r="D72" s="1" t="s">
        <v>275</v>
      </c>
      <c r="E72" s="5">
        <v>0.1871527537435988</v>
      </c>
      <c r="F72" s="1" t="s">
        <v>437</v>
      </c>
      <c r="G72" s="1"/>
      <c r="H72" s="1"/>
    </row>
    <row r="73" spans="1:8" x14ac:dyDescent="0.25">
      <c r="A73" s="1">
        <v>2017</v>
      </c>
      <c r="B73" s="1" t="s">
        <v>436</v>
      </c>
      <c r="C73" s="1" t="s">
        <v>238</v>
      </c>
      <c r="D73" s="1" t="s">
        <v>280</v>
      </c>
      <c r="E73" s="5">
        <v>82.29730039763146</v>
      </c>
      <c r="F73" s="1" t="s">
        <v>437</v>
      </c>
      <c r="G73" s="1"/>
      <c r="H73" s="1"/>
    </row>
    <row r="74" spans="1:8" x14ac:dyDescent="0.25">
      <c r="A74" s="1">
        <v>2017</v>
      </c>
      <c r="B74" s="1" t="s">
        <v>436</v>
      </c>
      <c r="C74" s="1" t="s">
        <v>238</v>
      </c>
      <c r="D74" s="1" t="s">
        <v>287</v>
      </c>
      <c r="E74" s="5">
        <v>0.41686880937942189</v>
      </c>
      <c r="F74" s="1" t="s">
        <v>437</v>
      </c>
      <c r="G74" s="1" t="s">
        <v>442</v>
      </c>
      <c r="H74" s="1"/>
    </row>
    <row r="75" spans="1:8" x14ac:dyDescent="0.25">
      <c r="A75" s="1">
        <v>2017</v>
      </c>
      <c r="B75" s="1" t="s">
        <v>436</v>
      </c>
      <c r="C75" s="1" t="s">
        <v>238</v>
      </c>
      <c r="D75" s="1" t="s">
        <v>294</v>
      </c>
      <c r="E75" s="5">
        <v>0.99163820023766347</v>
      </c>
      <c r="F75" s="1" t="s">
        <v>437</v>
      </c>
      <c r="G75" s="1"/>
      <c r="H75" s="1"/>
    </row>
    <row r="76" spans="1:8" x14ac:dyDescent="0.25">
      <c r="A76" s="1">
        <v>2017</v>
      </c>
      <c r="B76" s="1" t="s">
        <v>436</v>
      </c>
      <c r="C76" s="1" t="s">
        <v>299</v>
      </c>
      <c r="D76" s="1" t="s">
        <v>300</v>
      </c>
      <c r="E76" s="5"/>
      <c r="F76" s="1" t="s">
        <v>438</v>
      </c>
      <c r="G76" s="1" t="s">
        <v>443</v>
      </c>
      <c r="H76" s="1"/>
    </row>
    <row r="77" spans="1:8" x14ac:dyDescent="0.25">
      <c r="A77" s="1">
        <v>2017</v>
      </c>
      <c r="B77" s="1" t="s">
        <v>436</v>
      </c>
      <c r="C77" s="1" t="s">
        <v>299</v>
      </c>
      <c r="D77" s="1" t="s">
        <v>309</v>
      </c>
      <c r="E77" s="5"/>
      <c r="F77" s="1" t="s">
        <v>438</v>
      </c>
      <c r="G77" s="1" t="s">
        <v>443</v>
      </c>
      <c r="H77" s="1"/>
    </row>
    <row r="78" spans="1:8" x14ac:dyDescent="0.25">
      <c r="A78" s="1">
        <v>2017</v>
      </c>
      <c r="B78" s="1" t="s">
        <v>436</v>
      </c>
      <c r="C78" s="1" t="s">
        <v>299</v>
      </c>
      <c r="D78" s="1" t="s">
        <v>315</v>
      </c>
      <c r="E78" s="5"/>
      <c r="F78" s="1" t="s">
        <v>438</v>
      </c>
      <c r="G78" s="1" t="s">
        <v>443</v>
      </c>
      <c r="H78" s="1"/>
    </row>
    <row r="79" spans="1:8" x14ac:dyDescent="0.25">
      <c r="A79" s="1">
        <v>2017</v>
      </c>
      <c r="B79" s="1" t="s">
        <v>436</v>
      </c>
      <c r="C79" s="1" t="s">
        <v>299</v>
      </c>
      <c r="D79" s="1" t="s">
        <v>321</v>
      </c>
      <c r="E79" s="5"/>
      <c r="F79" s="1" t="s">
        <v>438</v>
      </c>
      <c r="G79" s="1" t="s">
        <v>443</v>
      </c>
      <c r="H79" s="1"/>
    </row>
    <row r="80" spans="1:8" x14ac:dyDescent="0.25">
      <c r="A80" s="1">
        <v>2018</v>
      </c>
      <c r="B80" s="1" t="s">
        <v>436</v>
      </c>
      <c r="C80" s="1" t="s">
        <v>68</v>
      </c>
      <c r="D80" s="1" t="s">
        <v>69</v>
      </c>
      <c r="E80" s="5">
        <v>0.83333333333333337</v>
      </c>
      <c r="F80" s="1" t="s">
        <v>437</v>
      </c>
      <c r="G80" s="1"/>
      <c r="H80" s="1"/>
    </row>
    <row r="81" spans="1:8" x14ac:dyDescent="0.25">
      <c r="A81" s="1">
        <v>2018</v>
      </c>
      <c r="B81" s="1" t="s">
        <v>436</v>
      </c>
      <c r="C81" s="1" t="s">
        <v>68</v>
      </c>
      <c r="D81" s="1" t="s">
        <v>81</v>
      </c>
      <c r="E81" s="5">
        <v>0.93986503921045683</v>
      </c>
      <c r="F81" s="1" t="s">
        <v>437</v>
      </c>
      <c r="G81" s="1"/>
      <c r="H81" s="1"/>
    </row>
    <row r="82" spans="1:8" x14ac:dyDescent="0.25">
      <c r="A82" s="1">
        <v>2018</v>
      </c>
      <c r="B82" s="1" t="s">
        <v>436</v>
      </c>
      <c r="C82" s="1" t="s">
        <v>68</v>
      </c>
      <c r="D82" s="1" t="s">
        <v>86</v>
      </c>
      <c r="E82" s="5">
        <v>4</v>
      </c>
      <c r="F82" s="1" t="s">
        <v>437</v>
      </c>
      <c r="G82" s="1"/>
      <c r="H82" s="1"/>
    </row>
    <row r="83" spans="1:8" x14ac:dyDescent="0.25">
      <c r="A83" s="1">
        <v>2018</v>
      </c>
      <c r="B83" s="1" t="s">
        <v>436</v>
      </c>
      <c r="C83" s="1" t="s">
        <v>68</v>
      </c>
      <c r="D83" s="1" t="s">
        <v>95</v>
      </c>
      <c r="E83" s="5"/>
      <c r="F83" s="1" t="s">
        <v>438</v>
      </c>
      <c r="G83" s="1" t="s">
        <v>439</v>
      </c>
      <c r="H83" s="1"/>
    </row>
    <row r="84" spans="1:8" x14ac:dyDescent="0.25">
      <c r="A84" s="1">
        <v>2018</v>
      </c>
      <c r="B84" s="1" t="s">
        <v>436</v>
      </c>
      <c r="C84" s="1" t="s">
        <v>68</v>
      </c>
      <c r="D84" s="1" t="s">
        <v>104</v>
      </c>
      <c r="E84" s="5"/>
      <c r="F84" s="1" t="s">
        <v>438</v>
      </c>
      <c r="G84" s="1" t="s">
        <v>439</v>
      </c>
      <c r="H84" s="1"/>
    </row>
    <row r="85" spans="1:8" x14ac:dyDescent="0.25">
      <c r="A85" s="1">
        <v>2018</v>
      </c>
      <c r="B85" s="1" t="s">
        <v>436</v>
      </c>
      <c r="C85" s="1" t="s">
        <v>68</v>
      </c>
      <c r="D85" s="1" t="s">
        <v>113</v>
      </c>
      <c r="E85" s="5"/>
      <c r="F85" s="1" t="s">
        <v>438</v>
      </c>
      <c r="G85" s="1" t="s">
        <v>439</v>
      </c>
      <c r="H85" s="1"/>
    </row>
    <row r="86" spans="1:8" x14ac:dyDescent="0.25">
      <c r="A86" s="1">
        <v>2018</v>
      </c>
      <c r="B86" s="1" t="s">
        <v>436</v>
      </c>
      <c r="C86" s="1" t="s">
        <v>119</v>
      </c>
      <c r="D86" s="1" t="s">
        <v>120</v>
      </c>
      <c r="E86" s="5">
        <v>1</v>
      </c>
      <c r="F86" s="1" t="s">
        <v>437</v>
      </c>
      <c r="G86" s="1"/>
      <c r="H86" s="1"/>
    </row>
    <row r="87" spans="1:8" x14ac:dyDescent="0.25">
      <c r="A87" s="1">
        <v>2018</v>
      </c>
      <c r="B87" s="1" t="s">
        <v>436</v>
      </c>
      <c r="C87" s="1" t="s">
        <v>119</v>
      </c>
      <c r="D87" s="1" t="s">
        <v>128</v>
      </c>
      <c r="E87" s="5">
        <v>1</v>
      </c>
      <c r="F87" s="1" t="s">
        <v>437</v>
      </c>
      <c r="G87" s="1"/>
      <c r="H87" s="1"/>
    </row>
    <row r="88" spans="1:8" x14ac:dyDescent="0.25">
      <c r="A88" s="1">
        <v>2018</v>
      </c>
      <c r="B88" s="1" t="s">
        <v>436</v>
      </c>
      <c r="C88" s="1" t="s">
        <v>119</v>
      </c>
      <c r="D88" s="1" t="s">
        <v>133</v>
      </c>
      <c r="E88" s="5">
        <v>1</v>
      </c>
      <c r="F88" s="1" t="s">
        <v>437</v>
      </c>
      <c r="G88" s="1"/>
      <c r="H88" s="1"/>
    </row>
    <row r="89" spans="1:8" x14ac:dyDescent="0.25">
      <c r="A89" s="1">
        <v>2018</v>
      </c>
      <c r="B89" s="1" t="s">
        <v>436</v>
      </c>
      <c r="C89" s="1" t="s">
        <v>119</v>
      </c>
      <c r="D89" s="1" t="s">
        <v>139</v>
      </c>
      <c r="E89" s="5">
        <v>1</v>
      </c>
      <c r="F89" s="1" t="s">
        <v>437</v>
      </c>
      <c r="G89" s="1"/>
      <c r="H89" s="1"/>
    </row>
    <row r="90" spans="1:8" x14ac:dyDescent="0.25">
      <c r="A90" s="1">
        <v>2018</v>
      </c>
      <c r="B90" s="1" t="s">
        <v>436</v>
      </c>
      <c r="C90" s="1" t="s">
        <v>119</v>
      </c>
      <c r="D90" s="1" t="s">
        <v>145</v>
      </c>
      <c r="E90" s="5">
        <v>0</v>
      </c>
      <c r="F90" s="1" t="s">
        <v>437</v>
      </c>
      <c r="G90" s="1"/>
      <c r="H90" s="1"/>
    </row>
    <row r="91" spans="1:8" x14ac:dyDescent="0.25">
      <c r="A91" s="1">
        <v>2018</v>
      </c>
      <c r="B91" s="1" t="s">
        <v>436</v>
      </c>
      <c r="C91" s="1" t="s">
        <v>151</v>
      </c>
      <c r="D91" s="1" t="s">
        <v>152</v>
      </c>
      <c r="E91" s="5">
        <v>0.97593220338983055</v>
      </c>
      <c r="F91" s="1" t="s">
        <v>437</v>
      </c>
      <c r="G91" s="1"/>
      <c r="H91" s="1"/>
    </row>
    <row r="92" spans="1:8" x14ac:dyDescent="0.25">
      <c r="A92" s="1">
        <v>2018</v>
      </c>
      <c r="B92" s="1" t="s">
        <v>436</v>
      </c>
      <c r="C92" s="1" t="s">
        <v>151</v>
      </c>
      <c r="D92" s="1" t="s">
        <v>160</v>
      </c>
      <c r="E92" s="5">
        <v>0.96202531645569622</v>
      </c>
      <c r="F92" s="1" t="s">
        <v>437</v>
      </c>
      <c r="G92" s="1"/>
      <c r="H92" s="1"/>
    </row>
    <row r="93" spans="1:8" x14ac:dyDescent="0.25">
      <c r="A93" s="1">
        <v>2018</v>
      </c>
      <c r="B93" s="1" t="s">
        <v>436</v>
      </c>
      <c r="C93" s="1" t="s">
        <v>151</v>
      </c>
      <c r="D93" s="1" t="s">
        <v>165</v>
      </c>
      <c r="E93" s="5">
        <v>0.61001838122224517</v>
      </c>
      <c r="F93" s="1" t="s">
        <v>437</v>
      </c>
      <c r="G93" s="1"/>
      <c r="H93" s="1"/>
    </row>
    <row r="94" spans="1:8" x14ac:dyDescent="0.25">
      <c r="A94" s="1">
        <v>2018</v>
      </c>
      <c r="B94" s="1" t="s">
        <v>436</v>
      </c>
      <c r="C94" s="1" t="s">
        <v>151</v>
      </c>
      <c r="D94" s="1" t="s">
        <v>172</v>
      </c>
      <c r="E94" s="5">
        <v>0.49936023851783951</v>
      </c>
      <c r="F94" s="1" t="s">
        <v>437</v>
      </c>
      <c r="G94" s="1"/>
      <c r="H94" s="1"/>
    </row>
    <row r="95" spans="1:8" x14ac:dyDescent="0.25">
      <c r="A95" s="1">
        <v>2018</v>
      </c>
      <c r="B95" s="1" t="s">
        <v>436</v>
      </c>
      <c r="C95" s="1" t="s">
        <v>151</v>
      </c>
      <c r="D95" s="1" t="s">
        <v>177</v>
      </c>
      <c r="E95" s="5">
        <v>0.55690083336291918</v>
      </c>
      <c r="F95" s="1" t="s">
        <v>437</v>
      </c>
      <c r="G95" s="1"/>
      <c r="H95" s="1"/>
    </row>
    <row r="96" spans="1:8" x14ac:dyDescent="0.25">
      <c r="A96" s="1">
        <v>2018</v>
      </c>
      <c r="B96" s="1" t="s">
        <v>436</v>
      </c>
      <c r="C96" s="1" t="s">
        <v>182</v>
      </c>
      <c r="D96" s="1" t="s">
        <v>183</v>
      </c>
      <c r="E96" s="5">
        <v>953.71314134288934</v>
      </c>
      <c r="F96" s="1" t="s">
        <v>437</v>
      </c>
      <c r="G96" s="1"/>
      <c r="H96" s="1"/>
    </row>
    <row r="97" spans="1:8" x14ac:dyDescent="0.25">
      <c r="A97" s="1">
        <v>2018</v>
      </c>
      <c r="B97" s="1" t="s">
        <v>436</v>
      </c>
      <c r="C97" s="1" t="s">
        <v>182</v>
      </c>
      <c r="D97" s="1" t="s">
        <v>192</v>
      </c>
      <c r="E97" s="5">
        <v>0.23565531927995431</v>
      </c>
      <c r="F97" s="1" t="s">
        <v>437</v>
      </c>
      <c r="G97" s="1"/>
      <c r="H97" s="1"/>
    </row>
    <row r="98" spans="1:8" x14ac:dyDescent="0.25">
      <c r="A98" s="1">
        <v>2018</v>
      </c>
      <c r="B98" s="1" t="s">
        <v>436</v>
      </c>
      <c r="C98" s="1" t="s">
        <v>182</v>
      </c>
      <c r="D98" s="1" t="s">
        <v>198</v>
      </c>
      <c r="E98" s="5">
        <v>0.22156313118701304</v>
      </c>
      <c r="F98" s="1" t="s">
        <v>437</v>
      </c>
      <c r="G98" s="1"/>
      <c r="H98" s="1"/>
    </row>
    <row r="99" spans="1:8" x14ac:dyDescent="0.25">
      <c r="A99" s="1">
        <v>2018</v>
      </c>
      <c r="B99" s="1" t="s">
        <v>436</v>
      </c>
      <c r="C99" s="1" t="s">
        <v>182</v>
      </c>
      <c r="D99" s="1" t="s">
        <v>204</v>
      </c>
      <c r="E99" s="5">
        <v>110.20523379094266</v>
      </c>
      <c r="F99" s="1" t="s">
        <v>437</v>
      </c>
      <c r="G99" s="1"/>
      <c r="H99" s="1"/>
    </row>
    <row r="100" spans="1:8" x14ac:dyDescent="0.25">
      <c r="A100" s="1">
        <v>2018</v>
      </c>
      <c r="B100" s="1" t="s">
        <v>436</v>
      </c>
      <c r="C100" s="1" t="s">
        <v>182</v>
      </c>
      <c r="D100" s="1" t="s">
        <v>212</v>
      </c>
      <c r="E100" s="5">
        <v>2.7230881519319888E-2</v>
      </c>
      <c r="F100" s="1" t="s">
        <v>437</v>
      </c>
      <c r="G100" s="1"/>
      <c r="H100" s="1"/>
    </row>
    <row r="101" spans="1:8" x14ac:dyDescent="0.25">
      <c r="A101" s="1">
        <v>2018</v>
      </c>
      <c r="B101" s="1" t="s">
        <v>436</v>
      </c>
      <c r="C101" s="1" t="s">
        <v>182</v>
      </c>
      <c r="D101" s="1" t="s">
        <v>218</v>
      </c>
      <c r="E101" s="5">
        <v>2.5602474804464558E-2</v>
      </c>
      <c r="F101" s="1" t="s">
        <v>437</v>
      </c>
      <c r="G101" s="1"/>
      <c r="H101" s="1"/>
    </row>
    <row r="102" spans="1:8" x14ac:dyDescent="0.25">
      <c r="A102" s="1">
        <v>2018</v>
      </c>
      <c r="B102" s="1" t="s">
        <v>436</v>
      </c>
      <c r="C102" s="1" t="s">
        <v>182</v>
      </c>
      <c r="D102" s="1" t="s">
        <v>223</v>
      </c>
      <c r="E102" s="5"/>
      <c r="F102" s="1" t="s">
        <v>438</v>
      </c>
      <c r="G102" s="1" t="s">
        <v>441</v>
      </c>
      <c r="H102" s="1"/>
    </row>
    <row r="103" spans="1:8" x14ac:dyDescent="0.25">
      <c r="A103" s="1">
        <v>2018</v>
      </c>
      <c r="B103" s="1" t="s">
        <v>436</v>
      </c>
      <c r="C103" s="1" t="s">
        <v>182</v>
      </c>
      <c r="D103" s="1" t="s">
        <v>232</v>
      </c>
      <c r="E103" s="5">
        <v>0.8571428571428571</v>
      </c>
      <c r="F103" s="1" t="s">
        <v>437</v>
      </c>
      <c r="G103" s="1"/>
      <c r="H103" s="1"/>
    </row>
    <row r="104" spans="1:8" x14ac:dyDescent="0.25">
      <c r="A104" s="1">
        <v>2018</v>
      </c>
      <c r="B104" s="1" t="s">
        <v>436</v>
      </c>
      <c r="C104" s="1" t="s">
        <v>238</v>
      </c>
      <c r="D104" s="1" t="s">
        <v>239</v>
      </c>
      <c r="E104" s="5">
        <v>400.87365243029393</v>
      </c>
      <c r="F104" s="1" t="s">
        <v>437</v>
      </c>
      <c r="G104" s="1"/>
      <c r="H104" s="1"/>
    </row>
    <row r="105" spans="1:8" x14ac:dyDescent="0.25">
      <c r="A105" s="1">
        <v>2018</v>
      </c>
      <c r="B105" s="1" t="s">
        <v>436</v>
      </c>
      <c r="C105" s="1" t="s">
        <v>238</v>
      </c>
      <c r="D105" s="1" t="s">
        <v>246</v>
      </c>
      <c r="E105" s="5">
        <v>0.38707723342781108</v>
      </c>
      <c r="F105" s="1" t="s">
        <v>437</v>
      </c>
      <c r="G105" s="1"/>
      <c r="H105" s="1"/>
    </row>
    <row r="106" spans="1:8" x14ac:dyDescent="0.25">
      <c r="A106" s="1">
        <v>2018</v>
      </c>
      <c r="B106" s="1" t="s">
        <v>436</v>
      </c>
      <c r="C106" s="1" t="s">
        <v>238</v>
      </c>
      <c r="D106" s="1" t="s">
        <v>251</v>
      </c>
      <c r="E106" s="5">
        <v>0.77318822166446699</v>
      </c>
      <c r="F106" s="1" t="s">
        <v>437</v>
      </c>
      <c r="G106" s="1"/>
      <c r="H106" s="1"/>
    </row>
    <row r="107" spans="1:8" x14ac:dyDescent="0.25">
      <c r="A107" s="1">
        <v>2018</v>
      </c>
      <c r="B107" s="1" t="s">
        <v>436</v>
      </c>
      <c r="C107" s="1" t="s">
        <v>238</v>
      </c>
      <c r="D107" s="1" t="s">
        <v>256</v>
      </c>
      <c r="E107" s="5">
        <v>1.0032589556721154</v>
      </c>
      <c r="F107" s="1" t="s">
        <v>437</v>
      </c>
      <c r="G107" s="1"/>
      <c r="H107" s="1"/>
    </row>
    <row r="108" spans="1:8" x14ac:dyDescent="0.25">
      <c r="A108" s="1">
        <v>2018</v>
      </c>
      <c r="B108" s="1" t="s">
        <v>436</v>
      </c>
      <c r="C108" s="1" t="s">
        <v>238</v>
      </c>
      <c r="D108" s="1" t="s">
        <v>264</v>
      </c>
      <c r="E108" s="5">
        <v>0.55516189212957423</v>
      </c>
      <c r="F108" s="1" t="s">
        <v>437</v>
      </c>
      <c r="G108" s="1"/>
      <c r="H108" s="1"/>
    </row>
    <row r="109" spans="1:8" x14ac:dyDescent="0.25">
      <c r="A109" s="1">
        <v>2018</v>
      </c>
      <c r="B109" s="1" t="s">
        <v>436</v>
      </c>
      <c r="C109" s="1" t="s">
        <v>238</v>
      </c>
      <c r="D109" s="1" t="s">
        <v>269</v>
      </c>
      <c r="E109" s="5">
        <v>0.55748011400458419</v>
      </c>
      <c r="F109" s="1" t="s">
        <v>437</v>
      </c>
      <c r="G109" s="1"/>
      <c r="H109" s="1"/>
    </row>
    <row r="110" spans="1:8" x14ac:dyDescent="0.25">
      <c r="A110" s="1">
        <v>2018</v>
      </c>
      <c r="B110" s="1" t="s">
        <v>436</v>
      </c>
      <c r="C110" s="1" t="s">
        <v>238</v>
      </c>
      <c r="D110" s="1" t="s">
        <v>275</v>
      </c>
      <c r="E110" s="5">
        <v>0.1871527537435988</v>
      </c>
      <c r="F110" s="1" t="s">
        <v>437</v>
      </c>
      <c r="G110" s="1"/>
      <c r="H110" s="1"/>
    </row>
    <row r="111" spans="1:8" x14ac:dyDescent="0.25">
      <c r="A111" s="1">
        <v>2018</v>
      </c>
      <c r="B111" s="1" t="s">
        <v>436</v>
      </c>
      <c r="C111" s="1" t="s">
        <v>238</v>
      </c>
      <c r="D111" s="1" t="s">
        <v>280</v>
      </c>
      <c r="E111" s="5">
        <v>79.692025485014781</v>
      </c>
      <c r="F111" s="1" t="s">
        <v>437</v>
      </c>
      <c r="G111" s="1"/>
      <c r="H111" s="1"/>
    </row>
    <row r="112" spans="1:8" x14ac:dyDescent="0.25">
      <c r="A112" s="1">
        <v>2018</v>
      </c>
      <c r="B112" s="1" t="s">
        <v>436</v>
      </c>
      <c r="C112" s="1" t="s">
        <v>238</v>
      </c>
      <c r="D112" s="1" t="s">
        <v>287</v>
      </c>
      <c r="E112" s="5">
        <v>0.41686880937942189</v>
      </c>
      <c r="F112" s="1" t="s">
        <v>437</v>
      </c>
      <c r="G112" s="1" t="s">
        <v>442</v>
      </c>
      <c r="H112" s="1"/>
    </row>
    <row r="113" spans="1:8" x14ac:dyDescent="0.25">
      <c r="A113" s="1">
        <v>2018</v>
      </c>
      <c r="B113" s="1" t="s">
        <v>436</v>
      </c>
      <c r="C113" s="1" t="s">
        <v>238</v>
      </c>
      <c r="D113" s="1" t="s">
        <v>294</v>
      </c>
      <c r="E113" s="5">
        <v>1</v>
      </c>
      <c r="F113" s="1" t="s">
        <v>437</v>
      </c>
      <c r="G113" s="1"/>
      <c r="H113" s="1"/>
    </row>
    <row r="114" spans="1:8" x14ac:dyDescent="0.25">
      <c r="A114" s="1">
        <v>2018</v>
      </c>
      <c r="B114" s="1" t="s">
        <v>436</v>
      </c>
      <c r="C114" s="1" t="s">
        <v>299</v>
      </c>
      <c r="D114" s="1" t="s">
        <v>300</v>
      </c>
      <c r="E114" s="5"/>
      <c r="F114" s="1" t="s">
        <v>438</v>
      </c>
      <c r="G114" s="1" t="s">
        <v>443</v>
      </c>
      <c r="H114" s="1"/>
    </row>
    <row r="115" spans="1:8" x14ac:dyDescent="0.25">
      <c r="A115" s="1">
        <v>2018</v>
      </c>
      <c r="B115" s="1" t="s">
        <v>436</v>
      </c>
      <c r="C115" s="1" t="s">
        <v>299</v>
      </c>
      <c r="D115" s="1" t="s">
        <v>309</v>
      </c>
      <c r="E115" s="5"/>
      <c r="F115" s="1" t="s">
        <v>438</v>
      </c>
      <c r="G115" s="1" t="s">
        <v>443</v>
      </c>
      <c r="H115" s="1"/>
    </row>
    <row r="116" spans="1:8" x14ac:dyDescent="0.25">
      <c r="A116" s="1">
        <v>2018</v>
      </c>
      <c r="B116" s="1" t="s">
        <v>436</v>
      </c>
      <c r="C116" s="1" t="s">
        <v>299</v>
      </c>
      <c r="D116" s="1" t="s">
        <v>315</v>
      </c>
      <c r="E116" s="5"/>
      <c r="F116" s="1" t="s">
        <v>438</v>
      </c>
      <c r="G116" s="1" t="s">
        <v>443</v>
      </c>
      <c r="H116" s="1"/>
    </row>
    <row r="117" spans="1:8" x14ac:dyDescent="0.25">
      <c r="A117" s="1">
        <v>2018</v>
      </c>
      <c r="B117" s="1" t="s">
        <v>436</v>
      </c>
      <c r="C117" s="1" t="s">
        <v>299</v>
      </c>
      <c r="D117" s="1" t="s">
        <v>321</v>
      </c>
      <c r="E117" s="5"/>
      <c r="F117" s="1" t="s">
        <v>438</v>
      </c>
      <c r="G117" s="1" t="s">
        <v>443</v>
      </c>
      <c r="H117" s="1"/>
    </row>
    <row r="118" spans="1:8" x14ac:dyDescent="0.25">
      <c r="A118" s="1">
        <v>2019</v>
      </c>
      <c r="B118" s="1" t="s">
        <v>436</v>
      </c>
      <c r="C118" s="1" t="s">
        <v>68</v>
      </c>
      <c r="D118" s="1" t="s">
        <v>69</v>
      </c>
      <c r="E118" s="5">
        <v>0.25</v>
      </c>
      <c r="F118" s="1" t="s">
        <v>437</v>
      </c>
      <c r="G118" s="1"/>
      <c r="H118" s="1"/>
    </row>
    <row r="119" spans="1:8" x14ac:dyDescent="0.25">
      <c r="A119" s="1">
        <v>2019</v>
      </c>
      <c r="B119" s="1" t="s">
        <v>436</v>
      </c>
      <c r="C119" s="1" t="s">
        <v>68</v>
      </c>
      <c r="D119" s="1" t="s">
        <v>81</v>
      </c>
      <c r="E119" s="5">
        <v>5.9809026275220334E-2</v>
      </c>
      <c r="F119" s="1" t="s">
        <v>437</v>
      </c>
      <c r="G119" s="1"/>
      <c r="H119" s="1"/>
    </row>
    <row r="120" spans="1:8" x14ac:dyDescent="0.25">
      <c r="A120" s="1">
        <v>2019</v>
      </c>
      <c r="B120" s="1" t="s">
        <v>436</v>
      </c>
      <c r="C120" s="1" t="s">
        <v>68</v>
      </c>
      <c r="D120" s="1" t="s">
        <v>86</v>
      </c>
      <c r="E120" s="5">
        <v>9</v>
      </c>
      <c r="F120" s="1" t="s">
        <v>437</v>
      </c>
      <c r="G120" s="1"/>
      <c r="H120" s="1"/>
    </row>
    <row r="121" spans="1:8" x14ac:dyDescent="0.25">
      <c r="A121" s="1">
        <v>2019</v>
      </c>
      <c r="B121" s="1" t="s">
        <v>436</v>
      </c>
      <c r="C121" s="1" t="s">
        <v>68</v>
      </c>
      <c r="D121" s="1" t="s">
        <v>95</v>
      </c>
      <c r="E121" s="5"/>
      <c r="F121" s="1" t="s">
        <v>438</v>
      </c>
      <c r="G121" s="1" t="s">
        <v>439</v>
      </c>
      <c r="H121" s="1"/>
    </row>
    <row r="122" spans="1:8" x14ac:dyDescent="0.25">
      <c r="A122" s="1">
        <v>2019</v>
      </c>
      <c r="B122" s="1" t="s">
        <v>436</v>
      </c>
      <c r="C122" s="1" t="s">
        <v>68</v>
      </c>
      <c r="D122" s="1" t="s">
        <v>104</v>
      </c>
      <c r="E122" s="5"/>
      <c r="F122" s="1" t="s">
        <v>438</v>
      </c>
      <c r="G122" s="1" t="s">
        <v>439</v>
      </c>
      <c r="H122" s="1"/>
    </row>
    <row r="123" spans="1:8" x14ac:dyDescent="0.25">
      <c r="A123" s="1">
        <v>2019</v>
      </c>
      <c r="B123" s="1" t="s">
        <v>436</v>
      </c>
      <c r="C123" s="1" t="s">
        <v>68</v>
      </c>
      <c r="D123" s="1" t="s">
        <v>113</v>
      </c>
      <c r="E123" s="5"/>
      <c r="F123" s="1" t="s">
        <v>438</v>
      </c>
      <c r="G123" s="1" t="s">
        <v>439</v>
      </c>
      <c r="H123" s="1"/>
    </row>
    <row r="124" spans="1:8" x14ac:dyDescent="0.25">
      <c r="A124" s="1">
        <v>2019</v>
      </c>
      <c r="B124" s="1" t="s">
        <v>436</v>
      </c>
      <c r="C124" s="1" t="s">
        <v>119</v>
      </c>
      <c r="D124" s="1" t="s">
        <v>120</v>
      </c>
      <c r="E124" s="5">
        <v>1</v>
      </c>
      <c r="F124" s="1" t="s">
        <v>437</v>
      </c>
      <c r="G124" s="1"/>
      <c r="H124" s="1"/>
    </row>
    <row r="125" spans="1:8" x14ac:dyDescent="0.25">
      <c r="A125" s="1">
        <v>2019</v>
      </c>
      <c r="B125" s="1" t="s">
        <v>436</v>
      </c>
      <c r="C125" s="1" t="s">
        <v>119</v>
      </c>
      <c r="D125" s="1" t="s">
        <v>128</v>
      </c>
      <c r="E125" s="5">
        <v>1</v>
      </c>
      <c r="F125" s="1" t="s">
        <v>437</v>
      </c>
      <c r="G125" s="1"/>
      <c r="H125" s="1"/>
    </row>
    <row r="126" spans="1:8" x14ac:dyDescent="0.25">
      <c r="A126" s="1">
        <v>2019</v>
      </c>
      <c r="B126" s="1" t="s">
        <v>436</v>
      </c>
      <c r="C126" s="1" t="s">
        <v>119</v>
      </c>
      <c r="D126" s="1" t="s">
        <v>133</v>
      </c>
      <c r="E126" s="5">
        <v>1</v>
      </c>
      <c r="F126" s="1" t="s">
        <v>437</v>
      </c>
      <c r="G126" s="1"/>
      <c r="H126" s="1"/>
    </row>
    <row r="127" spans="1:8" x14ac:dyDescent="0.25">
      <c r="A127" s="1">
        <v>2019</v>
      </c>
      <c r="B127" s="1" t="s">
        <v>436</v>
      </c>
      <c r="C127" s="1" t="s">
        <v>119</v>
      </c>
      <c r="D127" s="1" t="s">
        <v>139</v>
      </c>
      <c r="E127" s="5">
        <v>1</v>
      </c>
      <c r="F127" s="1" t="s">
        <v>437</v>
      </c>
      <c r="G127" s="1"/>
      <c r="H127" s="1"/>
    </row>
    <row r="128" spans="1:8" x14ac:dyDescent="0.25">
      <c r="A128" s="1">
        <v>2019</v>
      </c>
      <c r="B128" s="1" t="s">
        <v>436</v>
      </c>
      <c r="C128" s="1" t="s">
        <v>119</v>
      </c>
      <c r="D128" s="1" t="s">
        <v>145</v>
      </c>
      <c r="E128" s="5">
        <v>0</v>
      </c>
      <c r="F128" s="1" t="s">
        <v>437</v>
      </c>
      <c r="G128" s="1"/>
      <c r="H128" s="1"/>
    </row>
    <row r="129" spans="1:8" x14ac:dyDescent="0.25">
      <c r="A129" s="1">
        <v>2019</v>
      </c>
      <c r="B129" s="1" t="s">
        <v>436</v>
      </c>
      <c r="C129" s="1" t="s">
        <v>151</v>
      </c>
      <c r="D129" s="1" t="s">
        <v>152</v>
      </c>
      <c r="E129" s="5">
        <v>0.97490920096852296</v>
      </c>
      <c r="F129" s="1" t="s">
        <v>437</v>
      </c>
      <c r="G129" s="1"/>
      <c r="H129" s="1"/>
    </row>
    <row r="130" spans="1:8" x14ac:dyDescent="0.25">
      <c r="A130" s="1">
        <v>2019</v>
      </c>
      <c r="B130" s="1" t="s">
        <v>436</v>
      </c>
      <c r="C130" s="1" t="s">
        <v>151</v>
      </c>
      <c r="D130" s="1" t="s">
        <v>160</v>
      </c>
      <c r="E130" s="5">
        <v>0.94936708860759489</v>
      </c>
      <c r="F130" s="1" t="s">
        <v>437</v>
      </c>
      <c r="G130" s="1"/>
      <c r="H130" s="1"/>
    </row>
    <row r="131" spans="1:8" x14ac:dyDescent="0.25">
      <c r="A131" s="1">
        <v>2019</v>
      </c>
      <c r="B131" s="1" t="s">
        <v>436</v>
      </c>
      <c r="C131" s="1" t="s">
        <v>151</v>
      </c>
      <c r="D131" s="1" t="s">
        <v>165</v>
      </c>
      <c r="E131" s="5">
        <v>0.63987617542859798</v>
      </c>
      <c r="F131" s="1" t="s">
        <v>437</v>
      </c>
      <c r="G131" s="1"/>
      <c r="H131" s="1"/>
    </row>
    <row r="132" spans="1:8" x14ac:dyDescent="0.25">
      <c r="A132" s="1">
        <v>2019</v>
      </c>
      <c r="B132" s="1" t="s">
        <v>436</v>
      </c>
      <c r="C132" s="1" t="s">
        <v>151</v>
      </c>
      <c r="D132" s="1" t="s">
        <v>172</v>
      </c>
      <c r="E132" s="5">
        <v>0.50076626991574302</v>
      </c>
      <c r="F132" s="1" t="s">
        <v>437</v>
      </c>
      <c r="G132" s="1"/>
      <c r="H132" s="1"/>
    </row>
    <row r="133" spans="1:8" x14ac:dyDescent="0.25">
      <c r="A133" s="1">
        <v>2019</v>
      </c>
      <c r="B133" s="1" t="s">
        <v>436</v>
      </c>
      <c r="C133" s="1" t="s">
        <v>151</v>
      </c>
      <c r="D133" s="1" t="s">
        <v>177</v>
      </c>
      <c r="E133" s="5">
        <v>0.55432799525165355</v>
      </c>
      <c r="F133" s="1" t="s">
        <v>437</v>
      </c>
      <c r="G133" s="1"/>
      <c r="H133" s="1"/>
    </row>
    <row r="134" spans="1:8" x14ac:dyDescent="0.25">
      <c r="A134" s="1">
        <v>2019</v>
      </c>
      <c r="B134" s="1" t="s">
        <v>436</v>
      </c>
      <c r="C134" s="1" t="s">
        <v>182</v>
      </c>
      <c r="D134" s="1" t="s">
        <v>183</v>
      </c>
      <c r="E134" s="5">
        <v>1171.1746220996829</v>
      </c>
      <c r="F134" s="1" t="s">
        <v>437</v>
      </c>
      <c r="G134" s="1"/>
      <c r="H134" s="1"/>
    </row>
    <row r="135" spans="1:8" x14ac:dyDescent="0.25">
      <c r="A135" s="1">
        <v>2019</v>
      </c>
      <c r="B135" s="1" t="s">
        <v>436</v>
      </c>
      <c r="C135" s="1" t="s">
        <v>182</v>
      </c>
      <c r="D135" s="1" t="s">
        <v>192</v>
      </c>
      <c r="E135" s="5">
        <v>0.24376313146067866</v>
      </c>
      <c r="F135" s="1" t="s">
        <v>437</v>
      </c>
      <c r="G135" s="1"/>
      <c r="H135" s="1"/>
    </row>
    <row r="136" spans="1:8" x14ac:dyDescent="0.25">
      <c r="A136" s="1">
        <v>2019</v>
      </c>
      <c r="B136" s="1" t="s">
        <v>436</v>
      </c>
      <c r="C136" s="1" t="s">
        <v>182</v>
      </c>
      <c r="D136" s="1" t="s">
        <v>198</v>
      </c>
      <c r="E136" s="5">
        <v>0.22918609619933006</v>
      </c>
      <c r="F136" s="1" t="s">
        <v>437</v>
      </c>
      <c r="G136" s="1"/>
      <c r="H136" s="1"/>
    </row>
    <row r="137" spans="1:8" x14ac:dyDescent="0.25">
      <c r="A137" s="1">
        <v>2019</v>
      </c>
      <c r="B137" s="1" t="s">
        <v>436</v>
      </c>
      <c r="C137" s="1" t="s">
        <v>182</v>
      </c>
      <c r="D137" s="1" t="s">
        <v>204</v>
      </c>
      <c r="E137" s="5">
        <v>150.02021101856926</v>
      </c>
      <c r="F137" s="1" t="s">
        <v>437</v>
      </c>
      <c r="G137" s="1"/>
      <c r="H137" s="1"/>
    </row>
    <row r="138" spans="1:8" x14ac:dyDescent="0.25">
      <c r="A138" s="1">
        <v>2019</v>
      </c>
      <c r="B138" s="1" t="s">
        <v>436</v>
      </c>
      <c r="C138" s="1" t="s">
        <v>182</v>
      </c>
      <c r="D138" s="1" t="s">
        <v>212</v>
      </c>
      <c r="E138" s="5">
        <v>3.1224546476866618E-2</v>
      </c>
      <c r="F138" s="1" t="s">
        <v>437</v>
      </c>
      <c r="G138" s="1"/>
      <c r="H138" s="1"/>
    </row>
    <row r="139" spans="1:8" x14ac:dyDescent="0.25">
      <c r="A139" s="1">
        <v>2019</v>
      </c>
      <c r="B139" s="1" t="s">
        <v>436</v>
      </c>
      <c r="C139" s="1" t="s">
        <v>182</v>
      </c>
      <c r="D139" s="1" t="s">
        <v>218</v>
      </c>
      <c r="E139" s="5">
        <v>2.9357318597549992E-2</v>
      </c>
      <c r="F139" s="1" t="s">
        <v>437</v>
      </c>
      <c r="G139" s="1"/>
      <c r="H139" s="1"/>
    </row>
    <row r="140" spans="1:8" x14ac:dyDescent="0.25">
      <c r="A140" s="1">
        <v>2019</v>
      </c>
      <c r="B140" s="1" t="s">
        <v>436</v>
      </c>
      <c r="C140" s="1" t="s">
        <v>182</v>
      </c>
      <c r="D140" s="1" t="s">
        <v>223</v>
      </c>
      <c r="E140" s="5"/>
      <c r="F140" s="1" t="s">
        <v>438</v>
      </c>
      <c r="G140" s="1" t="s">
        <v>441</v>
      </c>
      <c r="H140" s="1"/>
    </row>
    <row r="141" spans="1:8" x14ac:dyDescent="0.25">
      <c r="A141" s="1">
        <v>2019</v>
      </c>
      <c r="B141" s="1" t="s">
        <v>436</v>
      </c>
      <c r="C141" s="1" t="s">
        <v>182</v>
      </c>
      <c r="D141" s="1" t="s">
        <v>232</v>
      </c>
      <c r="E141" s="5">
        <v>0.84397163120567376</v>
      </c>
      <c r="F141" s="1" t="s">
        <v>437</v>
      </c>
      <c r="G141" s="1"/>
      <c r="H141" s="1"/>
    </row>
    <row r="142" spans="1:8" x14ac:dyDescent="0.25">
      <c r="A142" s="1">
        <v>2019</v>
      </c>
      <c r="B142" s="1" t="s">
        <v>436</v>
      </c>
      <c r="C142" s="1" t="s">
        <v>238</v>
      </c>
      <c r="D142" s="1" t="s">
        <v>239</v>
      </c>
      <c r="E142" s="5">
        <v>464.89143694789624</v>
      </c>
      <c r="F142" s="1" t="s">
        <v>437</v>
      </c>
      <c r="G142" s="1"/>
      <c r="H142" s="1"/>
    </row>
    <row r="143" spans="1:8" x14ac:dyDescent="0.25">
      <c r="A143" s="1">
        <v>2019</v>
      </c>
      <c r="B143" s="1" t="s">
        <v>436</v>
      </c>
      <c r="C143" s="1" t="s">
        <v>238</v>
      </c>
      <c r="D143" s="1" t="s">
        <v>246</v>
      </c>
      <c r="E143" s="5">
        <v>0.3279172772371331</v>
      </c>
      <c r="F143" s="1" t="s">
        <v>437</v>
      </c>
      <c r="G143" s="1"/>
      <c r="H143" s="1"/>
    </row>
    <row r="144" spans="1:8" x14ac:dyDescent="0.25">
      <c r="A144" s="1">
        <v>2019</v>
      </c>
      <c r="B144" s="1" t="s">
        <v>436</v>
      </c>
      <c r="C144" s="1" t="s">
        <v>238</v>
      </c>
      <c r="D144" s="1" t="s">
        <v>251</v>
      </c>
      <c r="E144" s="5">
        <v>0.72842579536528695</v>
      </c>
      <c r="F144" s="1" t="s">
        <v>437</v>
      </c>
      <c r="G144" s="1"/>
      <c r="H144" s="1"/>
    </row>
    <row r="145" spans="1:8" x14ac:dyDescent="0.25">
      <c r="A145" s="1">
        <v>2019</v>
      </c>
      <c r="B145" s="1" t="s">
        <v>436</v>
      </c>
      <c r="C145" s="1" t="s">
        <v>238</v>
      </c>
      <c r="D145" s="1" t="s">
        <v>256</v>
      </c>
      <c r="E145" s="5">
        <v>0.99871949108789382</v>
      </c>
      <c r="F145" s="1" t="s">
        <v>437</v>
      </c>
      <c r="G145" s="1"/>
      <c r="H145" s="1"/>
    </row>
    <row r="146" spans="1:8" x14ac:dyDescent="0.25">
      <c r="A146" s="1">
        <v>2019</v>
      </c>
      <c r="B146" s="1" t="s">
        <v>436</v>
      </c>
      <c r="C146" s="1" t="s">
        <v>238</v>
      </c>
      <c r="D146" s="1" t="s">
        <v>264</v>
      </c>
      <c r="E146" s="5">
        <v>0.55516189212957423</v>
      </c>
      <c r="F146" s="1" t="s">
        <v>437</v>
      </c>
      <c r="G146" s="1"/>
      <c r="H146" s="1"/>
    </row>
    <row r="147" spans="1:8" x14ac:dyDescent="0.25">
      <c r="A147" s="1">
        <v>2019</v>
      </c>
      <c r="B147" s="1" t="s">
        <v>436</v>
      </c>
      <c r="C147" s="1" t="s">
        <v>238</v>
      </c>
      <c r="D147" s="1" t="s">
        <v>269</v>
      </c>
      <c r="E147" s="5">
        <v>0.55765976178413035</v>
      </c>
      <c r="F147" s="1" t="s">
        <v>437</v>
      </c>
      <c r="G147" s="1"/>
      <c r="H147" s="1"/>
    </row>
    <row r="148" spans="1:8" x14ac:dyDescent="0.25">
      <c r="A148" s="1">
        <v>2019</v>
      </c>
      <c r="B148" s="1" t="s">
        <v>436</v>
      </c>
      <c r="C148" s="1" t="s">
        <v>238</v>
      </c>
      <c r="D148" s="1" t="s">
        <v>275</v>
      </c>
      <c r="E148" s="5">
        <v>0.20262277159400291</v>
      </c>
      <c r="F148" s="1" t="s">
        <v>437</v>
      </c>
      <c r="G148" s="1"/>
      <c r="H148" s="1"/>
    </row>
    <row r="149" spans="1:8" x14ac:dyDescent="0.25">
      <c r="A149" s="1">
        <v>2019</v>
      </c>
      <c r="B149" s="1" t="s">
        <v>436</v>
      </c>
      <c r="C149" s="1" t="s">
        <v>238</v>
      </c>
      <c r="D149" s="1" t="s">
        <v>280</v>
      </c>
      <c r="E149" s="5">
        <v>80.615102399512992</v>
      </c>
      <c r="F149" s="1" t="s">
        <v>437</v>
      </c>
      <c r="G149" s="1"/>
      <c r="H149" s="1"/>
    </row>
    <row r="150" spans="1:8" x14ac:dyDescent="0.25">
      <c r="A150" s="1">
        <v>2019</v>
      </c>
      <c r="B150" s="1" t="s">
        <v>436</v>
      </c>
      <c r="C150" s="1" t="s">
        <v>238</v>
      </c>
      <c r="D150" s="1" t="s">
        <v>287</v>
      </c>
      <c r="E150" s="5">
        <v>0.41686880937942189</v>
      </c>
      <c r="F150" s="1" t="s">
        <v>437</v>
      </c>
      <c r="G150" s="1" t="s">
        <v>442</v>
      </c>
      <c r="H150" s="1"/>
    </row>
    <row r="151" spans="1:8" x14ac:dyDescent="0.25">
      <c r="A151" s="1">
        <v>2019</v>
      </c>
      <c r="B151" s="1" t="s">
        <v>436</v>
      </c>
      <c r="C151" s="1" t="s">
        <v>238</v>
      </c>
      <c r="D151" s="1" t="s">
        <v>294</v>
      </c>
      <c r="E151" s="5">
        <v>1</v>
      </c>
      <c r="F151" s="1" t="s">
        <v>437</v>
      </c>
      <c r="G151" s="1"/>
      <c r="H151" s="1"/>
    </row>
    <row r="152" spans="1:8" x14ac:dyDescent="0.25">
      <c r="A152" s="1">
        <v>2019</v>
      </c>
      <c r="B152" s="1" t="s">
        <v>436</v>
      </c>
      <c r="C152" s="1" t="s">
        <v>299</v>
      </c>
      <c r="D152" s="1" t="s">
        <v>300</v>
      </c>
      <c r="E152" s="5"/>
      <c r="F152" s="1" t="s">
        <v>438</v>
      </c>
      <c r="G152" s="1" t="s">
        <v>443</v>
      </c>
      <c r="H152" s="1"/>
    </row>
    <row r="153" spans="1:8" x14ac:dyDescent="0.25">
      <c r="A153" s="1">
        <v>2019</v>
      </c>
      <c r="B153" s="1" t="s">
        <v>436</v>
      </c>
      <c r="C153" s="1" t="s">
        <v>299</v>
      </c>
      <c r="D153" s="1" t="s">
        <v>309</v>
      </c>
      <c r="E153" s="5"/>
      <c r="F153" s="1" t="s">
        <v>438</v>
      </c>
      <c r="G153" s="1" t="s">
        <v>443</v>
      </c>
      <c r="H153" s="1"/>
    </row>
    <row r="154" spans="1:8" x14ac:dyDescent="0.25">
      <c r="A154" s="1">
        <v>2019</v>
      </c>
      <c r="B154" s="1" t="s">
        <v>436</v>
      </c>
      <c r="C154" s="1" t="s">
        <v>299</v>
      </c>
      <c r="D154" s="1" t="s">
        <v>315</v>
      </c>
      <c r="E154" s="5"/>
      <c r="F154" s="1" t="s">
        <v>438</v>
      </c>
      <c r="G154" s="1" t="s">
        <v>443</v>
      </c>
      <c r="H154" s="1"/>
    </row>
    <row r="155" spans="1:8" x14ac:dyDescent="0.25">
      <c r="A155" s="1">
        <v>2019</v>
      </c>
      <c r="B155" s="1" t="s">
        <v>436</v>
      </c>
      <c r="C155" s="1" t="s">
        <v>299</v>
      </c>
      <c r="D155" s="1" t="s">
        <v>321</v>
      </c>
      <c r="E155" s="5"/>
      <c r="F155" s="1" t="s">
        <v>438</v>
      </c>
      <c r="G155" s="1" t="s">
        <v>443</v>
      </c>
      <c r="H155" s="1"/>
    </row>
    <row r="156" spans="1:8" x14ac:dyDescent="0.25">
      <c r="A156" s="1">
        <v>2020</v>
      </c>
      <c r="B156" s="1" t="s">
        <v>436</v>
      </c>
      <c r="C156" s="1" t="s">
        <v>68</v>
      </c>
      <c r="D156" s="1" t="s">
        <v>69</v>
      </c>
      <c r="E156" s="5">
        <v>0.91666666666666663</v>
      </c>
      <c r="F156" s="1" t="s">
        <v>437</v>
      </c>
      <c r="G156" s="1"/>
      <c r="H156" s="1"/>
    </row>
    <row r="157" spans="1:8" x14ac:dyDescent="0.25">
      <c r="A157" s="1">
        <v>2020</v>
      </c>
      <c r="B157" s="1" t="s">
        <v>436</v>
      </c>
      <c r="C157" s="1" t="s">
        <v>68</v>
      </c>
      <c r="D157" s="1" t="s">
        <v>81</v>
      </c>
      <c r="E157" s="5">
        <v>0.98303477797853234</v>
      </c>
      <c r="F157" s="1" t="s">
        <v>437</v>
      </c>
      <c r="G157" s="1"/>
      <c r="H157" s="1"/>
    </row>
    <row r="158" spans="1:8" x14ac:dyDescent="0.25">
      <c r="A158" s="1">
        <v>2020</v>
      </c>
      <c r="B158" s="1" t="s">
        <v>436</v>
      </c>
      <c r="C158" s="1" t="s">
        <v>68</v>
      </c>
      <c r="D158" s="1" t="s">
        <v>86</v>
      </c>
      <c r="E158" s="5">
        <v>1</v>
      </c>
      <c r="F158" s="1" t="s">
        <v>437</v>
      </c>
      <c r="G158" s="1"/>
      <c r="H158" s="1"/>
    </row>
    <row r="159" spans="1:8" x14ac:dyDescent="0.25">
      <c r="A159" s="1">
        <v>2020</v>
      </c>
      <c r="B159" s="1" t="s">
        <v>436</v>
      </c>
      <c r="C159" s="1" t="s">
        <v>68</v>
      </c>
      <c r="D159" s="1" t="s">
        <v>95</v>
      </c>
      <c r="E159" s="5"/>
      <c r="F159" s="1" t="s">
        <v>438</v>
      </c>
      <c r="G159" s="1" t="s">
        <v>439</v>
      </c>
      <c r="H159" s="1"/>
    </row>
    <row r="160" spans="1:8" x14ac:dyDescent="0.25">
      <c r="A160" s="1">
        <v>2020</v>
      </c>
      <c r="B160" s="1" t="s">
        <v>436</v>
      </c>
      <c r="C160" s="1" t="s">
        <v>68</v>
      </c>
      <c r="D160" s="1" t="s">
        <v>104</v>
      </c>
      <c r="E160" s="5"/>
      <c r="F160" s="1" t="s">
        <v>438</v>
      </c>
      <c r="G160" s="1" t="s">
        <v>439</v>
      </c>
      <c r="H160" s="1"/>
    </row>
    <row r="161" spans="1:8" x14ac:dyDescent="0.25">
      <c r="A161" s="1">
        <v>2020</v>
      </c>
      <c r="B161" s="1" t="s">
        <v>436</v>
      </c>
      <c r="C161" s="1" t="s">
        <v>68</v>
      </c>
      <c r="D161" s="1" t="s">
        <v>113</v>
      </c>
      <c r="E161" s="5"/>
      <c r="F161" s="1" t="s">
        <v>438</v>
      </c>
      <c r="G161" s="1" t="s">
        <v>439</v>
      </c>
      <c r="H161" s="1"/>
    </row>
    <row r="162" spans="1:8" x14ac:dyDescent="0.25">
      <c r="A162" s="1">
        <v>2020</v>
      </c>
      <c r="B162" s="1" t="s">
        <v>436</v>
      </c>
      <c r="C162" s="1" t="s">
        <v>119</v>
      </c>
      <c r="D162" s="1" t="s">
        <v>120</v>
      </c>
      <c r="E162" s="5">
        <v>1</v>
      </c>
      <c r="F162" s="1" t="s">
        <v>437</v>
      </c>
      <c r="G162" s="1"/>
      <c r="H162" s="1"/>
    </row>
    <row r="163" spans="1:8" x14ac:dyDescent="0.25">
      <c r="A163" s="1">
        <v>2020</v>
      </c>
      <c r="B163" s="1" t="s">
        <v>436</v>
      </c>
      <c r="C163" s="1" t="s">
        <v>119</v>
      </c>
      <c r="D163" s="1" t="s">
        <v>128</v>
      </c>
      <c r="E163" s="5">
        <v>1</v>
      </c>
      <c r="F163" s="1" t="s">
        <v>437</v>
      </c>
      <c r="G163" s="1"/>
      <c r="H163" s="1"/>
    </row>
    <row r="164" spans="1:8" x14ac:dyDescent="0.25">
      <c r="A164" s="1">
        <v>2020</v>
      </c>
      <c r="B164" s="1" t="s">
        <v>436</v>
      </c>
      <c r="C164" s="1" t="s">
        <v>119</v>
      </c>
      <c r="D164" s="1" t="s">
        <v>133</v>
      </c>
      <c r="E164" s="5">
        <v>1</v>
      </c>
      <c r="F164" s="1" t="s">
        <v>437</v>
      </c>
      <c r="G164" s="1"/>
      <c r="H164" s="1"/>
    </row>
    <row r="165" spans="1:8" x14ac:dyDescent="0.25">
      <c r="A165" s="1">
        <v>2020</v>
      </c>
      <c r="B165" s="1" t="s">
        <v>436</v>
      </c>
      <c r="C165" s="1" t="s">
        <v>119</v>
      </c>
      <c r="D165" s="1" t="s">
        <v>139</v>
      </c>
      <c r="E165" s="5">
        <v>1</v>
      </c>
      <c r="F165" s="1" t="s">
        <v>437</v>
      </c>
      <c r="G165" s="1"/>
      <c r="H165" s="1"/>
    </row>
    <row r="166" spans="1:8" x14ac:dyDescent="0.25">
      <c r="A166" s="1">
        <v>2020</v>
      </c>
      <c r="B166" s="1" t="s">
        <v>436</v>
      </c>
      <c r="C166" s="1" t="s">
        <v>119</v>
      </c>
      <c r="D166" s="1" t="s">
        <v>145</v>
      </c>
      <c r="E166" s="5">
        <v>0</v>
      </c>
      <c r="F166" s="1" t="s">
        <v>437</v>
      </c>
      <c r="G166" s="1"/>
      <c r="H166" s="1"/>
    </row>
    <row r="167" spans="1:8" x14ac:dyDescent="0.25">
      <c r="A167" s="1">
        <v>2020</v>
      </c>
      <c r="B167" s="1" t="s">
        <v>436</v>
      </c>
      <c r="C167" s="1" t="s">
        <v>151</v>
      </c>
      <c r="D167" s="1" t="s">
        <v>152</v>
      </c>
      <c r="E167" s="5">
        <v>0.97582324455205816</v>
      </c>
      <c r="F167" s="1" t="s">
        <v>437</v>
      </c>
      <c r="G167" s="1"/>
      <c r="H167" s="1"/>
    </row>
    <row r="168" spans="1:8" x14ac:dyDescent="0.25">
      <c r="A168" s="1">
        <v>2020</v>
      </c>
      <c r="B168" s="1" t="s">
        <v>436</v>
      </c>
      <c r="C168" s="1" t="s">
        <v>151</v>
      </c>
      <c r="D168" s="1" t="s">
        <v>160</v>
      </c>
      <c r="E168" s="5">
        <v>0.96202531645569622</v>
      </c>
      <c r="F168" s="1" t="s">
        <v>437</v>
      </c>
      <c r="G168" s="1"/>
      <c r="H168" s="1"/>
    </row>
    <row r="169" spans="1:8" x14ac:dyDescent="0.25">
      <c r="A169" s="1">
        <v>2020</v>
      </c>
      <c r="B169" s="1" t="s">
        <v>436</v>
      </c>
      <c r="C169" s="1" t="s">
        <v>151</v>
      </c>
      <c r="D169" s="1" t="s">
        <v>165</v>
      </c>
      <c r="E169" s="5">
        <v>0.61031491861637843</v>
      </c>
      <c r="F169" s="1" t="s">
        <v>437</v>
      </c>
      <c r="G169" s="1"/>
      <c r="H169" s="1"/>
    </row>
    <row r="170" spans="1:8" x14ac:dyDescent="0.25">
      <c r="A170" s="1">
        <v>2020</v>
      </c>
      <c r="B170" s="1" t="s">
        <v>436</v>
      </c>
      <c r="C170" s="1" t="s">
        <v>151</v>
      </c>
      <c r="D170" s="1" t="s">
        <v>172</v>
      </c>
      <c r="E170" s="5">
        <v>0.49944204348617283</v>
      </c>
      <c r="F170" s="1" t="s">
        <v>437</v>
      </c>
      <c r="G170" s="1"/>
      <c r="H170" s="1"/>
    </row>
    <row r="171" spans="1:8" x14ac:dyDescent="0.25">
      <c r="A171" s="1">
        <v>2020</v>
      </c>
      <c r="B171" s="1" t="s">
        <v>436</v>
      </c>
      <c r="C171" s="1" t="s">
        <v>151</v>
      </c>
      <c r="D171" s="1" t="s">
        <v>177</v>
      </c>
      <c r="E171" s="5">
        <v>0.55392088872786138</v>
      </c>
      <c r="F171" s="1" t="s">
        <v>437</v>
      </c>
      <c r="G171" s="1"/>
      <c r="H171" s="1"/>
    </row>
    <row r="172" spans="1:8" x14ac:dyDescent="0.25">
      <c r="A172" s="1">
        <v>2020</v>
      </c>
      <c r="B172" s="1" t="s">
        <v>436</v>
      </c>
      <c r="C172" s="1" t="s">
        <v>182</v>
      </c>
      <c r="D172" s="1" t="s">
        <v>183</v>
      </c>
      <c r="E172" s="5">
        <v>1171.7135443582608</v>
      </c>
      <c r="F172" s="1" t="s">
        <v>437</v>
      </c>
      <c r="G172" s="1"/>
      <c r="H172" s="1"/>
    </row>
    <row r="173" spans="1:8" x14ac:dyDescent="0.25">
      <c r="A173" s="1">
        <v>2020</v>
      </c>
      <c r="B173" s="1" t="s">
        <v>436</v>
      </c>
      <c r="C173" s="1" t="s">
        <v>182</v>
      </c>
      <c r="D173" s="1" t="s">
        <v>192</v>
      </c>
      <c r="E173" s="5">
        <v>0.25221274244667352</v>
      </c>
      <c r="F173" s="1" t="s">
        <v>437</v>
      </c>
      <c r="G173" s="1"/>
      <c r="H173" s="1"/>
    </row>
    <row r="174" spans="1:8" x14ac:dyDescent="0.25">
      <c r="A174" s="1">
        <v>2020</v>
      </c>
      <c r="B174" s="1" t="s">
        <v>436</v>
      </c>
      <c r="C174" s="1" t="s">
        <v>182</v>
      </c>
      <c r="D174" s="1" t="s">
        <v>198</v>
      </c>
      <c r="E174" s="5">
        <v>0.23713042044836244</v>
      </c>
      <c r="F174" s="1" t="s">
        <v>437</v>
      </c>
      <c r="G174" s="1"/>
      <c r="H174" s="1"/>
    </row>
    <row r="175" spans="1:8" x14ac:dyDescent="0.25">
      <c r="A175" s="1">
        <v>2020</v>
      </c>
      <c r="B175" s="1" t="s">
        <v>436</v>
      </c>
      <c r="C175" s="1" t="s">
        <v>182</v>
      </c>
      <c r="D175" s="1" t="s">
        <v>204</v>
      </c>
      <c r="E175" s="5">
        <v>134.09215326625181</v>
      </c>
      <c r="F175" s="1" t="s">
        <v>437</v>
      </c>
      <c r="G175" s="1"/>
      <c r="H175" s="1"/>
    </row>
    <row r="176" spans="1:8" x14ac:dyDescent="0.25">
      <c r="A176" s="1">
        <v>2020</v>
      </c>
      <c r="B176" s="1" t="s">
        <v>436</v>
      </c>
      <c r="C176" s="1" t="s">
        <v>182</v>
      </c>
      <c r="D176" s="1" t="s">
        <v>212</v>
      </c>
      <c r="E176" s="5">
        <v>2.8863496439638651E-2</v>
      </c>
      <c r="F176" s="1" t="s">
        <v>437</v>
      </c>
      <c r="G176" s="1"/>
      <c r="H176" s="1"/>
    </row>
    <row r="177" spans="1:8" x14ac:dyDescent="0.25">
      <c r="A177" s="1">
        <v>2020</v>
      </c>
      <c r="B177" s="1" t="s">
        <v>436</v>
      </c>
      <c r="C177" s="1" t="s">
        <v>182</v>
      </c>
      <c r="D177" s="1" t="s">
        <v>218</v>
      </c>
      <c r="E177" s="5">
        <v>2.7137459352548257E-2</v>
      </c>
      <c r="F177" s="1" t="s">
        <v>437</v>
      </c>
      <c r="G177" s="1"/>
      <c r="H177" s="1"/>
    </row>
    <row r="178" spans="1:8" x14ac:dyDescent="0.25">
      <c r="A178" s="1">
        <v>2020</v>
      </c>
      <c r="B178" s="1" t="s">
        <v>436</v>
      </c>
      <c r="C178" s="1" t="s">
        <v>182</v>
      </c>
      <c r="D178" s="1" t="s">
        <v>223</v>
      </c>
      <c r="E178" s="5"/>
      <c r="F178" s="1" t="s">
        <v>438</v>
      </c>
      <c r="G178" s="1" t="s">
        <v>441</v>
      </c>
      <c r="H178" s="1"/>
    </row>
    <row r="179" spans="1:8" x14ac:dyDescent="0.25">
      <c r="A179" s="1">
        <v>2020</v>
      </c>
      <c r="B179" s="1" t="s">
        <v>436</v>
      </c>
      <c r="C179" s="1" t="s">
        <v>182</v>
      </c>
      <c r="D179" s="1" t="s">
        <v>232</v>
      </c>
      <c r="E179" s="5">
        <v>0.84921763869132294</v>
      </c>
      <c r="F179" s="1" t="s">
        <v>437</v>
      </c>
      <c r="G179" s="1"/>
      <c r="H179" s="1"/>
    </row>
    <row r="180" spans="1:8" x14ac:dyDescent="0.25">
      <c r="A180" s="1">
        <v>2020</v>
      </c>
      <c r="B180" s="1" t="s">
        <v>436</v>
      </c>
      <c r="C180" s="1" t="s">
        <v>238</v>
      </c>
      <c r="D180" s="1" t="s">
        <v>239</v>
      </c>
      <c r="E180" s="5">
        <v>431.36817740029494</v>
      </c>
      <c r="F180" s="1" t="s">
        <v>437</v>
      </c>
      <c r="G180" s="1"/>
      <c r="H180" s="1"/>
    </row>
    <row r="181" spans="1:8" x14ac:dyDescent="0.25">
      <c r="A181" s="1">
        <v>2020</v>
      </c>
      <c r="B181" s="1" t="s">
        <v>436</v>
      </c>
      <c r="C181" s="1" t="s">
        <v>238</v>
      </c>
      <c r="D181" s="1" t="s">
        <v>246</v>
      </c>
      <c r="E181" s="5">
        <v>0.36246288771104057</v>
      </c>
      <c r="F181" s="1" t="s">
        <v>437</v>
      </c>
      <c r="G181" s="1"/>
      <c r="H181" s="1"/>
    </row>
    <row r="182" spans="1:8" x14ac:dyDescent="0.25">
      <c r="A182" s="1">
        <v>2020</v>
      </c>
      <c r="B182" s="1" t="s">
        <v>436</v>
      </c>
      <c r="C182" s="1" t="s">
        <v>238</v>
      </c>
      <c r="D182" s="1" t="s">
        <v>251</v>
      </c>
      <c r="E182" s="5">
        <v>0.7413715574087123</v>
      </c>
      <c r="F182" s="1" t="s">
        <v>437</v>
      </c>
      <c r="G182" s="1"/>
      <c r="H182" s="1"/>
    </row>
    <row r="183" spans="1:8" x14ac:dyDescent="0.25">
      <c r="A183" s="1">
        <v>2020</v>
      </c>
      <c r="B183" s="1" t="s">
        <v>436</v>
      </c>
      <c r="C183" s="1" t="s">
        <v>238</v>
      </c>
      <c r="D183" s="1" t="s">
        <v>256</v>
      </c>
      <c r="E183" s="5">
        <v>1.0122146914819721</v>
      </c>
      <c r="F183" s="1" t="s">
        <v>437</v>
      </c>
      <c r="G183" s="1"/>
      <c r="H183" s="1"/>
    </row>
    <row r="184" spans="1:8" x14ac:dyDescent="0.25">
      <c r="A184" s="1">
        <v>2020</v>
      </c>
      <c r="B184" s="1" t="s">
        <v>436</v>
      </c>
      <c r="C184" s="1" t="s">
        <v>238</v>
      </c>
      <c r="D184" s="1" t="s">
        <v>264</v>
      </c>
      <c r="E184" s="5">
        <v>0.55994262540535855</v>
      </c>
      <c r="F184" s="1" t="s">
        <v>437</v>
      </c>
      <c r="G184" s="1"/>
      <c r="H184" s="1"/>
    </row>
    <row r="185" spans="1:8" x14ac:dyDescent="0.25">
      <c r="A185" s="1">
        <v>2020</v>
      </c>
      <c r="B185" s="1" t="s">
        <v>436</v>
      </c>
      <c r="C185" s="1" t="s">
        <v>238</v>
      </c>
      <c r="D185" s="1" t="s">
        <v>269</v>
      </c>
      <c r="E185" s="5">
        <v>0.54353886211674873</v>
      </c>
      <c r="F185" s="1" t="s">
        <v>437</v>
      </c>
      <c r="G185" s="1"/>
      <c r="H185" s="1"/>
    </row>
    <row r="186" spans="1:8" x14ac:dyDescent="0.25">
      <c r="A186" s="1">
        <v>2020</v>
      </c>
      <c r="B186" s="1" t="s">
        <v>436</v>
      </c>
      <c r="C186" s="1" t="s">
        <v>238</v>
      </c>
      <c r="D186" s="1" t="s">
        <v>275</v>
      </c>
      <c r="E186" s="5">
        <v>0.1871527537435988</v>
      </c>
      <c r="F186" s="1" t="s">
        <v>437</v>
      </c>
      <c r="G186" s="1"/>
      <c r="H186" s="1"/>
    </row>
    <row r="187" spans="1:8" x14ac:dyDescent="0.25">
      <c r="A187" s="1">
        <v>2020</v>
      </c>
      <c r="B187" s="1" t="s">
        <v>436</v>
      </c>
      <c r="C187" s="1" t="s">
        <v>238</v>
      </c>
      <c r="D187" s="1" t="s">
        <v>280</v>
      </c>
      <c r="E187" s="5">
        <v>83.676408426611275</v>
      </c>
      <c r="F187" s="1" t="s">
        <v>437</v>
      </c>
      <c r="G187" s="1"/>
      <c r="H187" s="1"/>
    </row>
    <row r="188" spans="1:8" x14ac:dyDescent="0.25">
      <c r="A188" s="1">
        <v>2020</v>
      </c>
      <c r="B188" s="1" t="s">
        <v>436</v>
      </c>
      <c r="C188" s="1" t="s">
        <v>238</v>
      </c>
      <c r="D188" s="1" t="s">
        <v>287</v>
      </c>
      <c r="E188" s="5">
        <v>0.41686880937942189</v>
      </c>
      <c r="F188" s="1" t="s">
        <v>437</v>
      </c>
      <c r="G188" s="1" t="s">
        <v>442</v>
      </c>
      <c r="H188" s="1"/>
    </row>
    <row r="189" spans="1:8" x14ac:dyDescent="0.25">
      <c r="A189" s="1">
        <v>2020</v>
      </c>
      <c r="B189" s="1" t="s">
        <v>436</v>
      </c>
      <c r="C189" s="1" t="s">
        <v>238</v>
      </c>
      <c r="D189" s="1" t="s">
        <v>294</v>
      </c>
      <c r="E189" s="5">
        <v>0.94883683706907995</v>
      </c>
      <c r="F189" s="1" t="s">
        <v>437</v>
      </c>
      <c r="G189" s="1"/>
      <c r="H189" s="1"/>
    </row>
    <row r="190" spans="1:8" x14ac:dyDescent="0.25">
      <c r="A190" s="1">
        <v>2020</v>
      </c>
      <c r="B190" s="1" t="s">
        <v>436</v>
      </c>
      <c r="C190" s="1" t="s">
        <v>299</v>
      </c>
      <c r="D190" s="1" t="s">
        <v>300</v>
      </c>
      <c r="E190" s="5"/>
      <c r="F190" s="1" t="s">
        <v>438</v>
      </c>
      <c r="G190" s="1" t="s">
        <v>443</v>
      </c>
      <c r="H190" s="1"/>
    </row>
    <row r="191" spans="1:8" x14ac:dyDescent="0.25">
      <c r="A191" s="1">
        <v>2020</v>
      </c>
      <c r="B191" s="1" t="s">
        <v>436</v>
      </c>
      <c r="C191" s="1" t="s">
        <v>299</v>
      </c>
      <c r="D191" s="1" t="s">
        <v>309</v>
      </c>
      <c r="E191" s="5"/>
      <c r="F191" s="1" t="s">
        <v>438</v>
      </c>
      <c r="G191" s="1" t="s">
        <v>443</v>
      </c>
      <c r="H191" s="1"/>
    </row>
    <row r="192" spans="1:8" x14ac:dyDescent="0.25">
      <c r="A192" s="1">
        <v>2020</v>
      </c>
      <c r="B192" s="1" t="s">
        <v>436</v>
      </c>
      <c r="C192" s="1" t="s">
        <v>299</v>
      </c>
      <c r="D192" s="1" t="s">
        <v>315</v>
      </c>
      <c r="E192" s="5"/>
      <c r="F192" s="1" t="s">
        <v>438</v>
      </c>
      <c r="G192" s="1" t="s">
        <v>443</v>
      </c>
      <c r="H192" s="1"/>
    </row>
    <row r="193" spans="1:8" x14ac:dyDescent="0.25">
      <c r="A193" s="1">
        <v>2020</v>
      </c>
      <c r="B193" s="1" t="s">
        <v>436</v>
      </c>
      <c r="C193" s="1" t="s">
        <v>299</v>
      </c>
      <c r="D193" s="1" t="s">
        <v>321</v>
      </c>
      <c r="E193" s="5"/>
      <c r="F193" s="1" t="s">
        <v>438</v>
      </c>
      <c r="G193" s="1" t="s">
        <v>443</v>
      </c>
      <c r="H193" s="1"/>
    </row>
    <row r="194" spans="1:8" x14ac:dyDescent="0.25">
      <c r="A194" s="1">
        <v>2021</v>
      </c>
      <c r="B194" s="1" t="s">
        <v>444</v>
      </c>
      <c r="C194" s="1" t="s">
        <v>68</v>
      </c>
      <c r="D194" s="1" t="s">
        <v>69</v>
      </c>
      <c r="E194" s="5">
        <v>0.91666666666666663</v>
      </c>
      <c r="F194" s="1" t="s">
        <v>437</v>
      </c>
      <c r="G194" s="1"/>
      <c r="H194" s="1"/>
    </row>
    <row r="195" spans="1:8" x14ac:dyDescent="0.25">
      <c r="A195" s="1">
        <v>2021</v>
      </c>
      <c r="B195" s="1" t="s">
        <v>444</v>
      </c>
      <c r="C195" s="1" t="s">
        <v>68</v>
      </c>
      <c r="D195" s="1" t="s">
        <v>81</v>
      </c>
      <c r="E195" s="5">
        <v>0.99999758993955734</v>
      </c>
      <c r="F195" s="1" t="s">
        <v>437</v>
      </c>
      <c r="G195" s="1"/>
      <c r="H195" s="1"/>
    </row>
    <row r="196" spans="1:8" x14ac:dyDescent="0.25">
      <c r="A196" s="1">
        <v>2021</v>
      </c>
      <c r="B196" s="1" t="s">
        <v>444</v>
      </c>
      <c r="C196" s="1" t="s">
        <v>68</v>
      </c>
      <c r="D196" s="1" t="s">
        <v>86</v>
      </c>
      <c r="E196" s="5">
        <v>0</v>
      </c>
      <c r="F196" s="1" t="s">
        <v>437</v>
      </c>
      <c r="G196" s="1"/>
      <c r="H196" s="1"/>
    </row>
    <row r="197" spans="1:8" x14ac:dyDescent="0.25">
      <c r="A197" s="1">
        <v>2021</v>
      </c>
      <c r="B197" s="1" t="s">
        <v>444</v>
      </c>
      <c r="C197" s="1" t="s">
        <v>68</v>
      </c>
      <c r="D197" s="1" t="s">
        <v>95</v>
      </c>
      <c r="E197" s="5"/>
      <c r="F197" s="1" t="s">
        <v>438</v>
      </c>
      <c r="G197" s="1" t="s">
        <v>439</v>
      </c>
      <c r="H197" s="1"/>
    </row>
    <row r="198" spans="1:8" x14ac:dyDescent="0.25">
      <c r="A198" s="1">
        <v>2021</v>
      </c>
      <c r="B198" s="1" t="s">
        <v>444</v>
      </c>
      <c r="C198" s="1" t="s">
        <v>68</v>
      </c>
      <c r="D198" s="1" t="s">
        <v>104</v>
      </c>
      <c r="E198" s="5"/>
      <c r="F198" s="1" t="s">
        <v>438</v>
      </c>
      <c r="G198" s="1" t="s">
        <v>439</v>
      </c>
      <c r="H198" s="1"/>
    </row>
    <row r="199" spans="1:8" x14ac:dyDescent="0.25">
      <c r="A199" s="1">
        <v>2021</v>
      </c>
      <c r="B199" s="1" t="s">
        <v>444</v>
      </c>
      <c r="C199" s="1" t="s">
        <v>68</v>
      </c>
      <c r="D199" s="1" t="s">
        <v>113</v>
      </c>
      <c r="E199" s="5"/>
      <c r="F199" s="1" t="s">
        <v>438</v>
      </c>
      <c r="G199" s="1" t="s">
        <v>439</v>
      </c>
      <c r="H199" s="1"/>
    </row>
    <row r="200" spans="1:8" x14ac:dyDescent="0.25">
      <c r="A200" s="1">
        <v>2021</v>
      </c>
      <c r="B200" s="1" t="s">
        <v>444</v>
      </c>
      <c r="C200" s="1" t="s">
        <v>119</v>
      </c>
      <c r="D200" s="1" t="s">
        <v>120</v>
      </c>
      <c r="E200" s="5">
        <v>1</v>
      </c>
      <c r="F200" s="1" t="s">
        <v>437</v>
      </c>
      <c r="G200" s="1"/>
      <c r="H200" s="1"/>
    </row>
    <row r="201" spans="1:8" x14ac:dyDescent="0.25">
      <c r="A201" s="1">
        <v>2021</v>
      </c>
      <c r="B201" s="1" t="s">
        <v>444</v>
      </c>
      <c r="C201" s="1" t="s">
        <v>119</v>
      </c>
      <c r="D201" s="1" t="s">
        <v>128</v>
      </c>
      <c r="E201" s="5">
        <v>1</v>
      </c>
      <c r="F201" s="1" t="s">
        <v>437</v>
      </c>
      <c r="G201" s="1"/>
      <c r="H201" s="1"/>
    </row>
    <row r="202" spans="1:8" x14ac:dyDescent="0.25">
      <c r="A202" s="1">
        <v>2021</v>
      </c>
      <c r="B202" s="1" t="s">
        <v>444</v>
      </c>
      <c r="C202" s="1" t="s">
        <v>119</v>
      </c>
      <c r="D202" s="1" t="s">
        <v>133</v>
      </c>
      <c r="E202" s="5">
        <v>1</v>
      </c>
      <c r="F202" s="1" t="s">
        <v>437</v>
      </c>
      <c r="G202" s="1"/>
      <c r="H202" s="1"/>
    </row>
    <row r="203" spans="1:8" x14ac:dyDescent="0.25">
      <c r="A203" s="1">
        <v>2021</v>
      </c>
      <c r="B203" s="1" t="s">
        <v>444</v>
      </c>
      <c r="C203" s="1" t="s">
        <v>119</v>
      </c>
      <c r="D203" s="1" t="s">
        <v>139</v>
      </c>
      <c r="E203" s="5">
        <v>1</v>
      </c>
      <c r="F203" s="1" t="s">
        <v>437</v>
      </c>
      <c r="G203" s="1"/>
      <c r="H203" s="1"/>
    </row>
    <row r="204" spans="1:8" x14ac:dyDescent="0.25">
      <c r="A204" s="1">
        <v>2021</v>
      </c>
      <c r="B204" s="1" t="s">
        <v>444</v>
      </c>
      <c r="C204" s="1" t="s">
        <v>119</v>
      </c>
      <c r="D204" s="1" t="s">
        <v>145</v>
      </c>
      <c r="E204" s="5">
        <v>0</v>
      </c>
      <c r="F204" s="1" t="s">
        <v>437</v>
      </c>
      <c r="G204" s="1"/>
      <c r="H204" s="1"/>
    </row>
    <row r="205" spans="1:8" x14ac:dyDescent="0.25">
      <c r="A205" s="1">
        <v>2021</v>
      </c>
      <c r="B205" s="1" t="s">
        <v>444</v>
      </c>
      <c r="C205" s="1" t="s">
        <v>151</v>
      </c>
      <c r="D205" s="1" t="s">
        <v>152</v>
      </c>
      <c r="E205" s="5">
        <v>0.97512106537530263</v>
      </c>
      <c r="F205" s="1" t="s">
        <v>437</v>
      </c>
      <c r="G205" s="1"/>
      <c r="H205" s="1"/>
    </row>
    <row r="206" spans="1:8" x14ac:dyDescent="0.25">
      <c r="A206" s="1">
        <v>2021</v>
      </c>
      <c r="B206" s="1" t="s">
        <v>444</v>
      </c>
      <c r="C206" s="1" t="s">
        <v>151</v>
      </c>
      <c r="D206" s="1" t="s">
        <v>160</v>
      </c>
      <c r="E206" s="5">
        <v>0.96202531645569622</v>
      </c>
      <c r="F206" s="1" t="s">
        <v>437</v>
      </c>
      <c r="G206" s="1"/>
      <c r="H206" s="1"/>
    </row>
    <row r="207" spans="1:8" x14ac:dyDescent="0.25">
      <c r="A207" s="1">
        <v>2021</v>
      </c>
      <c r="B207" s="1" t="s">
        <v>444</v>
      </c>
      <c r="C207" s="1" t="s">
        <v>151</v>
      </c>
      <c r="D207" s="1" t="s">
        <v>165</v>
      </c>
      <c r="E207" s="5">
        <v>0.63629196442602565</v>
      </c>
      <c r="F207" s="1" t="s">
        <v>437</v>
      </c>
      <c r="G207" s="1"/>
      <c r="H207" s="1"/>
    </row>
    <row r="208" spans="1:8" x14ac:dyDescent="0.25">
      <c r="A208" s="1">
        <v>2021</v>
      </c>
      <c r="B208" s="1" t="s">
        <v>444</v>
      </c>
      <c r="C208" s="1" t="s">
        <v>151</v>
      </c>
      <c r="D208" s="1" t="s">
        <v>172</v>
      </c>
      <c r="E208" s="5">
        <v>0.50087192680142212</v>
      </c>
      <c r="F208" s="1" t="s">
        <v>437</v>
      </c>
      <c r="G208" s="1"/>
      <c r="H208" s="1"/>
    </row>
    <row r="209" spans="1:8" x14ac:dyDescent="0.25">
      <c r="A209" s="1">
        <v>2021</v>
      </c>
      <c r="B209" s="1" t="s">
        <v>444</v>
      </c>
      <c r="C209" s="1" t="s">
        <v>151</v>
      </c>
      <c r="D209" s="1" t="s">
        <v>177</v>
      </c>
      <c r="E209" s="5">
        <v>0.55567438180648487</v>
      </c>
      <c r="F209" s="1" t="s">
        <v>437</v>
      </c>
      <c r="G209" s="1"/>
      <c r="H209" s="1"/>
    </row>
    <row r="210" spans="1:8" x14ac:dyDescent="0.25">
      <c r="A210" s="1">
        <v>2021</v>
      </c>
      <c r="B210" s="1" t="s">
        <v>444</v>
      </c>
      <c r="C210" s="1" t="s">
        <v>182</v>
      </c>
      <c r="D210" s="1" t="s">
        <v>183</v>
      </c>
      <c r="E210" s="5">
        <v>1080.7629333221587</v>
      </c>
      <c r="F210" s="1" t="s">
        <v>437</v>
      </c>
      <c r="G210" s="1"/>
      <c r="H210" s="1"/>
    </row>
    <row r="211" spans="1:8" x14ac:dyDescent="0.25">
      <c r="A211" s="1">
        <v>2021</v>
      </c>
      <c r="B211" s="1" t="s">
        <v>444</v>
      </c>
      <c r="C211" s="1" t="s">
        <v>182</v>
      </c>
      <c r="D211" s="1" t="s">
        <v>192</v>
      </c>
      <c r="E211" s="5">
        <v>0.24008390755399256</v>
      </c>
      <c r="F211" s="1" t="s">
        <v>437</v>
      </c>
      <c r="G211" s="1"/>
      <c r="H211" s="1"/>
    </row>
    <row r="212" spans="1:8" x14ac:dyDescent="0.25">
      <c r="A212" s="1">
        <v>2021</v>
      </c>
      <c r="B212" s="1" t="s">
        <v>444</v>
      </c>
      <c r="C212" s="1" t="s">
        <v>182</v>
      </c>
      <c r="D212" s="1" t="s">
        <v>198</v>
      </c>
      <c r="E212" s="5">
        <v>0.2257268898822638</v>
      </c>
      <c r="F212" s="1" t="s">
        <v>437</v>
      </c>
      <c r="G212" s="1"/>
      <c r="H212" s="1"/>
    </row>
    <row r="213" spans="1:8" x14ac:dyDescent="0.25">
      <c r="A213" s="1">
        <v>2021</v>
      </c>
      <c r="B213" s="1" t="s">
        <v>444</v>
      </c>
      <c r="C213" s="1" t="s">
        <v>182</v>
      </c>
      <c r="D213" s="1" t="s">
        <v>204</v>
      </c>
      <c r="E213" s="5">
        <v>126.57948015435585</v>
      </c>
      <c r="F213" s="1" t="s">
        <v>437</v>
      </c>
      <c r="G213" s="1"/>
      <c r="H213" s="1"/>
    </row>
    <row r="214" spans="1:8" x14ac:dyDescent="0.25">
      <c r="A214" s="1">
        <v>2021</v>
      </c>
      <c r="B214" s="1" t="s">
        <v>444</v>
      </c>
      <c r="C214" s="1" t="s">
        <v>182</v>
      </c>
      <c r="D214" s="1" t="s">
        <v>212</v>
      </c>
      <c r="E214" s="5">
        <v>2.8118743967463684E-2</v>
      </c>
      <c r="F214" s="1" t="s">
        <v>437</v>
      </c>
      <c r="G214" s="1"/>
      <c r="H214" s="1"/>
    </row>
    <row r="215" spans="1:8" x14ac:dyDescent="0.25">
      <c r="A215" s="1">
        <v>2021</v>
      </c>
      <c r="B215" s="1" t="s">
        <v>444</v>
      </c>
      <c r="C215" s="1" t="s">
        <v>182</v>
      </c>
      <c r="D215" s="1" t="s">
        <v>218</v>
      </c>
      <c r="E215" s="5">
        <v>2.6437243078209351E-2</v>
      </c>
      <c r="F215" s="1" t="s">
        <v>437</v>
      </c>
      <c r="G215" s="1"/>
      <c r="H215" s="1"/>
    </row>
    <row r="216" spans="1:8" x14ac:dyDescent="0.25">
      <c r="A216" s="1">
        <v>2021</v>
      </c>
      <c r="B216" s="1" t="s">
        <v>444</v>
      </c>
      <c r="C216" s="1" t="s">
        <v>182</v>
      </c>
      <c r="D216" s="1" t="s">
        <v>223</v>
      </c>
      <c r="E216" s="5"/>
      <c r="F216" s="1" t="s">
        <v>438</v>
      </c>
      <c r="G216" s="1" t="s">
        <v>441</v>
      </c>
      <c r="H216" s="1"/>
    </row>
    <row r="217" spans="1:8" x14ac:dyDescent="0.25">
      <c r="A217" s="1">
        <v>2021</v>
      </c>
      <c r="B217" s="1" t="s">
        <v>444</v>
      </c>
      <c r="C217" s="1" t="s">
        <v>182</v>
      </c>
      <c r="D217" s="1" t="s">
        <v>232</v>
      </c>
      <c r="E217" s="5">
        <v>0.70940170940170943</v>
      </c>
      <c r="F217" s="1" t="s">
        <v>437</v>
      </c>
      <c r="G217" s="1"/>
      <c r="H217" s="1"/>
    </row>
    <row r="218" spans="1:8" x14ac:dyDescent="0.25">
      <c r="A218" s="1">
        <v>2021</v>
      </c>
      <c r="B218" s="1" t="s">
        <v>444</v>
      </c>
      <c r="C218" s="1" t="s">
        <v>238</v>
      </c>
      <c r="D218" s="1" t="s">
        <v>239</v>
      </c>
      <c r="E218" s="5">
        <v>481.1503887450632</v>
      </c>
      <c r="F218" s="1" t="s">
        <v>437</v>
      </c>
      <c r="G218" s="1"/>
      <c r="H218" s="1"/>
    </row>
    <row r="219" spans="1:8" x14ac:dyDescent="0.25">
      <c r="A219" s="1">
        <v>2021</v>
      </c>
      <c r="B219" s="1" t="s">
        <v>444</v>
      </c>
      <c r="C219" s="1" t="s">
        <v>238</v>
      </c>
      <c r="D219" s="1" t="s">
        <v>246</v>
      </c>
      <c r="E219" s="5">
        <v>0.3462157559170298</v>
      </c>
      <c r="F219" s="1" t="s">
        <v>437</v>
      </c>
      <c r="G219" s="1"/>
      <c r="H219" s="1"/>
    </row>
    <row r="220" spans="1:8" x14ac:dyDescent="0.25">
      <c r="A220" s="1">
        <v>2021</v>
      </c>
      <c r="B220" s="1" t="s">
        <v>444</v>
      </c>
      <c r="C220" s="1" t="s">
        <v>238</v>
      </c>
      <c r="D220" s="1" t="s">
        <v>251</v>
      </c>
      <c r="E220" s="5">
        <v>0.71324851887558316</v>
      </c>
      <c r="F220" s="1" t="s">
        <v>437</v>
      </c>
      <c r="G220" s="1"/>
      <c r="H220" s="1"/>
    </row>
    <row r="221" spans="1:8" x14ac:dyDescent="0.25">
      <c r="A221" s="1">
        <v>2021</v>
      </c>
      <c r="B221" s="1" t="s">
        <v>444</v>
      </c>
      <c r="C221" s="1" t="s">
        <v>238</v>
      </c>
      <c r="D221" s="1" t="s">
        <v>256</v>
      </c>
      <c r="E221" s="5">
        <v>1.0469067090437436</v>
      </c>
      <c r="F221" s="1" t="s">
        <v>437</v>
      </c>
      <c r="G221" s="1"/>
      <c r="H221" s="1"/>
    </row>
    <row r="222" spans="1:8" x14ac:dyDescent="0.25">
      <c r="A222" s="1">
        <v>2021</v>
      </c>
      <c r="B222" s="1" t="s">
        <v>444</v>
      </c>
      <c r="C222" s="1" t="s">
        <v>238</v>
      </c>
      <c r="D222" s="1" t="s">
        <v>264</v>
      </c>
      <c r="E222" s="5">
        <v>0.55066357946839872</v>
      </c>
      <c r="F222" s="1" t="s">
        <v>437</v>
      </c>
      <c r="G222" s="1"/>
      <c r="H222" s="1"/>
    </row>
    <row r="223" spans="1:8" x14ac:dyDescent="0.25">
      <c r="A223" s="1">
        <v>2021</v>
      </c>
      <c r="B223" s="1" t="s">
        <v>444</v>
      </c>
      <c r="C223" s="1" t="s">
        <v>238</v>
      </c>
      <c r="D223" s="1" t="s">
        <v>269</v>
      </c>
      <c r="E223" s="5">
        <v>0.55486945066359095</v>
      </c>
      <c r="F223" s="1" t="s">
        <v>437</v>
      </c>
      <c r="G223" s="1"/>
      <c r="H223" s="1"/>
    </row>
    <row r="224" spans="1:8" x14ac:dyDescent="0.25">
      <c r="A224" s="1">
        <v>2021</v>
      </c>
      <c r="B224" s="1" t="s">
        <v>444</v>
      </c>
      <c r="C224" s="1" t="s">
        <v>238</v>
      </c>
      <c r="D224" s="1" t="s">
        <v>275</v>
      </c>
      <c r="E224" s="5">
        <v>0.12103906004078691</v>
      </c>
      <c r="F224" s="1" t="s">
        <v>437</v>
      </c>
      <c r="G224" s="1"/>
      <c r="H224" s="1"/>
    </row>
    <row r="225" spans="1:8" x14ac:dyDescent="0.25">
      <c r="A225" s="1">
        <v>2021</v>
      </c>
      <c r="B225" s="1" t="s">
        <v>444</v>
      </c>
      <c r="C225" s="1" t="s">
        <v>238</v>
      </c>
      <c r="D225" s="1" t="s">
        <v>280</v>
      </c>
      <c r="E225" s="5">
        <v>79.319116356552954</v>
      </c>
      <c r="F225" s="1" t="s">
        <v>437</v>
      </c>
      <c r="G225" s="1"/>
      <c r="H225" s="1"/>
    </row>
    <row r="226" spans="1:8" x14ac:dyDescent="0.25">
      <c r="A226" s="1">
        <v>2021</v>
      </c>
      <c r="B226" s="1" t="s">
        <v>444</v>
      </c>
      <c r="C226" s="1" t="s">
        <v>238</v>
      </c>
      <c r="D226" s="1" t="s">
        <v>287</v>
      </c>
      <c r="E226" s="5">
        <v>0.41686880937942189</v>
      </c>
      <c r="F226" s="1" t="s">
        <v>437</v>
      </c>
      <c r="G226" s="1" t="s">
        <v>442</v>
      </c>
      <c r="H226" s="1"/>
    </row>
    <row r="227" spans="1:8" x14ac:dyDescent="0.25">
      <c r="A227" s="1">
        <v>2021</v>
      </c>
      <c r="B227" s="1" t="s">
        <v>444</v>
      </c>
      <c r="C227" s="1" t="s">
        <v>238</v>
      </c>
      <c r="D227" s="1" t="s">
        <v>294</v>
      </c>
      <c r="E227" s="5">
        <v>0.98958161186994997</v>
      </c>
      <c r="F227" s="1" t="s">
        <v>437</v>
      </c>
      <c r="G227" s="1"/>
      <c r="H227" s="1"/>
    </row>
    <row r="228" spans="1:8" x14ac:dyDescent="0.25">
      <c r="A228" s="1">
        <v>2021</v>
      </c>
      <c r="B228" s="1" t="s">
        <v>444</v>
      </c>
      <c r="C228" s="1" t="s">
        <v>299</v>
      </c>
      <c r="D228" s="1" t="s">
        <v>300</v>
      </c>
      <c r="E228" s="5"/>
      <c r="F228" s="1" t="s">
        <v>438</v>
      </c>
      <c r="G228" s="1" t="s">
        <v>443</v>
      </c>
      <c r="H228" s="1"/>
    </row>
    <row r="229" spans="1:8" x14ac:dyDescent="0.25">
      <c r="A229" s="1">
        <v>2021</v>
      </c>
      <c r="B229" s="1" t="s">
        <v>444</v>
      </c>
      <c r="C229" s="1" t="s">
        <v>299</v>
      </c>
      <c r="D229" s="1" t="s">
        <v>309</v>
      </c>
      <c r="E229" s="5"/>
      <c r="F229" s="1" t="s">
        <v>438</v>
      </c>
      <c r="G229" s="1" t="s">
        <v>443</v>
      </c>
      <c r="H229" s="1"/>
    </row>
    <row r="230" spans="1:8" x14ac:dyDescent="0.25">
      <c r="A230" s="1">
        <v>2021</v>
      </c>
      <c r="B230" s="1" t="s">
        <v>444</v>
      </c>
      <c r="C230" s="1" t="s">
        <v>299</v>
      </c>
      <c r="D230" s="1" t="s">
        <v>315</v>
      </c>
      <c r="E230" s="5"/>
      <c r="F230" s="1" t="s">
        <v>438</v>
      </c>
      <c r="G230" s="1" t="s">
        <v>443</v>
      </c>
      <c r="H230" s="1"/>
    </row>
    <row r="231" spans="1:8" x14ac:dyDescent="0.25">
      <c r="A231" s="1">
        <v>2021</v>
      </c>
      <c r="B231" s="1" t="s">
        <v>444</v>
      </c>
      <c r="C231" s="1" t="s">
        <v>299</v>
      </c>
      <c r="D231" s="1" t="s">
        <v>321</v>
      </c>
      <c r="E231" s="5"/>
      <c r="F231" s="1" t="s">
        <v>438</v>
      </c>
      <c r="G231" s="1" t="s">
        <v>443</v>
      </c>
      <c r="H231" s="1"/>
    </row>
    <row r="232" spans="1:8" x14ac:dyDescent="0.25">
      <c r="A232" s="1">
        <v>2022</v>
      </c>
      <c r="B232" s="1" t="s">
        <v>445</v>
      </c>
      <c r="C232" s="1" t="s">
        <v>68</v>
      </c>
      <c r="D232" s="1" t="s">
        <v>69</v>
      </c>
      <c r="E232" s="5">
        <v>0.16666666666666666</v>
      </c>
      <c r="F232" s="1" t="s">
        <v>437</v>
      </c>
      <c r="G232" s="1"/>
      <c r="H232" s="1"/>
    </row>
    <row r="233" spans="1:8" x14ac:dyDescent="0.25">
      <c r="A233" s="1">
        <v>2022</v>
      </c>
      <c r="B233" s="1" t="s">
        <v>445</v>
      </c>
      <c r="C233" s="1" t="s">
        <v>68</v>
      </c>
      <c r="D233" s="1" t="s">
        <v>81</v>
      </c>
      <c r="E233" s="5">
        <v>0.8777645866741588</v>
      </c>
      <c r="F233" s="1" t="s">
        <v>437</v>
      </c>
      <c r="G233" s="1"/>
      <c r="H233" s="1"/>
    </row>
    <row r="234" spans="1:8" x14ac:dyDescent="0.25">
      <c r="A234" s="1">
        <v>2022</v>
      </c>
      <c r="B234" s="1" t="s">
        <v>445</v>
      </c>
      <c r="C234" s="1" t="s">
        <v>68</v>
      </c>
      <c r="D234" s="1" t="s">
        <v>86</v>
      </c>
      <c r="E234" s="5">
        <v>5.5</v>
      </c>
      <c r="F234" s="1" t="s">
        <v>437</v>
      </c>
      <c r="G234" s="1"/>
      <c r="H234" s="1"/>
    </row>
    <row r="235" spans="1:8" x14ac:dyDescent="0.25">
      <c r="A235" s="1">
        <v>2022</v>
      </c>
      <c r="B235" s="1" t="s">
        <v>445</v>
      </c>
      <c r="C235" s="1" t="s">
        <v>68</v>
      </c>
      <c r="D235" s="1" t="s">
        <v>95</v>
      </c>
      <c r="E235" s="5"/>
      <c r="F235" s="1" t="s">
        <v>438</v>
      </c>
      <c r="G235" s="1" t="s">
        <v>439</v>
      </c>
      <c r="H235" s="1"/>
    </row>
    <row r="236" spans="1:8" x14ac:dyDescent="0.25">
      <c r="A236" s="1">
        <v>2022</v>
      </c>
      <c r="B236" s="1" t="s">
        <v>445</v>
      </c>
      <c r="C236" s="1" t="s">
        <v>68</v>
      </c>
      <c r="D236" s="1" t="s">
        <v>104</v>
      </c>
      <c r="E236" s="5"/>
      <c r="F236" s="1" t="s">
        <v>438</v>
      </c>
      <c r="G236" s="1" t="s">
        <v>439</v>
      </c>
      <c r="H236" s="1"/>
    </row>
    <row r="237" spans="1:8" x14ac:dyDescent="0.25">
      <c r="A237" s="1">
        <v>2022</v>
      </c>
      <c r="B237" s="1" t="s">
        <v>445</v>
      </c>
      <c r="C237" s="1" t="s">
        <v>68</v>
      </c>
      <c r="D237" s="1" t="s">
        <v>113</v>
      </c>
      <c r="E237" s="5"/>
      <c r="F237" s="1" t="s">
        <v>438</v>
      </c>
      <c r="G237" s="1" t="s">
        <v>439</v>
      </c>
      <c r="H237" s="1"/>
    </row>
    <row r="238" spans="1:8" x14ac:dyDescent="0.25">
      <c r="A238" s="1">
        <v>2022</v>
      </c>
      <c r="B238" s="1" t="s">
        <v>445</v>
      </c>
      <c r="C238" s="1" t="s">
        <v>119</v>
      </c>
      <c r="D238" s="1" t="s">
        <v>120</v>
      </c>
      <c r="E238" s="5">
        <v>1</v>
      </c>
      <c r="F238" s="1" t="s">
        <v>437</v>
      </c>
      <c r="G238" s="1"/>
      <c r="H238" s="1"/>
    </row>
    <row r="239" spans="1:8" x14ac:dyDescent="0.25">
      <c r="A239" s="1">
        <v>2022</v>
      </c>
      <c r="B239" s="1" t="s">
        <v>445</v>
      </c>
      <c r="C239" s="1" t="s">
        <v>119</v>
      </c>
      <c r="D239" s="1" t="s">
        <v>128</v>
      </c>
      <c r="E239" s="5">
        <v>1</v>
      </c>
      <c r="F239" s="1" t="s">
        <v>437</v>
      </c>
      <c r="G239" s="1"/>
      <c r="H239" s="1"/>
    </row>
    <row r="240" spans="1:8" x14ac:dyDescent="0.25">
      <c r="A240" s="1">
        <v>2022</v>
      </c>
      <c r="B240" s="1" t="s">
        <v>445</v>
      </c>
      <c r="C240" s="1" t="s">
        <v>119</v>
      </c>
      <c r="D240" s="1" t="s">
        <v>133</v>
      </c>
      <c r="E240" s="5">
        <v>1</v>
      </c>
      <c r="F240" s="1" t="s">
        <v>437</v>
      </c>
      <c r="G240" s="1"/>
      <c r="H240" s="1"/>
    </row>
    <row r="241" spans="1:8" x14ac:dyDescent="0.25">
      <c r="A241" s="1">
        <v>2022</v>
      </c>
      <c r="B241" s="1" t="s">
        <v>445</v>
      </c>
      <c r="C241" s="1" t="s">
        <v>119</v>
      </c>
      <c r="D241" s="1" t="s">
        <v>139</v>
      </c>
      <c r="E241" s="5">
        <v>1</v>
      </c>
      <c r="F241" s="1" t="s">
        <v>437</v>
      </c>
      <c r="G241" s="1"/>
      <c r="H241" s="1"/>
    </row>
    <row r="242" spans="1:8" x14ac:dyDescent="0.25">
      <c r="A242" s="1">
        <v>2022</v>
      </c>
      <c r="B242" s="1" t="s">
        <v>445</v>
      </c>
      <c r="C242" s="1" t="s">
        <v>119</v>
      </c>
      <c r="D242" s="1" t="s">
        <v>145</v>
      </c>
      <c r="E242" s="5">
        <v>0</v>
      </c>
      <c r="F242" s="1" t="s">
        <v>437</v>
      </c>
      <c r="G242" s="1"/>
      <c r="H242" s="1"/>
    </row>
    <row r="243" spans="1:8" x14ac:dyDescent="0.25">
      <c r="A243" s="1">
        <v>2022</v>
      </c>
      <c r="B243" s="1" t="s">
        <v>445</v>
      </c>
      <c r="C243" s="1" t="s">
        <v>151</v>
      </c>
      <c r="D243" s="1" t="s">
        <v>152</v>
      </c>
      <c r="E243" s="5">
        <v>0.99161486486486483</v>
      </c>
      <c r="F243" s="1" t="s">
        <v>437</v>
      </c>
      <c r="G243" s="1"/>
      <c r="H243" s="1"/>
    </row>
    <row r="244" spans="1:8" x14ac:dyDescent="0.25">
      <c r="A244" s="1">
        <v>2022</v>
      </c>
      <c r="B244" s="1" t="s">
        <v>445</v>
      </c>
      <c r="C244" s="1" t="s">
        <v>151</v>
      </c>
      <c r="D244" s="1" t="s">
        <v>160</v>
      </c>
      <c r="E244" s="5">
        <v>0.92708333333333337</v>
      </c>
      <c r="F244" s="1" t="s">
        <v>437</v>
      </c>
      <c r="G244" s="1"/>
      <c r="H244" s="1"/>
    </row>
    <row r="245" spans="1:8" x14ac:dyDescent="0.25">
      <c r="A245" s="1">
        <v>2022</v>
      </c>
      <c r="B245" s="1" t="s">
        <v>445</v>
      </c>
      <c r="C245" s="1" t="s">
        <v>151</v>
      </c>
      <c r="D245" s="1" t="s">
        <v>165</v>
      </c>
      <c r="E245" s="5">
        <v>5.8028261146902925E-2</v>
      </c>
      <c r="F245" s="1" t="s">
        <v>437</v>
      </c>
      <c r="G245" s="1"/>
      <c r="H245" s="1"/>
    </row>
    <row r="246" spans="1:8" x14ac:dyDescent="0.25">
      <c r="A246" s="1">
        <v>2022</v>
      </c>
      <c r="B246" s="1" t="s">
        <v>445</v>
      </c>
      <c r="C246" s="1" t="s">
        <v>151</v>
      </c>
      <c r="D246" s="1" t="s">
        <v>172</v>
      </c>
      <c r="E246" s="5">
        <v>0.10650384456983088</v>
      </c>
      <c r="F246" s="1" t="s">
        <v>437</v>
      </c>
      <c r="G246" s="1"/>
      <c r="H246" s="1"/>
    </row>
    <row r="247" spans="1:8" x14ac:dyDescent="0.25">
      <c r="A247" s="1">
        <v>2022</v>
      </c>
      <c r="B247" s="1" t="s">
        <v>445</v>
      </c>
      <c r="C247" s="1" t="s">
        <v>151</v>
      </c>
      <c r="D247" s="1" t="s">
        <v>177</v>
      </c>
      <c r="E247" s="5">
        <v>0.27403071283385083</v>
      </c>
      <c r="F247" s="1" t="s">
        <v>437</v>
      </c>
      <c r="G247" s="1"/>
      <c r="H247" s="1"/>
    </row>
    <row r="248" spans="1:8" x14ac:dyDescent="0.25">
      <c r="A248" s="1">
        <v>2022</v>
      </c>
      <c r="B248" s="1" t="s">
        <v>445</v>
      </c>
      <c r="C248" s="1" t="s">
        <v>182</v>
      </c>
      <c r="D248" s="1" t="s">
        <v>183</v>
      </c>
      <c r="E248" s="5">
        <v>1062.6300992946042</v>
      </c>
      <c r="F248" s="1" t="s">
        <v>437</v>
      </c>
      <c r="G248" s="1"/>
      <c r="H248" s="1"/>
    </row>
    <row r="249" spans="1:8" x14ac:dyDescent="0.25">
      <c r="A249" s="1">
        <v>2022</v>
      </c>
      <c r="B249" s="1" t="s">
        <v>445</v>
      </c>
      <c r="C249" s="1" t="s">
        <v>182</v>
      </c>
      <c r="D249" s="1" t="s">
        <v>192</v>
      </c>
      <c r="E249" s="5">
        <v>0.2392316466750761</v>
      </c>
      <c r="F249" s="1" t="s">
        <v>437</v>
      </c>
      <c r="G249" s="1"/>
      <c r="H249" s="1"/>
    </row>
    <row r="250" spans="1:8" x14ac:dyDescent="0.25">
      <c r="A250" s="1">
        <v>2022</v>
      </c>
      <c r="B250" s="1" t="s">
        <v>445</v>
      </c>
      <c r="C250" s="1" t="s">
        <v>182</v>
      </c>
      <c r="D250" s="1" t="s">
        <v>198</v>
      </c>
      <c r="E250" s="5">
        <v>0.22492559420390654</v>
      </c>
      <c r="F250" s="1" t="s">
        <v>437</v>
      </c>
      <c r="G250" s="1"/>
      <c r="H250" s="1"/>
    </row>
    <row r="251" spans="1:8" x14ac:dyDescent="0.25">
      <c r="A251" s="1">
        <v>2022</v>
      </c>
      <c r="B251" s="1" t="s">
        <v>445</v>
      </c>
      <c r="C251" s="1" t="s">
        <v>182</v>
      </c>
      <c r="D251" s="1" t="s">
        <v>204</v>
      </c>
      <c r="E251" s="5">
        <v>77.248966977154453</v>
      </c>
      <c r="F251" s="1" t="s">
        <v>437</v>
      </c>
      <c r="G251" s="1"/>
      <c r="H251" s="1"/>
    </row>
    <row r="252" spans="1:8" x14ac:dyDescent="0.25">
      <c r="A252" s="1">
        <v>2022</v>
      </c>
      <c r="B252" s="1" t="s">
        <v>445</v>
      </c>
      <c r="C252" s="1" t="s">
        <v>182</v>
      </c>
      <c r="D252" s="1" t="s">
        <v>212</v>
      </c>
      <c r="E252" s="5">
        <v>1.7391185875650333E-2</v>
      </c>
      <c r="F252" s="1" t="s">
        <v>437</v>
      </c>
      <c r="G252" s="1"/>
      <c r="H252" s="1"/>
    </row>
    <row r="253" spans="1:8" x14ac:dyDescent="0.25">
      <c r="A253" s="1">
        <v>2022</v>
      </c>
      <c r="B253" s="1" t="s">
        <v>445</v>
      </c>
      <c r="C253" s="1" t="s">
        <v>182</v>
      </c>
      <c r="D253" s="1" t="s">
        <v>218</v>
      </c>
      <c r="E253" s="5">
        <v>1.6351192960286445E-2</v>
      </c>
      <c r="F253" s="1" t="s">
        <v>437</v>
      </c>
      <c r="G253" s="1"/>
      <c r="H253" s="1"/>
    </row>
    <row r="254" spans="1:8" x14ac:dyDescent="0.25">
      <c r="A254" s="1">
        <v>2022</v>
      </c>
      <c r="B254" s="1" t="s">
        <v>445</v>
      </c>
      <c r="C254" s="1" t="s">
        <v>182</v>
      </c>
      <c r="D254" s="1" t="s">
        <v>223</v>
      </c>
      <c r="E254" s="5"/>
      <c r="F254" s="1" t="s">
        <v>438</v>
      </c>
      <c r="G254" s="1" t="s">
        <v>441</v>
      </c>
      <c r="H254" s="1"/>
    </row>
    <row r="255" spans="1:8" x14ac:dyDescent="0.25">
      <c r="A255" s="1">
        <v>2022</v>
      </c>
      <c r="B255" s="1" t="s">
        <v>445</v>
      </c>
      <c r="C255" s="1" t="s">
        <v>182</v>
      </c>
      <c r="D255" s="1" t="s">
        <v>232</v>
      </c>
      <c r="E255" s="5">
        <v>0.54761904761904767</v>
      </c>
      <c r="F255" s="1" t="s">
        <v>437</v>
      </c>
      <c r="G255" s="1"/>
      <c r="H255" s="1"/>
    </row>
    <row r="256" spans="1:8" x14ac:dyDescent="0.25">
      <c r="A256" s="1">
        <v>2022</v>
      </c>
      <c r="B256" s="1" t="s">
        <v>445</v>
      </c>
      <c r="C256" s="1" t="s">
        <v>238</v>
      </c>
      <c r="D256" s="1" t="s">
        <v>239</v>
      </c>
      <c r="E256" s="5">
        <v>479.99876616816738</v>
      </c>
      <c r="F256" s="1" t="s">
        <v>437</v>
      </c>
      <c r="G256" s="1"/>
      <c r="H256" s="1"/>
    </row>
    <row r="257" spans="1:8" x14ac:dyDescent="0.25">
      <c r="A257" s="1">
        <v>2022</v>
      </c>
      <c r="B257" s="1" t="s">
        <v>445</v>
      </c>
      <c r="C257" s="1" t="s">
        <v>238</v>
      </c>
      <c r="D257" s="1" t="s">
        <v>246</v>
      </c>
      <c r="E257" s="5">
        <v>0.34887856833892966</v>
      </c>
      <c r="F257" s="1" t="s">
        <v>437</v>
      </c>
      <c r="G257" s="1"/>
      <c r="H257" s="1"/>
    </row>
    <row r="258" spans="1:8" x14ac:dyDescent="0.25">
      <c r="A258" s="1">
        <v>2022</v>
      </c>
      <c r="B258" s="1" t="s">
        <v>445</v>
      </c>
      <c r="C258" s="1" t="s">
        <v>238</v>
      </c>
      <c r="D258" s="1" t="s">
        <v>251</v>
      </c>
      <c r="E258" s="5">
        <v>0.71248078470569154</v>
      </c>
      <c r="F258" s="1" t="s">
        <v>437</v>
      </c>
      <c r="G258" s="1"/>
      <c r="H258" s="1"/>
    </row>
    <row r="259" spans="1:8" x14ac:dyDescent="0.25">
      <c r="A259" s="1">
        <v>2022</v>
      </c>
      <c r="B259" s="1" t="s">
        <v>445</v>
      </c>
      <c r="C259" s="1" t="s">
        <v>238</v>
      </c>
      <c r="D259" s="1" t="s">
        <v>256</v>
      </c>
      <c r="E259" s="5">
        <v>1.0277026320428202</v>
      </c>
      <c r="F259" s="1" t="s">
        <v>437</v>
      </c>
      <c r="G259" s="1"/>
      <c r="H259" s="1"/>
    </row>
    <row r="260" spans="1:8" x14ac:dyDescent="0.25">
      <c r="A260" s="1">
        <v>2022</v>
      </c>
      <c r="B260" s="1" t="s">
        <v>445</v>
      </c>
      <c r="C260" s="1" t="s">
        <v>238</v>
      </c>
      <c r="D260" s="1" t="s">
        <v>264</v>
      </c>
      <c r="E260" s="5">
        <v>0.56843095635134788</v>
      </c>
      <c r="F260" s="1" t="s">
        <v>437</v>
      </c>
      <c r="G260" s="1"/>
      <c r="H260" s="1"/>
    </row>
    <row r="261" spans="1:8" x14ac:dyDescent="0.25">
      <c r="A261" s="1">
        <v>2022</v>
      </c>
      <c r="B261" s="1" t="s">
        <v>445</v>
      </c>
      <c r="C261" s="1" t="s">
        <v>238</v>
      </c>
      <c r="D261" s="1" t="s">
        <v>269</v>
      </c>
      <c r="E261" s="5">
        <v>0.54461098528685847</v>
      </c>
      <c r="F261" s="1" t="s">
        <v>437</v>
      </c>
      <c r="G261" s="1"/>
      <c r="H261" s="1"/>
    </row>
    <row r="262" spans="1:8" x14ac:dyDescent="0.25">
      <c r="A262" s="1">
        <v>2022</v>
      </c>
      <c r="B262" s="1" t="s">
        <v>445</v>
      </c>
      <c r="C262" s="1" t="s">
        <v>238</v>
      </c>
      <c r="D262" s="1" t="s">
        <v>275</v>
      </c>
      <c r="E262" s="5">
        <v>0.17976295133803533</v>
      </c>
      <c r="F262" s="1" t="s">
        <v>437</v>
      </c>
      <c r="G262" s="1"/>
      <c r="H262" s="1"/>
    </row>
    <row r="263" spans="1:8" x14ac:dyDescent="0.25">
      <c r="A263" s="1">
        <v>2022</v>
      </c>
      <c r="B263" s="1" t="s">
        <v>445</v>
      </c>
      <c r="C263" s="1" t="s">
        <v>238</v>
      </c>
      <c r="D263" s="1" t="s">
        <v>280</v>
      </c>
      <c r="E263" s="5">
        <v>76.014548182493527</v>
      </c>
      <c r="F263" s="1" t="s">
        <v>437</v>
      </c>
      <c r="G263" s="1"/>
      <c r="H263" s="1"/>
    </row>
    <row r="264" spans="1:8" x14ac:dyDescent="0.25">
      <c r="A264" s="1">
        <v>2022</v>
      </c>
      <c r="B264" s="1" t="s">
        <v>445</v>
      </c>
      <c r="C264" s="1" t="s">
        <v>238</v>
      </c>
      <c r="D264" s="1" t="s">
        <v>287</v>
      </c>
      <c r="E264" s="5">
        <v>0.41686880937942189</v>
      </c>
      <c r="F264" s="1" t="s">
        <v>437</v>
      </c>
      <c r="G264" s="1" t="s">
        <v>442</v>
      </c>
      <c r="H264" s="1"/>
    </row>
    <row r="265" spans="1:8" x14ac:dyDescent="0.25">
      <c r="A265" s="1">
        <v>2022</v>
      </c>
      <c r="B265" s="1" t="s">
        <v>445</v>
      </c>
      <c r="C265" s="1" t="s">
        <v>238</v>
      </c>
      <c r="D265" s="1" t="s">
        <v>294</v>
      </c>
      <c r="E265" s="5">
        <v>1</v>
      </c>
      <c r="F265" s="1" t="s">
        <v>437</v>
      </c>
      <c r="G265" s="1"/>
      <c r="H265" s="1"/>
    </row>
    <row r="266" spans="1:8" x14ac:dyDescent="0.25">
      <c r="A266" s="1">
        <v>2022</v>
      </c>
      <c r="B266" s="1" t="s">
        <v>445</v>
      </c>
      <c r="C266" s="1" t="s">
        <v>299</v>
      </c>
      <c r="D266" s="1" t="s">
        <v>300</v>
      </c>
      <c r="E266" s="5"/>
      <c r="F266" s="1" t="s">
        <v>438</v>
      </c>
      <c r="G266" s="1" t="s">
        <v>443</v>
      </c>
      <c r="H266" s="1"/>
    </row>
    <row r="267" spans="1:8" x14ac:dyDescent="0.25">
      <c r="A267" s="1">
        <v>2022</v>
      </c>
      <c r="B267" s="1" t="s">
        <v>445</v>
      </c>
      <c r="C267" s="1" t="s">
        <v>299</v>
      </c>
      <c r="D267" s="1" t="s">
        <v>309</v>
      </c>
      <c r="E267" s="5"/>
      <c r="F267" s="1" t="s">
        <v>438</v>
      </c>
      <c r="G267" s="1" t="s">
        <v>443</v>
      </c>
      <c r="H267" s="1"/>
    </row>
    <row r="268" spans="1:8" x14ac:dyDescent="0.25">
      <c r="A268" s="1">
        <v>2022</v>
      </c>
      <c r="B268" s="1" t="s">
        <v>445</v>
      </c>
      <c r="C268" s="1" t="s">
        <v>299</v>
      </c>
      <c r="D268" s="1" t="s">
        <v>315</v>
      </c>
      <c r="E268" s="5"/>
      <c r="F268" s="1" t="s">
        <v>438</v>
      </c>
      <c r="G268" s="1" t="s">
        <v>443</v>
      </c>
      <c r="H268" s="1"/>
    </row>
    <row r="269" spans="1:8" x14ac:dyDescent="0.25">
      <c r="A269" s="1">
        <v>2022</v>
      </c>
      <c r="B269" s="1" t="s">
        <v>445</v>
      </c>
      <c r="C269" s="1" t="s">
        <v>299</v>
      </c>
      <c r="D269" s="1" t="s">
        <v>321</v>
      </c>
      <c r="E269" s="5"/>
      <c r="F269" s="1" t="s">
        <v>438</v>
      </c>
      <c r="G269" s="1" t="s">
        <v>443</v>
      </c>
      <c r="H269" s="1"/>
    </row>
    <row r="270" spans="1:8" x14ac:dyDescent="0.25">
      <c r="A270" s="1">
        <v>2023</v>
      </c>
      <c r="B270" s="1" t="s">
        <v>445</v>
      </c>
      <c r="C270" s="1" t="s">
        <v>68</v>
      </c>
      <c r="D270" s="1" t="s">
        <v>69</v>
      </c>
      <c r="E270" s="5">
        <v>0.41666666666666669</v>
      </c>
      <c r="F270" s="1" t="s">
        <v>437</v>
      </c>
      <c r="G270" s="1"/>
      <c r="H270" s="1"/>
    </row>
    <row r="271" spans="1:8" x14ac:dyDescent="0.25">
      <c r="A271" s="1">
        <v>2023</v>
      </c>
      <c r="B271" s="1" t="s">
        <v>445</v>
      </c>
      <c r="C271" s="1" t="s">
        <v>68</v>
      </c>
      <c r="D271" s="1" t="s">
        <v>81</v>
      </c>
      <c r="E271" s="5">
        <v>0.3477801678595499</v>
      </c>
      <c r="F271" s="1" t="s">
        <v>437</v>
      </c>
      <c r="G271" s="1"/>
      <c r="H271" s="1"/>
    </row>
    <row r="272" spans="1:8" x14ac:dyDescent="0.25">
      <c r="A272" s="1">
        <v>2023</v>
      </c>
      <c r="B272" s="1" t="s">
        <v>445</v>
      </c>
      <c r="C272" s="1" t="s">
        <v>68</v>
      </c>
      <c r="D272" s="1" t="s">
        <v>86</v>
      </c>
      <c r="E272" s="5">
        <v>7</v>
      </c>
      <c r="F272" s="1" t="s">
        <v>437</v>
      </c>
      <c r="G272" s="1"/>
      <c r="H272" s="1"/>
    </row>
    <row r="273" spans="1:8" x14ac:dyDescent="0.25">
      <c r="A273" s="1">
        <v>2023</v>
      </c>
      <c r="B273" s="1" t="s">
        <v>445</v>
      </c>
      <c r="C273" s="1" t="s">
        <v>68</v>
      </c>
      <c r="D273" s="1" t="s">
        <v>95</v>
      </c>
      <c r="E273" s="5"/>
      <c r="F273" s="1" t="s">
        <v>438</v>
      </c>
      <c r="G273" s="1" t="s">
        <v>439</v>
      </c>
      <c r="H273" s="1"/>
    </row>
    <row r="274" spans="1:8" x14ac:dyDescent="0.25">
      <c r="A274" s="1">
        <v>2023</v>
      </c>
      <c r="B274" s="1" t="s">
        <v>445</v>
      </c>
      <c r="C274" s="1" t="s">
        <v>68</v>
      </c>
      <c r="D274" s="1" t="s">
        <v>104</v>
      </c>
      <c r="E274" s="5"/>
      <c r="F274" s="1" t="s">
        <v>438</v>
      </c>
      <c r="G274" s="1" t="s">
        <v>439</v>
      </c>
      <c r="H274" s="1"/>
    </row>
    <row r="275" spans="1:8" x14ac:dyDescent="0.25">
      <c r="A275" s="1">
        <v>2023</v>
      </c>
      <c r="B275" s="1" t="s">
        <v>445</v>
      </c>
      <c r="C275" s="1" t="s">
        <v>68</v>
      </c>
      <c r="D275" s="1" t="s">
        <v>113</v>
      </c>
      <c r="E275" s="5"/>
      <c r="F275" s="1" t="s">
        <v>438</v>
      </c>
      <c r="G275" s="1" t="s">
        <v>439</v>
      </c>
      <c r="H275" s="1"/>
    </row>
    <row r="276" spans="1:8" x14ac:dyDescent="0.25">
      <c r="A276" s="1">
        <v>2023</v>
      </c>
      <c r="B276" s="1" t="s">
        <v>445</v>
      </c>
      <c r="C276" s="1" t="s">
        <v>119</v>
      </c>
      <c r="D276" s="1" t="s">
        <v>120</v>
      </c>
      <c r="E276" s="5">
        <v>0.9375</v>
      </c>
      <c r="F276" s="1" t="s">
        <v>437</v>
      </c>
      <c r="G276" s="1"/>
      <c r="H276" s="1"/>
    </row>
    <row r="277" spans="1:8" x14ac:dyDescent="0.25">
      <c r="A277" s="1">
        <v>2023</v>
      </c>
      <c r="B277" s="1" t="s">
        <v>445</v>
      </c>
      <c r="C277" s="1" t="s">
        <v>119</v>
      </c>
      <c r="D277" s="1" t="s">
        <v>128</v>
      </c>
      <c r="E277" s="5">
        <v>0.92482710094008835</v>
      </c>
      <c r="F277" s="1" t="s">
        <v>437</v>
      </c>
      <c r="G277" s="1"/>
      <c r="H277" s="1"/>
    </row>
    <row r="278" spans="1:8" x14ac:dyDescent="0.25">
      <c r="A278" s="1">
        <v>2023</v>
      </c>
      <c r="B278" s="1" t="s">
        <v>445</v>
      </c>
      <c r="C278" s="1" t="s">
        <v>119</v>
      </c>
      <c r="D278" s="1" t="s">
        <v>133</v>
      </c>
      <c r="E278" s="5">
        <v>0.77155359092303755</v>
      </c>
      <c r="F278" s="1" t="s">
        <v>437</v>
      </c>
      <c r="G278" s="1"/>
      <c r="H278" s="1"/>
    </row>
    <row r="279" spans="1:8" x14ac:dyDescent="0.25">
      <c r="A279" s="1">
        <v>2023</v>
      </c>
      <c r="B279" s="1" t="s">
        <v>445</v>
      </c>
      <c r="C279" s="1" t="s">
        <v>119</v>
      </c>
      <c r="D279" s="1" t="s">
        <v>139</v>
      </c>
      <c r="E279" s="5">
        <v>0.83333333333333337</v>
      </c>
      <c r="F279" s="1" t="s">
        <v>437</v>
      </c>
      <c r="G279" s="1"/>
      <c r="H279" s="1"/>
    </row>
    <row r="280" spans="1:8" x14ac:dyDescent="0.25">
      <c r="A280" s="1">
        <v>2023</v>
      </c>
      <c r="B280" s="1" t="s">
        <v>445</v>
      </c>
      <c r="C280" s="1" t="s">
        <v>119</v>
      </c>
      <c r="D280" s="1" t="s">
        <v>145</v>
      </c>
      <c r="E280" s="5">
        <v>0</v>
      </c>
      <c r="F280" s="1" t="s">
        <v>437</v>
      </c>
      <c r="G280" s="1"/>
      <c r="H280" s="1"/>
    </row>
    <row r="281" spans="1:8" x14ac:dyDescent="0.25">
      <c r="A281" s="1">
        <v>2023</v>
      </c>
      <c r="B281" s="1" t="s">
        <v>445</v>
      </c>
      <c r="C281" s="1" t="s">
        <v>151</v>
      </c>
      <c r="D281" s="1" t="s">
        <v>152</v>
      </c>
      <c r="E281" s="5">
        <v>0.99130405405405408</v>
      </c>
      <c r="F281" s="1" t="s">
        <v>437</v>
      </c>
      <c r="G281" s="1"/>
      <c r="H281" s="1"/>
    </row>
    <row r="282" spans="1:8" x14ac:dyDescent="0.25">
      <c r="A282" s="1">
        <v>2023</v>
      </c>
      <c r="B282" s="1" t="s">
        <v>445</v>
      </c>
      <c r="C282" s="1" t="s">
        <v>151</v>
      </c>
      <c r="D282" s="1" t="s">
        <v>160</v>
      </c>
      <c r="E282" s="5">
        <v>0.91666666666666663</v>
      </c>
      <c r="F282" s="1" t="s">
        <v>437</v>
      </c>
      <c r="G282" s="1"/>
      <c r="H282" s="1"/>
    </row>
    <row r="283" spans="1:8" x14ac:dyDescent="0.25">
      <c r="A283" s="1">
        <v>2023</v>
      </c>
      <c r="B283" s="1" t="s">
        <v>445</v>
      </c>
      <c r="C283" s="1" t="s">
        <v>151</v>
      </c>
      <c r="D283" s="1" t="s">
        <v>165</v>
      </c>
      <c r="E283" s="5">
        <v>6.1643261613781433E-2</v>
      </c>
      <c r="F283" s="1" t="s">
        <v>437</v>
      </c>
      <c r="G283" s="1"/>
      <c r="H283" s="1"/>
    </row>
    <row r="284" spans="1:8" x14ac:dyDescent="0.25">
      <c r="A284" s="1">
        <v>2023</v>
      </c>
      <c r="B284" s="1" t="s">
        <v>445</v>
      </c>
      <c r="C284" s="1" t="s">
        <v>151</v>
      </c>
      <c r="D284" s="1" t="s">
        <v>172</v>
      </c>
      <c r="E284" s="5">
        <v>0.10963377767787187</v>
      </c>
      <c r="F284" s="1" t="s">
        <v>437</v>
      </c>
      <c r="G284" s="1"/>
      <c r="H284" s="1"/>
    </row>
    <row r="285" spans="1:8" x14ac:dyDescent="0.25">
      <c r="A285" s="1">
        <v>2023</v>
      </c>
      <c r="B285" s="1" t="s">
        <v>445</v>
      </c>
      <c r="C285" s="1" t="s">
        <v>151</v>
      </c>
      <c r="D285" s="1" t="s">
        <v>177</v>
      </c>
      <c r="E285" s="5">
        <v>0.23593792807775574</v>
      </c>
      <c r="F285" s="1" t="s">
        <v>437</v>
      </c>
      <c r="G285" s="1"/>
      <c r="H285" s="1"/>
    </row>
    <row r="286" spans="1:8" x14ac:dyDescent="0.25">
      <c r="A286" s="1">
        <v>2023</v>
      </c>
      <c r="B286" s="1" t="s">
        <v>445</v>
      </c>
      <c r="C286" s="1" t="s">
        <v>182</v>
      </c>
      <c r="D286" s="1" t="s">
        <v>183</v>
      </c>
      <c r="E286" s="5">
        <v>1150.982546884472</v>
      </c>
      <c r="F286" s="1" t="s">
        <v>437</v>
      </c>
      <c r="G286" s="1"/>
      <c r="H286" s="1"/>
    </row>
    <row r="287" spans="1:8" x14ac:dyDescent="0.25">
      <c r="A287" s="1">
        <v>2023</v>
      </c>
      <c r="B287" s="1" t="s">
        <v>445</v>
      </c>
      <c r="C287" s="1" t="s">
        <v>182</v>
      </c>
      <c r="D287" s="1" t="s">
        <v>192</v>
      </c>
      <c r="E287" s="5">
        <v>0.2345321654194201</v>
      </c>
      <c r="F287" s="1" t="s">
        <v>437</v>
      </c>
      <c r="G287" s="1"/>
      <c r="H287" s="1"/>
    </row>
    <row r="288" spans="1:8" x14ac:dyDescent="0.25">
      <c r="A288" s="1">
        <v>2023</v>
      </c>
      <c r="B288" s="1" t="s">
        <v>445</v>
      </c>
      <c r="C288" s="1" t="s">
        <v>182</v>
      </c>
      <c r="D288" s="1" t="s">
        <v>198</v>
      </c>
      <c r="E288" s="5">
        <v>0.22050714192733875</v>
      </c>
      <c r="F288" s="1" t="s">
        <v>437</v>
      </c>
      <c r="G288" s="1"/>
      <c r="H288" s="1"/>
    </row>
    <row r="289" spans="1:8" x14ac:dyDescent="0.25">
      <c r="A289" s="1">
        <v>2023</v>
      </c>
      <c r="B289" s="1" t="s">
        <v>445</v>
      </c>
      <c r="C289" s="1" t="s">
        <v>182</v>
      </c>
      <c r="D289" s="1" t="s">
        <v>204</v>
      </c>
      <c r="E289" s="5">
        <v>137.06124608474536</v>
      </c>
      <c r="F289" s="1" t="s">
        <v>437</v>
      </c>
      <c r="G289" s="1"/>
      <c r="H289" s="1"/>
    </row>
    <row r="290" spans="1:8" x14ac:dyDescent="0.25">
      <c r="A290" s="1">
        <v>2023</v>
      </c>
      <c r="B290" s="1" t="s">
        <v>445</v>
      </c>
      <c r="C290" s="1" t="s">
        <v>182</v>
      </c>
      <c r="D290" s="1" t="s">
        <v>212</v>
      </c>
      <c r="E290" s="5">
        <v>2.7928547592968738E-2</v>
      </c>
      <c r="F290" s="1" t="s">
        <v>437</v>
      </c>
      <c r="G290" s="1"/>
      <c r="H290" s="1"/>
    </row>
    <row r="291" spans="1:8" x14ac:dyDescent="0.25">
      <c r="A291" s="1">
        <v>2023</v>
      </c>
      <c r="B291" s="1" t="s">
        <v>445</v>
      </c>
      <c r="C291" s="1" t="s">
        <v>182</v>
      </c>
      <c r="D291" s="1" t="s">
        <v>218</v>
      </c>
      <c r="E291" s="5">
        <v>2.6258420446909205E-2</v>
      </c>
      <c r="F291" s="1" t="s">
        <v>437</v>
      </c>
      <c r="G291" s="1"/>
      <c r="H291" s="1"/>
    </row>
    <row r="292" spans="1:8" x14ac:dyDescent="0.25">
      <c r="A292" s="1">
        <v>2023</v>
      </c>
      <c r="B292" s="1" t="s">
        <v>445</v>
      </c>
      <c r="C292" s="1" t="s">
        <v>182</v>
      </c>
      <c r="D292" s="1" t="s">
        <v>223</v>
      </c>
      <c r="E292" s="5"/>
      <c r="F292" s="1" t="s">
        <v>438</v>
      </c>
      <c r="G292" s="1" t="s">
        <v>441</v>
      </c>
      <c r="H292" s="1"/>
    </row>
    <row r="293" spans="1:8" x14ac:dyDescent="0.25">
      <c r="A293" s="1">
        <v>2023</v>
      </c>
      <c r="B293" s="1" t="s">
        <v>445</v>
      </c>
      <c r="C293" s="1" t="s">
        <v>182</v>
      </c>
      <c r="D293" s="1" t="s">
        <v>232</v>
      </c>
      <c r="E293" s="5">
        <v>0.7567567567567568</v>
      </c>
      <c r="F293" s="1" t="s">
        <v>437</v>
      </c>
      <c r="G293" s="1"/>
      <c r="H293" s="1"/>
    </row>
    <row r="294" spans="1:8" x14ac:dyDescent="0.25">
      <c r="A294" s="1">
        <v>2023</v>
      </c>
      <c r="B294" s="1" t="s">
        <v>445</v>
      </c>
      <c r="C294" s="1" t="s">
        <v>238</v>
      </c>
      <c r="D294" s="1" t="s">
        <v>239</v>
      </c>
      <c r="E294" s="5">
        <v>506.22936099883856</v>
      </c>
      <c r="F294" s="1" t="s">
        <v>437</v>
      </c>
      <c r="G294" s="1"/>
      <c r="H294" s="1"/>
    </row>
    <row r="295" spans="1:8" x14ac:dyDescent="0.25">
      <c r="A295" s="1">
        <v>2023</v>
      </c>
      <c r="B295" s="1" t="s">
        <v>445</v>
      </c>
      <c r="C295" s="1" t="s">
        <v>238</v>
      </c>
      <c r="D295" s="1" t="s">
        <v>246</v>
      </c>
      <c r="E295" s="5">
        <v>0.31597817268449846</v>
      </c>
      <c r="F295" s="1" t="s">
        <v>437</v>
      </c>
      <c r="G295" s="1"/>
      <c r="H295" s="1"/>
    </row>
    <row r="296" spans="1:8" x14ac:dyDescent="0.25">
      <c r="A296" s="1">
        <v>2023</v>
      </c>
      <c r="B296" s="1" t="s">
        <v>445</v>
      </c>
      <c r="C296" s="1" t="s">
        <v>238</v>
      </c>
      <c r="D296" s="1" t="s">
        <v>251</v>
      </c>
      <c r="E296" s="5">
        <v>0.80941028391815495</v>
      </c>
      <c r="F296" s="1" t="s">
        <v>437</v>
      </c>
      <c r="G296" s="1"/>
      <c r="H296" s="1"/>
    </row>
    <row r="297" spans="1:8" x14ac:dyDescent="0.25">
      <c r="A297" s="1">
        <v>2023</v>
      </c>
      <c r="B297" s="1" t="s">
        <v>445</v>
      </c>
      <c r="C297" s="1" t="s">
        <v>238</v>
      </c>
      <c r="D297" s="1" t="s">
        <v>256</v>
      </c>
      <c r="E297" s="5">
        <v>0.98955180552375355</v>
      </c>
      <c r="F297" s="1" t="s">
        <v>437</v>
      </c>
      <c r="G297" s="1"/>
      <c r="H297" s="1"/>
    </row>
    <row r="298" spans="1:8" x14ac:dyDescent="0.25">
      <c r="A298" s="1">
        <v>2023</v>
      </c>
      <c r="B298" s="1" t="s">
        <v>445</v>
      </c>
      <c r="C298" s="1" t="s">
        <v>238</v>
      </c>
      <c r="D298" s="1" t="s">
        <v>264</v>
      </c>
      <c r="E298" s="5">
        <v>0.58371871919065321</v>
      </c>
      <c r="F298" s="1" t="s">
        <v>437</v>
      </c>
      <c r="G298" s="1"/>
      <c r="H298" s="1"/>
    </row>
    <row r="299" spans="1:8" x14ac:dyDescent="0.25">
      <c r="A299" s="1">
        <v>2023</v>
      </c>
      <c r="B299" s="1" t="s">
        <v>445</v>
      </c>
      <c r="C299" s="1" t="s">
        <v>238</v>
      </c>
      <c r="D299" s="1" t="s">
        <v>269</v>
      </c>
      <c r="E299" s="5">
        <v>0.53718610879616346</v>
      </c>
      <c r="F299" s="1" t="s">
        <v>437</v>
      </c>
      <c r="G299" s="1"/>
      <c r="H299" s="1"/>
    </row>
    <row r="300" spans="1:8" x14ac:dyDescent="0.25">
      <c r="A300" s="1">
        <v>2023</v>
      </c>
      <c r="B300" s="1" t="s">
        <v>445</v>
      </c>
      <c r="C300" s="1" t="s">
        <v>238</v>
      </c>
      <c r="D300" s="1" t="s">
        <v>275</v>
      </c>
      <c r="E300" s="5">
        <v>0.24275114860722377</v>
      </c>
      <c r="F300" s="1" t="s">
        <v>437</v>
      </c>
      <c r="G300" s="1"/>
      <c r="H300" s="1"/>
    </row>
    <row r="301" spans="1:8" x14ac:dyDescent="0.25">
      <c r="A301" s="1">
        <v>2023</v>
      </c>
      <c r="B301" s="1" t="s">
        <v>445</v>
      </c>
      <c r="C301" s="1" t="s">
        <v>238</v>
      </c>
      <c r="D301" s="1" t="s">
        <v>280</v>
      </c>
      <c r="E301" s="5">
        <v>76.838659103237973</v>
      </c>
      <c r="F301" s="1" t="s">
        <v>437</v>
      </c>
      <c r="G301" s="1"/>
      <c r="H301" s="1"/>
    </row>
    <row r="302" spans="1:8" x14ac:dyDescent="0.25">
      <c r="A302" s="1">
        <v>2023</v>
      </c>
      <c r="B302" s="1" t="s">
        <v>445</v>
      </c>
      <c r="C302" s="1" t="s">
        <v>238</v>
      </c>
      <c r="D302" s="1" t="s">
        <v>287</v>
      </c>
      <c r="E302" s="5">
        <v>0.41686880937942189</v>
      </c>
      <c r="F302" s="1" t="s">
        <v>437</v>
      </c>
      <c r="G302" s="1" t="s">
        <v>442</v>
      </c>
      <c r="H302" s="1"/>
    </row>
    <row r="303" spans="1:8" x14ac:dyDescent="0.25">
      <c r="A303" s="1">
        <v>2023</v>
      </c>
      <c r="B303" s="1" t="s">
        <v>445</v>
      </c>
      <c r="C303" s="1" t="s">
        <v>238</v>
      </c>
      <c r="D303" s="1" t="s">
        <v>294</v>
      </c>
      <c r="E303" s="5">
        <v>0.99184776446104894</v>
      </c>
      <c r="F303" s="1" t="s">
        <v>437</v>
      </c>
      <c r="G303" s="1"/>
      <c r="H303" s="1"/>
    </row>
    <row r="304" spans="1:8" x14ac:dyDescent="0.25">
      <c r="A304" s="1">
        <v>2023</v>
      </c>
      <c r="B304" s="1" t="s">
        <v>445</v>
      </c>
      <c r="C304" s="1" t="s">
        <v>299</v>
      </c>
      <c r="D304" s="1" t="s">
        <v>300</v>
      </c>
      <c r="E304" s="5"/>
      <c r="F304" s="1" t="s">
        <v>438</v>
      </c>
      <c r="G304" s="1" t="s">
        <v>443</v>
      </c>
      <c r="H304" s="1"/>
    </row>
    <row r="305" spans="1:8" x14ac:dyDescent="0.25">
      <c r="A305" s="1">
        <v>2023</v>
      </c>
      <c r="B305" s="1" t="s">
        <v>445</v>
      </c>
      <c r="C305" s="1" t="s">
        <v>299</v>
      </c>
      <c r="D305" s="1" t="s">
        <v>309</v>
      </c>
      <c r="E305" s="5"/>
      <c r="F305" s="1" t="s">
        <v>438</v>
      </c>
      <c r="G305" s="1" t="s">
        <v>443</v>
      </c>
      <c r="H305" s="1"/>
    </row>
    <row r="306" spans="1:8" x14ac:dyDescent="0.25">
      <c r="A306" s="1">
        <v>2023</v>
      </c>
      <c r="B306" s="1" t="s">
        <v>445</v>
      </c>
      <c r="C306" s="1" t="s">
        <v>299</v>
      </c>
      <c r="D306" s="1" t="s">
        <v>315</v>
      </c>
      <c r="E306" s="5"/>
      <c r="F306" s="1" t="s">
        <v>438</v>
      </c>
      <c r="G306" s="1" t="s">
        <v>443</v>
      </c>
      <c r="H306" s="1"/>
    </row>
    <row r="307" spans="1:8" x14ac:dyDescent="0.25">
      <c r="A307" s="1">
        <v>2023</v>
      </c>
      <c r="B307" s="1" t="s">
        <v>445</v>
      </c>
      <c r="C307" s="1" t="s">
        <v>299</v>
      </c>
      <c r="D307" s="1" t="s">
        <v>321</v>
      </c>
      <c r="E307" s="5"/>
      <c r="F307" s="1" t="s">
        <v>438</v>
      </c>
      <c r="G307" s="1" t="s">
        <v>443</v>
      </c>
      <c r="H307" s="1"/>
    </row>
    <row r="308" spans="1:8" x14ac:dyDescent="0.25">
      <c r="A308" s="1">
        <v>2024</v>
      </c>
      <c r="B308" s="1" t="s">
        <v>445</v>
      </c>
      <c r="C308" s="1" t="s">
        <v>68</v>
      </c>
      <c r="D308" s="1" t="s">
        <v>69</v>
      </c>
      <c r="E308" s="5">
        <v>1</v>
      </c>
      <c r="F308" s="1" t="s">
        <v>437</v>
      </c>
      <c r="G308" s="1"/>
      <c r="H308" s="1"/>
    </row>
    <row r="309" spans="1:8" x14ac:dyDescent="0.25">
      <c r="A309" s="1">
        <v>2024</v>
      </c>
      <c r="B309" s="1" t="s">
        <v>445</v>
      </c>
      <c r="C309" s="1" t="s">
        <v>68</v>
      </c>
      <c r="D309" s="1" t="s">
        <v>81</v>
      </c>
      <c r="E309" s="5">
        <v>1</v>
      </c>
      <c r="F309" s="1" t="s">
        <v>437</v>
      </c>
      <c r="G309" s="1"/>
      <c r="H309" s="1"/>
    </row>
    <row r="310" spans="1:8" x14ac:dyDescent="0.25">
      <c r="A310" s="1">
        <v>2024</v>
      </c>
      <c r="B310" s="1" t="s">
        <v>445</v>
      </c>
      <c r="C310" s="1" t="s">
        <v>68</v>
      </c>
      <c r="D310" s="1" t="s">
        <v>86</v>
      </c>
      <c r="E310" s="5">
        <v>0</v>
      </c>
      <c r="F310" s="1" t="s">
        <v>437</v>
      </c>
      <c r="G310" s="1"/>
      <c r="H310" s="1"/>
    </row>
    <row r="311" spans="1:8" x14ac:dyDescent="0.25">
      <c r="A311" s="1">
        <v>2024</v>
      </c>
      <c r="B311" s="1" t="s">
        <v>445</v>
      </c>
      <c r="C311" s="1" t="s">
        <v>68</v>
      </c>
      <c r="D311" s="1" t="s">
        <v>95</v>
      </c>
      <c r="E311" s="5"/>
      <c r="F311" s="1" t="s">
        <v>438</v>
      </c>
      <c r="G311" s="1" t="s">
        <v>439</v>
      </c>
      <c r="H311" s="1"/>
    </row>
    <row r="312" spans="1:8" x14ac:dyDescent="0.25">
      <c r="A312" s="1">
        <v>2024</v>
      </c>
      <c r="B312" s="1" t="s">
        <v>445</v>
      </c>
      <c r="C312" s="1" t="s">
        <v>68</v>
      </c>
      <c r="D312" s="1" t="s">
        <v>104</v>
      </c>
      <c r="E312" s="5"/>
      <c r="F312" s="1" t="s">
        <v>438</v>
      </c>
      <c r="G312" s="1" t="s">
        <v>439</v>
      </c>
      <c r="H312" s="1"/>
    </row>
    <row r="313" spans="1:8" x14ac:dyDescent="0.25">
      <c r="A313" s="1">
        <v>2024</v>
      </c>
      <c r="B313" s="1" t="s">
        <v>445</v>
      </c>
      <c r="C313" s="1" t="s">
        <v>68</v>
      </c>
      <c r="D313" s="1" t="s">
        <v>113</v>
      </c>
      <c r="E313" s="5"/>
      <c r="F313" s="1" t="s">
        <v>438</v>
      </c>
      <c r="G313" s="1" t="s">
        <v>439</v>
      </c>
      <c r="H313" s="1"/>
    </row>
    <row r="314" spans="1:8" x14ac:dyDescent="0.25">
      <c r="A314" s="1">
        <v>2024</v>
      </c>
      <c r="B314" s="1" t="s">
        <v>445</v>
      </c>
      <c r="C314" s="1" t="s">
        <v>119</v>
      </c>
      <c r="D314" s="1" t="s">
        <v>120</v>
      </c>
      <c r="E314" s="5">
        <v>1</v>
      </c>
      <c r="F314" s="1" t="s">
        <v>437</v>
      </c>
      <c r="G314" s="1"/>
      <c r="H314" s="1"/>
    </row>
    <row r="315" spans="1:8" x14ac:dyDescent="0.25">
      <c r="A315" s="1">
        <v>2024</v>
      </c>
      <c r="B315" s="1" t="s">
        <v>445</v>
      </c>
      <c r="C315" s="1" t="s">
        <v>119</v>
      </c>
      <c r="D315" s="1" t="s">
        <v>128</v>
      </c>
      <c r="E315" s="5">
        <v>1</v>
      </c>
      <c r="F315" s="1" t="s">
        <v>437</v>
      </c>
      <c r="G315" s="1"/>
      <c r="H315" s="1"/>
    </row>
    <row r="316" spans="1:8" x14ac:dyDescent="0.25">
      <c r="A316" s="1">
        <v>2024</v>
      </c>
      <c r="B316" s="1" t="s">
        <v>445</v>
      </c>
      <c r="C316" s="1" t="s">
        <v>119</v>
      </c>
      <c r="D316" s="1" t="s">
        <v>133</v>
      </c>
      <c r="E316" s="5">
        <v>1</v>
      </c>
      <c r="F316" s="1" t="s">
        <v>437</v>
      </c>
      <c r="G316" s="1"/>
      <c r="H316" s="1"/>
    </row>
    <row r="317" spans="1:8" x14ac:dyDescent="0.25">
      <c r="A317" s="1">
        <v>2024</v>
      </c>
      <c r="B317" s="1" t="s">
        <v>445</v>
      </c>
      <c r="C317" s="1" t="s">
        <v>119</v>
      </c>
      <c r="D317" s="1" t="s">
        <v>139</v>
      </c>
      <c r="E317" s="5">
        <v>1</v>
      </c>
      <c r="F317" s="1" t="s">
        <v>437</v>
      </c>
      <c r="G317" s="1"/>
      <c r="H317" s="1"/>
    </row>
    <row r="318" spans="1:8" x14ac:dyDescent="0.25">
      <c r="A318" s="1">
        <v>2024</v>
      </c>
      <c r="B318" s="1" t="s">
        <v>445</v>
      </c>
      <c r="C318" s="1" t="s">
        <v>119</v>
      </c>
      <c r="D318" s="1" t="s">
        <v>145</v>
      </c>
      <c r="E318" s="5">
        <v>0</v>
      </c>
      <c r="F318" s="1" t="s">
        <v>437</v>
      </c>
      <c r="G318" s="1"/>
      <c r="H318" s="1"/>
    </row>
    <row r="319" spans="1:8" x14ac:dyDescent="0.25">
      <c r="A319" s="1">
        <v>2024</v>
      </c>
      <c r="B319" s="1" t="s">
        <v>445</v>
      </c>
      <c r="C319" s="1" t="s">
        <v>151</v>
      </c>
      <c r="D319" s="1" t="s">
        <v>152</v>
      </c>
      <c r="E319" s="5">
        <v>0.99172972972972973</v>
      </c>
      <c r="F319" s="1" t="s">
        <v>437</v>
      </c>
      <c r="G319" s="1"/>
      <c r="H319" s="1"/>
    </row>
    <row r="320" spans="1:8" x14ac:dyDescent="0.25">
      <c r="A320" s="1">
        <v>2024</v>
      </c>
      <c r="B320" s="1" t="s">
        <v>445</v>
      </c>
      <c r="C320" s="1" t="s">
        <v>151</v>
      </c>
      <c r="D320" s="1" t="s">
        <v>160</v>
      </c>
      <c r="E320" s="5">
        <v>0.95833333333333337</v>
      </c>
      <c r="F320" s="1" t="s">
        <v>437</v>
      </c>
      <c r="G320" s="1"/>
      <c r="H320" s="1"/>
    </row>
    <row r="321" spans="1:8" x14ac:dyDescent="0.25">
      <c r="A321" s="1">
        <v>2024</v>
      </c>
      <c r="B321" s="1" t="s">
        <v>445</v>
      </c>
      <c r="C321" s="1" t="s">
        <v>151</v>
      </c>
      <c r="D321" s="1" t="s">
        <v>165</v>
      </c>
      <c r="E321" s="5">
        <v>5.7374540416067828E-2</v>
      </c>
      <c r="F321" s="1" t="s">
        <v>437</v>
      </c>
      <c r="G321" s="1"/>
      <c r="H321" s="1"/>
    </row>
    <row r="322" spans="1:8" x14ac:dyDescent="0.25">
      <c r="A322" s="1">
        <v>2024</v>
      </c>
      <c r="B322" s="1" t="s">
        <v>445</v>
      </c>
      <c r="C322" s="1" t="s">
        <v>151</v>
      </c>
      <c r="D322" s="1" t="s">
        <v>172</v>
      </c>
      <c r="E322" s="5">
        <v>0.11192854642322791</v>
      </c>
      <c r="F322" s="1" t="s">
        <v>437</v>
      </c>
      <c r="G322" s="1"/>
      <c r="H322" s="1"/>
    </row>
    <row r="323" spans="1:8" x14ac:dyDescent="0.25">
      <c r="A323" s="1">
        <v>2024</v>
      </c>
      <c r="B323" s="1" t="s">
        <v>445</v>
      </c>
      <c r="C323" s="1" t="s">
        <v>151</v>
      </c>
      <c r="D323" s="1" t="s">
        <v>177</v>
      </c>
      <c r="E323" s="5">
        <v>0.24219633706031113</v>
      </c>
      <c r="F323" s="1" t="s">
        <v>437</v>
      </c>
      <c r="G323" s="1"/>
      <c r="H323" s="1"/>
    </row>
    <row r="324" spans="1:8" x14ac:dyDescent="0.25">
      <c r="A324" s="1">
        <v>2024</v>
      </c>
      <c r="B324" s="1" t="s">
        <v>445</v>
      </c>
      <c r="C324" s="1" t="s">
        <v>182</v>
      </c>
      <c r="D324" s="1" t="s">
        <v>183</v>
      </c>
      <c r="E324" s="5">
        <v>975.21534653120534</v>
      </c>
      <c r="F324" s="1" t="s">
        <v>437</v>
      </c>
      <c r="G324" s="1"/>
      <c r="H324" s="1"/>
    </row>
    <row r="325" spans="1:8" x14ac:dyDescent="0.25">
      <c r="A325" s="1">
        <v>2024</v>
      </c>
      <c r="B325" s="1" t="s">
        <v>445</v>
      </c>
      <c r="C325" s="1" t="s">
        <v>182</v>
      </c>
      <c r="D325" s="1" t="s">
        <v>192</v>
      </c>
      <c r="E325" s="5">
        <v>0.22582221329630761</v>
      </c>
      <c r="F325" s="1" t="s">
        <v>437</v>
      </c>
      <c r="G325" s="1"/>
      <c r="H325" s="1"/>
    </row>
    <row r="326" spans="1:8" x14ac:dyDescent="0.25">
      <c r="A326" s="1">
        <v>2024</v>
      </c>
      <c r="B326" s="1" t="s">
        <v>445</v>
      </c>
      <c r="C326" s="1" t="s">
        <v>182</v>
      </c>
      <c r="D326" s="1" t="s">
        <v>198</v>
      </c>
      <c r="E326" s="5">
        <v>0.21231804494118842</v>
      </c>
      <c r="F326" s="1" t="s">
        <v>437</v>
      </c>
      <c r="G326" s="1"/>
      <c r="H326" s="1"/>
    </row>
    <row r="327" spans="1:8" x14ac:dyDescent="0.25">
      <c r="A327" s="1">
        <v>2024</v>
      </c>
      <c r="B327" s="1" t="s">
        <v>445</v>
      </c>
      <c r="C327" s="1" t="s">
        <v>182</v>
      </c>
      <c r="D327" s="1" t="s">
        <v>204</v>
      </c>
      <c r="E327" s="5">
        <v>151.33049327935572</v>
      </c>
      <c r="F327" s="1" t="s">
        <v>437</v>
      </c>
      <c r="G327" s="1"/>
      <c r="H327" s="1"/>
    </row>
    <row r="328" spans="1:8" x14ac:dyDescent="0.25">
      <c r="A328" s="1">
        <v>2024</v>
      </c>
      <c r="B328" s="1" t="s">
        <v>445</v>
      </c>
      <c r="C328" s="1" t="s">
        <v>182</v>
      </c>
      <c r="D328" s="1" t="s">
        <v>212</v>
      </c>
      <c r="E328" s="5">
        <v>3.50422981479123E-2</v>
      </c>
      <c r="F328" s="1" t="s">
        <v>437</v>
      </c>
      <c r="G328" s="1"/>
      <c r="H328" s="1"/>
    </row>
    <row r="329" spans="1:8" x14ac:dyDescent="0.25">
      <c r="A329" s="1">
        <v>2024</v>
      </c>
      <c r="B329" s="1" t="s">
        <v>445</v>
      </c>
      <c r="C329" s="1" t="s">
        <v>182</v>
      </c>
      <c r="D329" s="1" t="s">
        <v>218</v>
      </c>
      <c r="E329" s="5">
        <v>3.2946768718667148E-2</v>
      </c>
      <c r="F329" s="1" t="s">
        <v>437</v>
      </c>
      <c r="G329" s="1"/>
      <c r="H329" s="1"/>
    </row>
    <row r="330" spans="1:8" x14ac:dyDescent="0.25">
      <c r="A330" s="1">
        <v>2024</v>
      </c>
      <c r="B330" s="1" t="s">
        <v>445</v>
      </c>
      <c r="C330" s="1" t="s">
        <v>182</v>
      </c>
      <c r="D330" s="1" t="s">
        <v>223</v>
      </c>
      <c r="E330" s="5"/>
      <c r="F330" s="1" t="s">
        <v>438</v>
      </c>
      <c r="G330" s="1" t="s">
        <v>441</v>
      </c>
      <c r="H330" s="1"/>
    </row>
    <row r="331" spans="1:8" x14ac:dyDescent="0.25">
      <c r="A331" s="1">
        <v>2024</v>
      </c>
      <c r="B331" s="1" t="s">
        <v>445</v>
      </c>
      <c r="C331" s="1" t="s">
        <v>182</v>
      </c>
      <c r="D331" s="1" t="s">
        <v>232</v>
      </c>
      <c r="E331" s="5">
        <v>0.94756554307116103</v>
      </c>
      <c r="F331" s="1" t="s">
        <v>437</v>
      </c>
      <c r="G331" s="1"/>
      <c r="H331" s="1"/>
    </row>
    <row r="332" spans="1:8" x14ac:dyDescent="0.25">
      <c r="A332" s="1">
        <v>2024</v>
      </c>
      <c r="B332" s="1" t="s">
        <v>445</v>
      </c>
      <c r="C332" s="1" t="s">
        <v>238</v>
      </c>
      <c r="D332" s="1" t="s">
        <v>239</v>
      </c>
      <c r="E332" s="5">
        <v>404.86383094350265</v>
      </c>
      <c r="F332" s="1" t="s">
        <v>437</v>
      </c>
      <c r="G332" s="1"/>
      <c r="H332" s="1"/>
    </row>
    <row r="333" spans="1:8" x14ac:dyDescent="0.25">
      <c r="A333" s="1">
        <v>2024</v>
      </c>
      <c r="B333" s="1" t="s">
        <v>445</v>
      </c>
      <c r="C333" s="1" t="s">
        <v>238</v>
      </c>
      <c r="D333" s="1" t="s">
        <v>246</v>
      </c>
      <c r="E333" s="5">
        <v>0.3548355123155652</v>
      </c>
      <c r="F333" s="1" t="s">
        <v>437</v>
      </c>
      <c r="G333" s="1"/>
      <c r="H333" s="1"/>
    </row>
    <row r="334" spans="1:8" x14ac:dyDescent="0.25">
      <c r="A334" s="1">
        <v>2024</v>
      </c>
      <c r="B334" s="1" t="s">
        <v>445</v>
      </c>
      <c r="C334" s="1" t="s">
        <v>238</v>
      </c>
      <c r="D334" s="1" t="s">
        <v>251</v>
      </c>
      <c r="E334" s="5">
        <v>0.78188388455336244</v>
      </c>
      <c r="F334" s="1" t="s">
        <v>437</v>
      </c>
      <c r="G334" s="1"/>
      <c r="H334" s="1"/>
    </row>
    <row r="335" spans="1:8" x14ac:dyDescent="0.25">
      <c r="A335" s="1">
        <v>2024</v>
      </c>
      <c r="B335" s="1" t="s">
        <v>445</v>
      </c>
      <c r="C335" s="1" t="s">
        <v>238</v>
      </c>
      <c r="D335" s="1" t="s">
        <v>256</v>
      </c>
      <c r="E335" s="5">
        <v>0.99877192951032678</v>
      </c>
      <c r="F335" s="1" t="s">
        <v>437</v>
      </c>
      <c r="G335" s="1"/>
      <c r="H335" s="1"/>
    </row>
    <row r="336" spans="1:8" x14ac:dyDescent="0.25">
      <c r="A336" s="1">
        <v>2024</v>
      </c>
      <c r="B336" s="1" t="s">
        <v>445</v>
      </c>
      <c r="C336" s="1" t="s">
        <v>238</v>
      </c>
      <c r="D336" s="1" t="s">
        <v>264</v>
      </c>
      <c r="E336" s="5">
        <v>0.58860678293529012</v>
      </c>
      <c r="F336" s="1" t="s">
        <v>437</v>
      </c>
      <c r="G336" s="1"/>
      <c r="H336" s="1"/>
    </row>
    <row r="337" spans="1:8" x14ac:dyDescent="0.25">
      <c r="A337" s="1">
        <v>2024</v>
      </c>
      <c r="B337" s="1" t="s">
        <v>445</v>
      </c>
      <c r="C337" s="1" t="s">
        <v>238</v>
      </c>
      <c r="D337" s="1" t="s">
        <v>269</v>
      </c>
      <c r="E337" s="5">
        <v>0.53393449636806356</v>
      </c>
      <c r="F337" s="1" t="s">
        <v>437</v>
      </c>
      <c r="G337" s="1"/>
      <c r="H337" s="1"/>
    </row>
    <row r="338" spans="1:8" x14ac:dyDescent="0.25">
      <c r="A338" s="1">
        <v>2024</v>
      </c>
      <c r="B338" s="1" t="s">
        <v>445</v>
      </c>
      <c r="C338" s="1" t="s">
        <v>238</v>
      </c>
      <c r="D338" s="1" t="s">
        <v>275</v>
      </c>
      <c r="E338" s="5">
        <v>0.2412656128209919</v>
      </c>
      <c r="F338" s="1" t="s">
        <v>437</v>
      </c>
      <c r="G338" s="1"/>
      <c r="H338" s="1"/>
    </row>
    <row r="339" spans="1:8" x14ac:dyDescent="0.25">
      <c r="A339" s="1">
        <v>2024</v>
      </c>
      <c r="B339" s="1" t="s">
        <v>445</v>
      </c>
      <c r="C339" s="1" t="s">
        <v>238</v>
      </c>
      <c r="D339" s="1" t="s">
        <v>280</v>
      </c>
      <c r="E339" s="5">
        <v>77.255666510500873</v>
      </c>
      <c r="F339" s="1" t="s">
        <v>437</v>
      </c>
      <c r="G339" s="1"/>
      <c r="H339" s="1"/>
    </row>
    <row r="340" spans="1:8" x14ac:dyDescent="0.25">
      <c r="A340" s="1">
        <v>2024</v>
      </c>
      <c r="B340" s="1" t="s">
        <v>445</v>
      </c>
      <c r="C340" s="1" t="s">
        <v>238</v>
      </c>
      <c r="D340" s="1" t="s">
        <v>287</v>
      </c>
      <c r="E340" s="5">
        <v>0.41686880937942189</v>
      </c>
      <c r="F340" s="1" t="s">
        <v>437</v>
      </c>
      <c r="G340" s="1" t="s">
        <v>442</v>
      </c>
      <c r="H340" s="1"/>
    </row>
    <row r="341" spans="1:8" x14ac:dyDescent="0.25">
      <c r="A341" s="1">
        <v>2024</v>
      </c>
      <c r="B341" s="1" t="s">
        <v>445</v>
      </c>
      <c r="C341" s="1" t="s">
        <v>238</v>
      </c>
      <c r="D341" s="1" t="s">
        <v>294</v>
      </c>
      <c r="E341" s="5">
        <v>0.91166330779459448</v>
      </c>
      <c r="F341" s="1" t="s">
        <v>437</v>
      </c>
      <c r="G341" s="1"/>
      <c r="H341" s="1"/>
    </row>
    <row r="342" spans="1:8" x14ac:dyDescent="0.25">
      <c r="A342" s="1">
        <v>2024</v>
      </c>
      <c r="B342" s="1" t="s">
        <v>445</v>
      </c>
      <c r="C342" s="1" t="s">
        <v>299</v>
      </c>
      <c r="D342" s="1" t="s">
        <v>300</v>
      </c>
      <c r="E342" s="5"/>
      <c r="F342" s="1" t="s">
        <v>438</v>
      </c>
      <c r="G342" s="1" t="s">
        <v>443</v>
      </c>
      <c r="H342" s="1"/>
    </row>
    <row r="343" spans="1:8" x14ac:dyDescent="0.25">
      <c r="A343" s="1">
        <v>2024</v>
      </c>
      <c r="B343" s="1" t="s">
        <v>445</v>
      </c>
      <c r="C343" s="1" t="s">
        <v>299</v>
      </c>
      <c r="D343" s="1" t="s">
        <v>309</v>
      </c>
      <c r="E343" s="5"/>
      <c r="F343" s="1" t="s">
        <v>438</v>
      </c>
      <c r="G343" s="1" t="s">
        <v>443</v>
      </c>
      <c r="H343" s="1"/>
    </row>
    <row r="344" spans="1:8" x14ac:dyDescent="0.25">
      <c r="A344" s="1">
        <v>2024</v>
      </c>
      <c r="B344" s="1" t="s">
        <v>445</v>
      </c>
      <c r="C344" s="1" t="s">
        <v>299</v>
      </c>
      <c r="D344" s="1" t="s">
        <v>315</v>
      </c>
      <c r="E344" s="5"/>
      <c r="F344" s="1" t="s">
        <v>438</v>
      </c>
      <c r="G344" s="1" t="s">
        <v>443</v>
      </c>
      <c r="H344" s="1"/>
    </row>
    <row r="345" spans="1:8" x14ac:dyDescent="0.25">
      <c r="A345" s="1">
        <v>2024</v>
      </c>
      <c r="B345" s="1" t="s">
        <v>445</v>
      </c>
      <c r="C345" s="1" t="s">
        <v>299</v>
      </c>
      <c r="D345" s="1" t="s">
        <v>321</v>
      </c>
      <c r="E345" s="5"/>
      <c r="F345" s="1" t="s">
        <v>438</v>
      </c>
      <c r="G345" s="1" t="s">
        <v>443</v>
      </c>
      <c r="H345" s="1"/>
    </row>
    <row r="346" spans="1:8" x14ac:dyDescent="0.25">
      <c r="A346" s="1">
        <v>2025</v>
      </c>
      <c r="B346" s="1" t="s">
        <v>445</v>
      </c>
      <c r="C346" s="1" t="s">
        <v>68</v>
      </c>
      <c r="D346" s="1" t="s">
        <v>69</v>
      </c>
      <c r="E346" s="5">
        <v>1</v>
      </c>
      <c r="F346" s="1" t="s">
        <v>437</v>
      </c>
      <c r="G346" s="1"/>
      <c r="H346" s="1"/>
    </row>
    <row r="347" spans="1:8" x14ac:dyDescent="0.25">
      <c r="A347" s="1">
        <v>2025</v>
      </c>
      <c r="B347" s="1" t="s">
        <v>445</v>
      </c>
      <c r="C347" s="1" t="s">
        <v>68</v>
      </c>
      <c r="D347" s="1" t="s">
        <v>81</v>
      </c>
      <c r="E347" s="5">
        <v>1</v>
      </c>
      <c r="F347" s="1" t="s">
        <v>437</v>
      </c>
      <c r="G347" s="1"/>
      <c r="H347" s="1"/>
    </row>
    <row r="348" spans="1:8" x14ac:dyDescent="0.25">
      <c r="A348" s="1">
        <v>2025</v>
      </c>
      <c r="B348" s="1" t="s">
        <v>445</v>
      </c>
      <c r="C348" s="1" t="s">
        <v>68</v>
      </c>
      <c r="D348" s="1" t="s">
        <v>86</v>
      </c>
      <c r="E348" s="5">
        <v>0</v>
      </c>
      <c r="F348" s="1" t="s">
        <v>437</v>
      </c>
      <c r="G348" s="1"/>
      <c r="H348" s="1"/>
    </row>
    <row r="349" spans="1:8" x14ac:dyDescent="0.25">
      <c r="A349" s="1">
        <v>2025</v>
      </c>
      <c r="B349" s="1" t="s">
        <v>445</v>
      </c>
      <c r="C349" s="1" t="s">
        <v>68</v>
      </c>
      <c r="D349" s="1" t="s">
        <v>95</v>
      </c>
      <c r="E349" s="5"/>
      <c r="F349" s="1" t="s">
        <v>438</v>
      </c>
      <c r="G349" s="1" t="s">
        <v>439</v>
      </c>
      <c r="H349" s="1"/>
    </row>
    <row r="350" spans="1:8" x14ac:dyDescent="0.25">
      <c r="A350" s="1">
        <v>2025</v>
      </c>
      <c r="B350" s="1" t="s">
        <v>445</v>
      </c>
      <c r="C350" s="1" t="s">
        <v>68</v>
      </c>
      <c r="D350" s="1" t="s">
        <v>104</v>
      </c>
      <c r="E350" s="5"/>
      <c r="F350" s="1" t="s">
        <v>438</v>
      </c>
      <c r="G350" s="1" t="s">
        <v>439</v>
      </c>
      <c r="H350" s="1"/>
    </row>
    <row r="351" spans="1:8" x14ac:dyDescent="0.25">
      <c r="A351" s="1">
        <v>2025</v>
      </c>
      <c r="B351" s="1" t="s">
        <v>445</v>
      </c>
      <c r="C351" s="1" t="s">
        <v>68</v>
      </c>
      <c r="D351" s="1" t="s">
        <v>113</v>
      </c>
      <c r="E351" s="5"/>
      <c r="F351" s="1" t="s">
        <v>438</v>
      </c>
      <c r="G351" s="1" t="s">
        <v>439</v>
      </c>
      <c r="H351" s="1"/>
    </row>
    <row r="352" spans="1:8" x14ac:dyDescent="0.25">
      <c r="A352" s="1">
        <v>2025</v>
      </c>
      <c r="B352" s="1" t="s">
        <v>445</v>
      </c>
      <c r="C352" s="1" t="s">
        <v>119</v>
      </c>
      <c r="D352" s="1" t="s">
        <v>120</v>
      </c>
      <c r="E352" s="5">
        <v>1</v>
      </c>
      <c r="F352" s="1" t="s">
        <v>437</v>
      </c>
      <c r="G352" s="1"/>
      <c r="H352" s="1"/>
    </row>
    <row r="353" spans="1:8" x14ac:dyDescent="0.25">
      <c r="A353" s="1">
        <v>2025</v>
      </c>
      <c r="B353" s="1" t="s">
        <v>445</v>
      </c>
      <c r="C353" s="1" t="s">
        <v>119</v>
      </c>
      <c r="D353" s="1" t="s">
        <v>128</v>
      </c>
      <c r="E353" s="5">
        <v>1</v>
      </c>
      <c r="F353" s="1" t="s">
        <v>437</v>
      </c>
      <c r="G353" s="1"/>
      <c r="H353" s="1"/>
    </row>
    <row r="354" spans="1:8" x14ac:dyDescent="0.25">
      <c r="A354" s="1">
        <v>2025</v>
      </c>
      <c r="B354" s="1" t="s">
        <v>445</v>
      </c>
      <c r="C354" s="1" t="s">
        <v>119</v>
      </c>
      <c r="D354" s="1" t="s">
        <v>133</v>
      </c>
      <c r="E354" s="5">
        <v>1</v>
      </c>
      <c r="F354" s="1" t="s">
        <v>437</v>
      </c>
      <c r="G354" s="1"/>
      <c r="H354" s="1"/>
    </row>
    <row r="355" spans="1:8" x14ac:dyDescent="0.25">
      <c r="A355" s="1">
        <v>2025</v>
      </c>
      <c r="B355" s="1" t="s">
        <v>445</v>
      </c>
      <c r="C355" s="1" t="s">
        <v>119</v>
      </c>
      <c r="D355" s="1" t="s">
        <v>139</v>
      </c>
      <c r="E355" s="5">
        <v>1</v>
      </c>
      <c r="F355" s="1" t="s">
        <v>437</v>
      </c>
      <c r="G355" s="1"/>
      <c r="H355" s="1"/>
    </row>
    <row r="356" spans="1:8" x14ac:dyDescent="0.25">
      <c r="A356" s="1">
        <v>2025</v>
      </c>
      <c r="B356" s="1" t="s">
        <v>445</v>
      </c>
      <c r="C356" s="1" t="s">
        <v>119</v>
      </c>
      <c r="D356" s="1" t="s">
        <v>145</v>
      </c>
      <c r="E356" s="5">
        <v>0</v>
      </c>
      <c r="F356" s="1" t="s">
        <v>437</v>
      </c>
      <c r="G356" s="1"/>
      <c r="H356" s="1"/>
    </row>
    <row r="357" spans="1:8" x14ac:dyDescent="0.25">
      <c r="A357" s="1">
        <v>2025</v>
      </c>
      <c r="B357" s="1" t="s">
        <v>445</v>
      </c>
      <c r="C357" s="1" t="s">
        <v>151</v>
      </c>
      <c r="D357" s="1" t="s">
        <v>152</v>
      </c>
      <c r="E357" s="5">
        <v>0.99202027027027029</v>
      </c>
      <c r="F357" s="1" t="s">
        <v>437</v>
      </c>
      <c r="G357" s="1"/>
      <c r="H357" s="1"/>
    </row>
    <row r="358" spans="1:8" x14ac:dyDescent="0.25">
      <c r="A358" s="1">
        <v>2025</v>
      </c>
      <c r="B358" s="1" t="s">
        <v>445</v>
      </c>
      <c r="C358" s="1" t="s">
        <v>151</v>
      </c>
      <c r="D358" s="1" t="s">
        <v>160</v>
      </c>
      <c r="E358" s="5">
        <v>0.91666666666666663</v>
      </c>
      <c r="F358" s="1" t="s">
        <v>437</v>
      </c>
      <c r="G358" s="1"/>
      <c r="H358" s="1"/>
    </row>
    <row r="359" spans="1:8" x14ac:dyDescent="0.25">
      <c r="A359" s="1">
        <v>2025</v>
      </c>
      <c r="B359" s="1" t="s">
        <v>445</v>
      </c>
      <c r="C359" s="1" t="s">
        <v>151</v>
      </c>
      <c r="D359" s="1" t="s">
        <v>165</v>
      </c>
      <c r="E359" s="5">
        <v>5.5840732762524957E-2</v>
      </c>
      <c r="F359" s="1" t="s">
        <v>437</v>
      </c>
      <c r="G359" s="1"/>
      <c r="H359" s="1"/>
    </row>
    <row r="360" spans="1:8" x14ac:dyDescent="0.25">
      <c r="A360" s="1">
        <v>2025</v>
      </c>
      <c r="B360" s="1" t="s">
        <v>445</v>
      </c>
      <c r="C360" s="1" t="s">
        <v>151</v>
      </c>
      <c r="D360" s="1" t="s">
        <v>172</v>
      </c>
      <c r="E360" s="5">
        <v>0.11308453011948852</v>
      </c>
      <c r="F360" s="1" t="s">
        <v>437</v>
      </c>
      <c r="G360" s="1"/>
      <c r="H360" s="1"/>
    </row>
    <row r="361" spans="1:8" x14ac:dyDescent="0.25">
      <c r="A361" s="1">
        <v>2025</v>
      </c>
      <c r="B361" s="1" t="s">
        <v>445</v>
      </c>
      <c r="C361" s="1" t="s">
        <v>151</v>
      </c>
      <c r="D361" s="1" t="s">
        <v>177</v>
      </c>
      <c r="E361" s="5">
        <v>0.24812887695850092</v>
      </c>
      <c r="F361" s="1" t="s">
        <v>437</v>
      </c>
      <c r="G361" s="1"/>
      <c r="H361" s="1"/>
    </row>
    <row r="362" spans="1:8" x14ac:dyDescent="0.25">
      <c r="A362" s="1">
        <v>2025</v>
      </c>
      <c r="B362" s="1" t="s">
        <v>445</v>
      </c>
      <c r="C362" s="1" t="s">
        <v>182</v>
      </c>
      <c r="D362" s="1" t="s">
        <v>183</v>
      </c>
      <c r="E362" s="5">
        <v>767.9730339747058</v>
      </c>
      <c r="F362" s="1" t="s">
        <v>437</v>
      </c>
      <c r="G362" s="1"/>
      <c r="H362" s="1"/>
    </row>
    <row r="363" spans="1:8" x14ac:dyDescent="0.25">
      <c r="A363" s="1">
        <v>2025</v>
      </c>
      <c r="B363" s="1" t="s">
        <v>445</v>
      </c>
      <c r="C363" s="1" t="s">
        <v>182</v>
      </c>
      <c r="D363" s="1" t="s">
        <v>192</v>
      </c>
      <c r="E363" s="5">
        <v>0.16554490389756937</v>
      </c>
      <c r="F363" s="1" t="s">
        <v>437</v>
      </c>
      <c r="G363" s="1"/>
      <c r="H363" s="1"/>
    </row>
    <row r="364" spans="1:8" x14ac:dyDescent="0.25">
      <c r="A364" s="1">
        <v>2025</v>
      </c>
      <c r="B364" s="1" t="s">
        <v>445</v>
      </c>
      <c r="C364" s="1" t="s">
        <v>182</v>
      </c>
      <c r="D364" s="1" t="s">
        <v>198</v>
      </c>
      <c r="E364" s="5">
        <v>0.15564531864449471</v>
      </c>
      <c r="F364" s="1" t="s">
        <v>437</v>
      </c>
      <c r="G364" s="1"/>
      <c r="H364" s="1"/>
    </row>
    <row r="365" spans="1:8" x14ac:dyDescent="0.25">
      <c r="A365" s="1">
        <v>2025</v>
      </c>
      <c r="B365" s="1" t="s">
        <v>445</v>
      </c>
      <c r="C365" s="1" t="s">
        <v>182</v>
      </c>
      <c r="D365" s="1" t="s">
        <v>204</v>
      </c>
      <c r="E365" s="5">
        <v>120.62109003094692</v>
      </c>
      <c r="F365" s="1" t="s">
        <v>437</v>
      </c>
      <c r="G365" s="1"/>
      <c r="H365" s="1"/>
    </row>
    <row r="366" spans="1:8" x14ac:dyDescent="0.25">
      <c r="A366" s="1">
        <v>2025</v>
      </c>
      <c r="B366" s="1" t="s">
        <v>445</v>
      </c>
      <c r="C366" s="1" t="s">
        <v>182</v>
      </c>
      <c r="D366" s="1" t="s">
        <v>212</v>
      </c>
      <c r="E366" s="5">
        <v>2.6001182168918252E-2</v>
      </c>
      <c r="F366" s="1" t="s">
        <v>437</v>
      </c>
      <c r="G366" s="1"/>
      <c r="H366" s="1"/>
    </row>
    <row r="367" spans="1:8" x14ac:dyDescent="0.25">
      <c r="A367" s="1">
        <v>2025</v>
      </c>
      <c r="B367" s="1" t="s">
        <v>445</v>
      </c>
      <c r="C367" s="1" t="s">
        <v>182</v>
      </c>
      <c r="D367" s="1" t="s">
        <v>218</v>
      </c>
      <c r="E367" s="5">
        <v>2.4446311475216937E-2</v>
      </c>
      <c r="F367" s="1" t="s">
        <v>437</v>
      </c>
      <c r="G367" s="1"/>
      <c r="H367" s="1"/>
    </row>
    <row r="368" spans="1:8" x14ac:dyDescent="0.25">
      <c r="A368" s="1">
        <v>2025</v>
      </c>
      <c r="B368" s="1" t="s">
        <v>445</v>
      </c>
      <c r="C368" s="1" t="s">
        <v>182</v>
      </c>
      <c r="D368" s="1" t="s">
        <v>223</v>
      </c>
      <c r="E368" s="5">
        <v>9.2583037616575589E-2</v>
      </c>
      <c r="F368" s="1" t="s">
        <v>437</v>
      </c>
      <c r="G368" s="1"/>
      <c r="H368" s="1"/>
    </row>
    <row r="369" spans="1:8" x14ac:dyDescent="0.25">
      <c r="A369" s="1">
        <v>2025</v>
      </c>
      <c r="B369" s="1" t="s">
        <v>445</v>
      </c>
      <c r="C369" s="1" t="s">
        <v>182</v>
      </c>
      <c r="D369" s="1" t="s">
        <v>232</v>
      </c>
      <c r="E369" s="5">
        <v>0.93021529324424646</v>
      </c>
      <c r="F369" s="1" t="s">
        <v>437</v>
      </c>
      <c r="G369" s="1"/>
      <c r="H369" s="1"/>
    </row>
    <row r="370" spans="1:8" x14ac:dyDescent="0.25">
      <c r="A370" s="1">
        <v>2025</v>
      </c>
      <c r="B370" s="1" t="s">
        <v>445</v>
      </c>
      <c r="C370" s="1" t="s">
        <v>238</v>
      </c>
      <c r="D370" s="1" t="s">
        <v>239</v>
      </c>
      <c r="E370" s="5">
        <v>468.79179076980188</v>
      </c>
      <c r="F370" s="1" t="s">
        <v>437</v>
      </c>
      <c r="G370" s="1"/>
      <c r="H370" s="1"/>
    </row>
    <row r="371" spans="1:8" x14ac:dyDescent="0.25">
      <c r="A371" s="1">
        <v>2025</v>
      </c>
      <c r="B371" s="1" t="s">
        <v>445</v>
      </c>
      <c r="C371" s="1" t="s">
        <v>238</v>
      </c>
      <c r="D371" s="1" t="s">
        <v>246</v>
      </c>
      <c r="E371" s="5">
        <v>0.33193010858712813</v>
      </c>
      <c r="F371" s="1" t="s">
        <v>437</v>
      </c>
      <c r="G371" s="1"/>
      <c r="H371" s="1"/>
    </row>
    <row r="372" spans="1:8" x14ac:dyDescent="0.25">
      <c r="A372" s="1">
        <v>2025</v>
      </c>
      <c r="B372" s="1" t="s">
        <v>445</v>
      </c>
      <c r="C372" s="1" t="s">
        <v>238</v>
      </c>
      <c r="D372" s="1" t="s">
        <v>251</v>
      </c>
      <c r="E372" s="5">
        <v>0.79845869498763133</v>
      </c>
      <c r="F372" s="1" t="s">
        <v>437</v>
      </c>
      <c r="G372" s="1"/>
      <c r="H372" s="1"/>
    </row>
    <row r="373" spans="1:8" x14ac:dyDescent="0.25">
      <c r="A373" s="1">
        <v>2025</v>
      </c>
      <c r="B373" s="1" t="s">
        <v>445</v>
      </c>
      <c r="C373" s="1" t="s">
        <v>238</v>
      </c>
      <c r="D373" s="1" t="s">
        <v>256</v>
      </c>
      <c r="E373" s="5">
        <v>0.99662188972699206</v>
      </c>
      <c r="F373" s="1" t="s">
        <v>437</v>
      </c>
      <c r="G373" s="1"/>
      <c r="H373" s="1"/>
    </row>
    <row r="374" spans="1:8" x14ac:dyDescent="0.25">
      <c r="A374" s="1">
        <v>2025</v>
      </c>
      <c r="B374" s="1" t="s">
        <v>445</v>
      </c>
      <c r="C374" s="1" t="s">
        <v>238</v>
      </c>
      <c r="D374" s="1" t="s">
        <v>264</v>
      </c>
      <c r="E374" s="5">
        <v>0.59148370128318173</v>
      </c>
      <c r="F374" s="1" t="s">
        <v>437</v>
      </c>
      <c r="G374" s="1"/>
      <c r="H374" s="1"/>
    </row>
    <row r="375" spans="1:8" x14ac:dyDescent="0.25">
      <c r="A375" s="1">
        <v>2025</v>
      </c>
      <c r="B375" s="1" t="s">
        <v>445</v>
      </c>
      <c r="C375" s="1" t="s">
        <v>238</v>
      </c>
      <c r="D375" s="1" t="s">
        <v>269</v>
      </c>
      <c r="E375" s="5">
        <v>0.54493570459504248</v>
      </c>
      <c r="F375" s="1" t="s">
        <v>437</v>
      </c>
      <c r="G375" s="1"/>
      <c r="H375" s="1"/>
    </row>
    <row r="376" spans="1:8" x14ac:dyDescent="0.25">
      <c r="A376" s="1">
        <v>2025</v>
      </c>
      <c r="B376" s="1" t="s">
        <v>445</v>
      </c>
      <c r="C376" s="1" t="s">
        <v>238</v>
      </c>
      <c r="D376" s="1" t="s">
        <v>275</v>
      </c>
      <c r="E376" s="5">
        <v>0.2412656128209919</v>
      </c>
      <c r="F376" s="1" t="s">
        <v>437</v>
      </c>
      <c r="G376" s="1"/>
      <c r="H376" s="1"/>
    </row>
    <row r="377" spans="1:8" x14ac:dyDescent="0.25">
      <c r="A377" s="1">
        <v>2025</v>
      </c>
      <c r="B377" s="1" t="s">
        <v>445</v>
      </c>
      <c r="C377" s="1" t="s">
        <v>238</v>
      </c>
      <c r="D377" s="1" t="s">
        <v>280</v>
      </c>
      <c r="E377" s="5">
        <v>81.902227644318216</v>
      </c>
      <c r="F377" s="1" t="s">
        <v>437</v>
      </c>
      <c r="G377" s="1"/>
      <c r="H377" s="1"/>
    </row>
    <row r="378" spans="1:8" x14ac:dyDescent="0.25">
      <c r="A378" s="1">
        <v>2025</v>
      </c>
      <c r="B378" s="1" t="s">
        <v>445</v>
      </c>
      <c r="C378" s="1" t="s">
        <v>238</v>
      </c>
      <c r="D378" s="1" t="s">
        <v>287</v>
      </c>
      <c r="E378" s="5">
        <v>0.41686880937942189</v>
      </c>
      <c r="F378" s="1" t="s">
        <v>437</v>
      </c>
      <c r="G378" s="1" t="s">
        <v>442</v>
      </c>
      <c r="H378" s="1"/>
    </row>
    <row r="379" spans="1:8" x14ac:dyDescent="0.25">
      <c r="A379" s="1">
        <v>2025</v>
      </c>
      <c r="B379" s="1" t="s">
        <v>445</v>
      </c>
      <c r="C379" s="1" t="s">
        <v>238</v>
      </c>
      <c r="D379" s="1" t="s">
        <v>294</v>
      </c>
      <c r="E379" s="5">
        <v>0.94033576599932711</v>
      </c>
      <c r="F379" s="1" t="s">
        <v>437</v>
      </c>
      <c r="G379" s="1"/>
      <c r="H379" s="1"/>
    </row>
    <row r="380" spans="1:8" x14ac:dyDescent="0.25">
      <c r="A380" s="1">
        <v>2025</v>
      </c>
      <c r="B380" s="1" t="s">
        <v>445</v>
      </c>
      <c r="C380" s="1" t="s">
        <v>299</v>
      </c>
      <c r="D380" s="1" t="s">
        <v>300</v>
      </c>
      <c r="E380" s="5"/>
      <c r="F380" s="1" t="s">
        <v>438</v>
      </c>
      <c r="G380" s="1" t="s">
        <v>443</v>
      </c>
      <c r="H380" s="1"/>
    </row>
    <row r="381" spans="1:8" x14ac:dyDescent="0.25">
      <c r="A381" s="1">
        <v>2025</v>
      </c>
      <c r="B381" s="1" t="s">
        <v>445</v>
      </c>
      <c r="C381" s="1" t="s">
        <v>299</v>
      </c>
      <c r="D381" s="1" t="s">
        <v>309</v>
      </c>
      <c r="E381" s="5"/>
      <c r="F381" s="1" t="s">
        <v>438</v>
      </c>
      <c r="G381" s="1" t="s">
        <v>443</v>
      </c>
      <c r="H381" s="1"/>
    </row>
    <row r="382" spans="1:8" x14ac:dyDescent="0.25">
      <c r="A382" s="1">
        <v>2025</v>
      </c>
      <c r="B382" s="1" t="s">
        <v>445</v>
      </c>
      <c r="C382" s="1" t="s">
        <v>299</v>
      </c>
      <c r="D382" s="1" t="s">
        <v>315</v>
      </c>
      <c r="E382" s="5"/>
      <c r="F382" s="1" t="s">
        <v>438</v>
      </c>
      <c r="G382" s="1" t="s">
        <v>443</v>
      </c>
      <c r="H382" s="1"/>
    </row>
    <row r="383" spans="1:8" x14ac:dyDescent="0.25">
      <c r="A383" s="1">
        <v>2025</v>
      </c>
      <c r="B383" s="1" t="s">
        <v>445</v>
      </c>
      <c r="C383" s="1" t="s">
        <v>299</v>
      </c>
      <c r="D383" s="1" t="s">
        <v>321</v>
      </c>
      <c r="E383" s="5"/>
      <c r="F383" s="1" t="s">
        <v>438</v>
      </c>
      <c r="G383" s="1" t="s">
        <v>443</v>
      </c>
      <c r="H383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4"/>
  <sheetViews>
    <sheetView workbookViewId="0">
      <selection activeCell="J93" sqref="J93"/>
    </sheetView>
  </sheetViews>
  <sheetFormatPr defaultRowHeight="15" x14ac:dyDescent="0.25"/>
  <cols>
    <col min="1" max="1" width="22" customWidth="1"/>
    <col min="2" max="3" width="10" customWidth="1"/>
    <col min="4" max="4" width="15" customWidth="1"/>
    <col min="5" max="5" width="17" customWidth="1"/>
    <col min="6" max="6" width="20" customWidth="1"/>
    <col min="7" max="7" width="30" customWidth="1"/>
    <col min="8" max="8" width="48" customWidth="1"/>
    <col min="10" max="10" width="22" customWidth="1"/>
    <col min="11" max="16" width="13" customWidth="1"/>
    <col min="17" max="18" width="15" customWidth="1"/>
  </cols>
  <sheetData>
    <row r="1" spans="1:18" ht="30" customHeight="1" x14ac:dyDescent="0.25">
      <c r="A1" s="12" t="s">
        <v>446</v>
      </c>
      <c r="B1" s="13"/>
      <c r="C1" s="13"/>
      <c r="D1" s="13"/>
      <c r="E1" s="13"/>
      <c r="F1" s="13"/>
      <c r="G1" s="13"/>
      <c r="H1" s="13"/>
      <c r="J1" s="14" t="s">
        <v>447</v>
      </c>
      <c r="K1" s="14"/>
      <c r="L1" s="14"/>
      <c r="M1" s="14"/>
      <c r="N1" s="14"/>
      <c r="O1" s="14"/>
      <c r="P1" s="14"/>
      <c r="Q1" s="14"/>
    </row>
    <row r="2" spans="1:18" x14ac:dyDescent="0.25">
      <c r="A2" s="6" t="s">
        <v>448</v>
      </c>
      <c r="B2" s="16" t="s">
        <v>449</v>
      </c>
      <c r="C2" s="16"/>
      <c r="D2" s="16"/>
      <c r="E2" s="16"/>
      <c r="F2" s="16"/>
      <c r="G2" s="16"/>
      <c r="H2" s="16"/>
    </row>
    <row r="3" spans="1:18" ht="30" customHeight="1" x14ac:dyDescent="0.25">
      <c r="J3" s="3" t="s">
        <v>450</v>
      </c>
      <c r="K3" s="3" t="s">
        <v>451</v>
      </c>
      <c r="L3" s="3" t="s">
        <v>452</v>
      </c>
      <c r="M3" s="3" t="s">
        <v>453</v>
      </c>
      <c r="N3" s="3" t="s">
        <v>454</v>
      </c>
      <c r="O3" s="3" t="s">
        <v>455</v>
      </c>
      <c r="P3" s="3" t="s">
        <v>456</v>
      </c>
      <c r="Q3" s="3" t="s">
        <v>457</v>
      </c>
      <c r="R3" s="3" t="s">
        <v>458</v>
      </c>
    </row>
    <row r="4" spans="1:18" ht="30" customHeight="1" x14ac:dyDescent="0.25">
      <c r="A4" s="3" t="s">
        <v>450</v>
      </c>
      <c r="B4" s="3" t="s">
        <v>50</v>
      </c>
      <c r="C4" s="3" t="s">
        <v>328</v>
      </c>
      <c r="D4" s="3" t="s">
        <v>433</v>
      </c>
      <c r="E4" s="3" t="s">
        <v>459</v>
      </c>
      <c r="F4" s="3" t="s">
        <v>55</v>
      </c>
      <c r="G4" s="3" t="s">
        <v>56</v>
      </c>
      <c r="H4" s="3" t="s">
        <v>460</v>
      </c>
      <c r="J4" s="1" t="s">
        <v>461</v>
      </c>
      <c r="K4" s="8">
        <v>0.60981447207677852</v>
      </c>
      <c r="L4" s="8">
        <v>1</v>
      </c>
      <c r="M4" s="8">
        <v>0.76314556319185822</v>
      </c>
      <c r="N4" s="8">
        <v>0.66498611813235564</v>
      </c>
      <c r="O4" s="8">
        <v>0.68875175929528054</v>
      </c>
      <c r="P4" s="8">
        <v>0.59375</v>
      </c>
      <c r="Q4" s="8">
        <v>0.72007465211604549</v>
      </c>
      <c r="R4" s="8">
        <v>0.72169522416090925</v>
      </c>
    </row>
    <row r="5" spans="1:18" ht="15" customHeight="1" x14ac:dyDescent="0.25">
      <c r="A5" s="1" t="s">
        <v>461</v>
      </c>
      <c r="B5" s="1" t="s">
        <v>119</v>
      </c>
      <c r="C5" s="1" t="s">
        <v>120</v>
      </c>
      <c r="D5" s="5">
        <v>1</v>
      </c>
      <c r="E5" s="5">
        <v>1</v>
      </c>
      <c r="F5" s="1" t="s">
        <v>73</v>
      </c>
      <c r="G5" s="1" t="s">
        <v>122</v>
      </c>
      <c r="H5" s="1" t="s">
        <v>462</v>
      </c>
      <c r="J5" s="1" t="s">
        <v>463</v>
      </c>
      <c r="K5" s="8">
        <v>0.60981447207677852</v>
      </c>
      <c r="L5" s="8">
        <v>0.65088059991978331</v>
      </c>
      <c r="M5" s="8">
        <v>0.75539744900040617</v>
      </c>
      <c r="N5" s="8">
        <v>0.66498611813235564</v>
      </c>
      <c r="O5" s="8">
        <v>0.70973656875085811</v>
      </c>
      <c r="P5" s="8">
        <v>0.59375</v>
      </c>
      <c r="Q5" s="8">
        <v>0.66409420131336361</v>
      </c>
      <c r="R5" s="8">
        <v>0.65116967663880532</v>
      </c>
    </row>
    <row r="6" spans="1:18" ht="15" customHeight="1" x14ac:dyDescent="0.25">
      <c r="A6" s="1" t="s">
        <v>461</v>
      </c>
      <c r="B6" s="1" t="s">
        <v>119</v>
      </c>
      <c r="C6" s="1" t="s">
        <v>128</v>
      </c>
      <c r="D6" s="5">
        <v>1</v>
      </c>
      <c r="E6" s="5">
        <v>1</v>
      </c>
      <c r="F6" s="1" t="s">
        <v>73</v>
      </c>
      <c r="G6" s="1" t="s">
        <v>122</v>
      </c>
      <c r="H6" s="1" t="s">
        <v>462</v>
      </c>
      <c r="J6" s="1" t="s">
        <v>464</v>
      </c>
      <c r="K6" s="8">
        <v>0.60981447207677852</v>
      </c>
      <c r="L6" s="8">
        <v>1</v>
      </c>
      <c r="M6" s="8">
        <v>0.76387995442453971</v>
      </c>
      <c r="N6" s="8">
        <v>0.66498611813235564</v>
      </c>
      <c r="O6" s="8">
        <v>0.70226984523335922</v>
      </c>
      <c r="P6" s="8">
        <v>0.59375</v>
      </c>
      <c r="Q6" s="8">
        <v>0.72245006497783881</v>
      </c>
      <c r="R6" s="8">
        <v>0.72374195543649222</v>
      </c>
    </row>
    <row r="7" spans="1:18" ht="15" customHeight="1" x14ac:dyDescent="0.25">
      <c r="A7" s="1" t="s">
        <v>461</v>
      </c>
      <c r="B7" s="1" t="s">
        <v>119</v>
      </c>
      <c r="C7" s="1" t="s">
        <v>133</v>
      </c>
      <c r="D7" s="5">
        <v>1</v>
      </c>
      <c r="E7" s="5">
        <v>1</v>
      </c>
      <c r="F7" s="1" t="s">
        <v>73</v>
      </c>
      <c r="G7" s="1" t="s">
        <v>135</v>
      </c>
      <c r="H7" s="1" t="s">
        <v>462</v>
      </c>
      <c r="J7" s="1" t="s">
        <v>465</v>
      </c>
      <c r="K7" s="8">
        <v>0.60981447207677852</v>
      </c>
      <c r="L7" s="8">
        <v>1</v>
      </c>
      <c r="M7" s="8">
        <v>0.76359760750034655</v>
      </c>
      <c r="N7" s="8">
        <v>0.66498611813235564</v>
      </c>
      <c r="O7" s="8">
        <v>0.72569417156492455</v>
      </c>
      <c r="P7" s="8">
        <v>0.59375</v>
      </c>
      <c r="Q7" s="8">
        <v>0.72630706154573421</v>
      </c>
      <c r="R7" s="8">
        <v>0.72581750554719127</v>
      </c>
    </row>
    <row r="8" spans="1:18" ht="15" customHeight="1" x14ac:dyDescent="0.25">
      <c r="A8" s="1" t="s">
        <v>461</v>
      </c>
      <c r="B8" s="1" t="s">
        <v>119</v>
      </c>
      <c r="C8" s="1" t="s">
        <v>139</v>
      </c>
      <c r="D8" s="5">
        <v>1</v>
      </c>
      <c r="E8" s="5">
        <v>1</v>
      </c>
      <c r="F8" s="1" t="s">
        <v>73</v>
      </c>
      <c r="G8" s="1" t="s">
        <v>141</v>
      </c>
      <c r="H8" s="1" t="s">
        <v>462</v>
      </c>
    </row>
    <row r="9" spans="1:18" ht="15" customHeight="1" x14ac:dyDescent="0.25">
      <c r="A9" s="1" t="s">
        <v>461</v>
      </c>
      <c r="B9" s="1" t="s">
        <v>119</v>
      </c>
      <c r="C9" s="1" t="s">
        <v>145</v>
      </c>
      <c r="D9" s="5">
        <v>0</v>
      </c>
      <c r="E9" s="5">
        <v>1</v>
      </c>
      <c r="F9" s="1" t="s">
        <v>73</v>
      </c>
      <c r="G9" s="1" t="s">
        <v>147</v>
      </c>
      <c r="H9" s="1" t="s">
        <v>462</v>
      </c>
      <c r="J9" s="3" t="s">
        <v>466</v>
      </c>
      <c r="K9" s="3" t="s">
        <v>467</v>
      </c>
      <c r="L9" s="3" t="s">
        <v>468</v>
      </c>
      <c r="M9" s="3" t="s">
        <v>469</v>
      </c>
      <c r="N9" s="3"/>
      <c r="O9" s="3"/>
      <c r="P9" s="3"/>
      <c r="Q9" s="3"/>
      <c r="R9" s="3"/>
    </row>
    <row r="10" spans="1:18" ht="15" customHeight="1" x14ac:dyDescent="0.25">
      <c r="A10" s="1" t="s">
        <v>461</v>
      </c>
      <c r="B10" s="1" t="s">
        <v>151</v>
      </c>
      <c r="C10" s="1" t="s">
        <v>152</v>
      </c>
      <c r="D10" s="5">
        <v>0.9822254237288135</v>
      </c>
      <c r="E10" s="5">
        <v>0.97037570621468916</v>
      </c>
      <c r="F10" s="1" t="s">
        <v>73</v>
      </c>
      <c r="G10" s="1" t="s">
        <v>154</v>
      </c>
      <c r="H10" s="1" t="s">
        <v>462</v>
      </c>
      <c r="J10" s="1" t="s">
        <v>457</v>
      </c>
      <c r="K10" s="8">
        <v>0.66409420131336361</v>
      </c>
      <c r="L10" s="8">
        <v>0.70823149498824556</v>
      </c>
      <c r="M10" s="8">
        <v>0.72630706154573421</v>
      </c>
    </row>
    <row r="11" spans="1:18" ht="15" customHeight="1" x14ac:dyDescent="0.25">
      <c r="A11" s="1" t="s">
        <v>461</v>
      </c>
      <c r="B11" s="1" t="s">
        <v>151</v>
      </c>
      <c r="C11" s="1" t="s">
        <v>160</v>
      </c>
      <c r="D11" s="5">
        <v>0.95719936708860764</v>
      </c>
      <c r="E11" s="5">
        <v>0.92866561181434615</v>
      </c>
      <c r="F11" s="1" t="s">
        <v>73</v>
      </c>
      <c r="G11" s="1" t="s">
        <v>154</v>
      </c>
      <c r="H11" s="1" t="s">
        <v>462</v>
      </c>
      <c r="J11" s="1" t="s">
        <v>470</v>
      </c>
      <c r="K11" s="8">
        <v>0.65116967663880532</v>
      </c>
      <c r="L11" s="8">
        <v>0.70560609044584954</v>
      </c>
      <c r="M11" s="8">
        <v>0.72581750554719127</v>
      </c>
    </row>
    <row r="12" spans="1:18" ht="15" customHeight="1" x14ac:dyDescent="0.25">
      <c r="A12" s="1" t="s">
        <v>461</v>
      </c>
      <c r="B12" s="1" t="s">
        <v>151</v>
      </c>
      <c r="C12" s="1" t="s">
        <v>165</v>
      </c>
      <c r="D12" s="5">
        <v>0.39084250534545983</v>
      </c>
      <c r="E12" s="5">
        <v>0.63644686831817521</v>
      </c>
      <c r="F12" s="1" t="s">
        <v>73</v>
      </c>
      <c r="G12" s="1" t="s">
        <v>168</v>
      </c>
      <c r="H12" s="1" t="s">
        <v>462</v>
      </c>
    </row>
    <row r="13" spans="1:18" ht="15" customHeight="1" x14ac:dyDescent="0.25">
      <c r="A13" s="1" t="s">
        <v>461</v>
      </c>
      <c r="B13" s="1" t="s">
        <v>151</v>
      </c>
      <c r="C13" s="1" t="s">
        <v>172</v>
      </c>
      <c r="D13" s="5">
        <v>0.34259933480827687</v>
      </c>
      <c r="E13" s="5">
        <v>0.69675083148965389</v>
      </c>
      <c r="F13" s="1" t="s">
        <v>73</v>
      </c>
      <c r="G13" s="1" t="s">
        <v>168</v>
      </c>
      <c r="H13" s="1" t="s">
        <v>462</v>
      </c>
    </row>
    <row r="14" spans="1:18" ht="15" customHeight="1" x14ac:dyDescent="0.25">
      <c r="A14" s="1" t="s">
        <v>461</v>
      </c>
      <c r="B14" s="1" t="s">
        <v>151</v>
      </c>
      <c r="C14" s="1" t="s">
        <v>177</v>
      </c>
      <c r="D14" s="5">
        <v>0.43320896150205862</v>
      </c>
      <c r="E14" s="5">
        <v>0.58348879812242671</v>
      </c>
      <c r="F14" s="1" t="s">
        <v>73</v>
      </c>
      <c r="G14" s="1" t="s">
        <v>168</v>
      </c>
      <c r="H14" s="1" t="s">
        <v>462</v>
      </c>
    </row>
    <row r="15" spans="1:18" ht="15" customHeight="1" x14ac:dyDescent="0.25">
      <c r="A15" s="1" t="s">
        <v>461</v>
      </c>
      <c r="B15" s="1" t="s">
        <v>238</v>
      </c>
      <c r="C15" s="1" t="s">
        <v>239</v>
      </c>
      <c r="D15" s="5">
        <v>510.25104354738869</v>
      </c>
      <c r="E15" s="5">
        <v>0.47437239113152829</v>
      </c>
      <c r="F15" s="1" t="s">
        <v>90</v>
      </c>
      <c r="G15" s="1" t="s">
        <v>242</v>
      </c>
      <c r="H15" s="1" t="s">
        <v>462</v>
      </c>
    </row>
    <row r="16" spans="1:18" ht="15" customHeight="1" x14ac:dyDescent="0.25">
      <c r="A16" s="1" t="s">
        <v>461</v>
      </c>
      <c r="B16" s="1" t="s">
        <v>238</v>
      </c>
      <c r="C16" s="1" t="s">
        <v>246</v>
      </c>
      <c r="D16" s="5">
        <v>0.33755007537539428</v>
      </c>
      <c r="E16" s="5">
        <v>0.53112481156151425</v>
      </c>
      <c r="F16" s="1" t="s">
        <v>90</v>
      </c>
      <c r="G16" s="1" t="s">
        <v>242</v>
      </c>
      <c r="H16" s="1" t="s">
        <v>462</v>
      </c>
    </row>
    <row r="17" spans="1:8" ht="15" customHeight="1" x14ac:dyDescent="0.25">
      <c r="A17" s="1" t="s">
        <v>461</v>
      </c>
      <c r="B17" s="1" t="s">
        <v>238</v>
      </c>
      <c r="C17" s="1" t="s">
        <v>251</v>
      </c>
      <c r="D17" s="5">
        <v>0.70220231526286536</v>
      </c>
      <c r="E17" s="5">
        <v>0.70220231526286536</v>
      </c>
      <c r="F17" s="1" t="s">
        <v>225</v>
      </c>
      <c r="G17" s="1" t="s">
        <v>242</v>
      </c>
      <c r="H17" s="1" t="s">
        <v>462</v>
      </c>
    </row>
    <row r="18" spans="1:8" ht="15" customHeight="1" x14ac:dyDescent="0.25">
      <c r="A18" s="1" t="s">
        <v>461</v>
      </c>
      <c r="B18" s="1" t="s">
        <v>238</v>
      </c>
      <c r="C18" s="1" t="s">
        <v>256</v>
      </c>
      <c r="D18" s="5">
        <v>0.91611649686461649</v>
      </c>
      <c r="E18" s="5">
        <v>0.61156958594615296</v>
      </c>
      <c r="F18" s="1" t="s">
        <v>90</v>
      </c>
      <c r="G18" s="1" t="s">
        <v>258</v>
      </c>
      <c r="H18" s="1" t="s">
        <v>462</v>
      </c>
    </row>
    <row r="19" spans="1:8" ht="15" customHeight="1" x14ac:dyDescent="0.25">
      <c r="A19" s="1" t="s">
        <v>461</v>
      </c>
      <c r="B19" s="1" t="s">
        <v>238</v>
      </c>
      <c r="C19" s="1" t="s">
        <v>264</v>
      </c>
      <c r="D19" s="5">
        <v>0.56628899075120642</v>
      </c>
      <c r="E19" s="5">
        <v>0.56628899075120642</v>
      </c>
      <c r="F19" s="1" t="s">
        <v>225</v>
      </c>
      <c r="G19" s="1" t="s">
        <v>258</v>
      </c>
      <c r="H19" s="1" t="s">
        <v>462</v>
      </c>
    </row>
    <row r="20" spans="1:8" ht="15" customHeight="1" x14ac:dyDescent="0.25">
      <c r="A20" s="1" t="s">
        <v>461</v>
      </c>
      <c r="B20" s="1" t="s">
        <v>238</v>
      </c>
      <c r="C20" s="1" t="s">
        <v>269</v>
      </c>
      <c r="D20" s="5">
        <v>0.54884268983162765</v>
      </c>
      <c r="E20" s="5">
        <v>1</v>
      </c>
      <c r="F20" s="1" t="s">
        <v>225</v>
      </c>
      <c r="G20" s="1" t="s">
        <v>271</v>
      </c>
      <c r="H20" s="1" t="s">
        <v>462</v>
      </c>
    </row>
    <row r="21" spans="1:8" ht="15" customHeight="1" x14ac:dyDescent="0.25">
      <c r="A21" s="1" t="s">
        <v>461</v>
      </c>
      <c r="B21" s="1" t="s">
        <v>238</v>
      </c>
      <c r="C21" s="1" t="s">
        <v>275</v>
      </c>
      <c r="D21" s="5">
        <v>0.19744236000046361</v>
      </c>
      <c r="E21" s="5">
        <v>1</v>
      </c>
      <c r="F21" s="1" t="s">
        <v>97</v>
      </c>
      <c r="G21" s="1" t="s">
        <v>271</v>
      </c>
      <c r="H21" s="1" t="s">
        <v>462</v>
      </c>
    </row>
    <row r="22" spans="1:8" ht="15" customHeight="1" x14ac:dyDescent="0.25">
      <c r="A22" s="1" t="s">
        <v>461</v>
      </c>
      <c r="B22" s="1" t="s">
        <v>238</v>
      </c>
      <c r="C22" s="1" t="s">
        <v>280</v>
      </c>
      <c r="D22" s="5">
        <v>79.541354258071351</v>
      </c>
      <c r="E22" s="5">
        <v>0.74426692822589191</v>
      </c>
      <c r="F22" s="1" t="s">
        <v>282</v>
      </c>
      <c r="G22" s="1" t="s">
        <v>283</v>
      </c>
      <c r="H22" s="1" t="s">
        <v>462</v>
      </c>
    </row>
    <row r="23" spans="1:8" ht="15" customHeight="1" x14ac:dyDescent="0.25">
      <c r="A23" s="1" t="s">
        <v>461</v>
      </c>
      <c r="B23" s="1" t="s">
        <v>238</v>
      </c>
      <c r="C23" s="1" t="s">
        <v>287</v>
      </c>
      <c r="D23" s="5">
        <v>0.41686880937942189</v>
      </c>
      <c r="E23" s="5">
        <v>0.41686880937942189</v>
      </c>
      <c r="F23" s="1" t="s">
        <v>106</v>
      </c>
      <c r="G23" s="1" t="s">
        <v>283</v>
      </c>
      <c r="H23" s="1" t="s">
        <v>462</v>
      </c>
    </row>
    <row r="24" spans="1:8" ht="15" customHeight="1" x14ac:dyDescent="0.25">
      <c r="A24" s="1" t="s">
        <v>461</v>
      </c>
      <c r="B24" s="1" t="s">
        <v>238</v>
      </c>
      <c r="C24" s="1" t="s">
        <v>294</v>
      </c>
      <c r="D24" s="5">
        <v>0.9681647521388449</v>
      </c>
      <c r="E24" s="5">
        <v>0.8408237606942246</v>
      </c>
      <c r="F24" s="1" t="s">
        <v>97</v>
      </c>
      <c r="G24" s="1" t="s">
        <v>271</v>
      </c>
      <c r="H24" s="1" t="s">
        <v>462</v>
      </c>
    </row>
    <row r="25" spans="1:8" ht="15" customHeight="1" x14ac:dyDescent="0.25">
      <c r="A25" s="1" t="s">
        <v>463</v>
      </c>
      <c r="B25" s="1" t="s">
        <v>119</v>
      </c>
      <c r="C25" s="1" t="s">
        <v>120</v>
      </c>
      <c r="D25" s="5">
        <v>0.97499999999999998</v>
      </c>
      <c r="E25" s="5">
        <v>0.96875</v>
      </c>
      <c r="F25" s="1" t="s">
        <v>73</v>
      </c>
      <c r="G25" s="1" t="s">
        <v>122</v>
      </c>
      <c r="H25" s="1" t="s">
        <v>462</v>
      </c>
    </row>
    <row r="26" spans="1:8" ht="15" customHeight="1" x14ac:dyDescent="0.25">
      <c r="A26" s="1" t="s">
        <v>463</v>
      </c>
      <c r="B26" s="1" t="s">
        <v>119</v>
      </c>
      <c r="C26" s="1" t="s">
        <v>128</v>
      </c>
      <c r="D26" s="5">
        <v>0.96185573301246652</v>
      </c>
      <c r="E26" s="5">
        <v>0.95231966626558318</v>
      </c>
      <c r="F26" s="1" t="s">
        <v>73</v>
      </c>
      <c r="G26" s="1" t="s">
        <v>122</v>
      </c>
      <c r="H26" s="1" t="s">
        <v>462</v>
      </c>
    </row>
    <row r="27" spans="1:8" ht="15" customHeight="1" x14ac:dyDescent="0.25">
      <c r="A27" s="1" t="s">
        <v>463</v>
      </c>
      <c r="B27" s="1" t="s">
        <v>119</v>
      </c>
      <c r="C27" s="1" t="s">
        <v>133</v>
      </c>
      <c r="D27" s="5">
        <v>8.6214363692150298E-2</v>
      </c>
      <c r="E27" s="5">
        <v>0</v>
      </c>
      <c r="F27" s="1" t="s">
        <v>73</v>
      </c>
      <c r="G27" s="1" t="s">
        <v>135</v>
      </c>
      <c r="H27" s="1" t="s">
        <v>462</v>
      </c>
    </row>
    <row r="28" spans="1:8" ht="15" customHeight="1" x14ac:dyDescent="0.25">
      <c r="A28" s="1" t="s">
        <v>463</v>
      </c>
      <c r="B28" s="1" t="s">
        <v>119</v>
      </c>
      <c r="C28" s="1" t="s">
        <v>139</v>
      </c>
      <c r="D28" s="5">
        <v>0.33333333333333331</v>
      </c>
      <c r="E28" s="5">
        <v>0.33333333333333331</v>
      </c>
      <c r="F28" s="1" t="s">
        <v>73</v>
      </c>
      <c r="G28" s="1" t="s">
        <v>141</v>
      </c>
      <c r="H28" s="1" t="s">
        <v>462</v>
      </c>
    </row>
    <row r="29" spans="1:8" ht="15" customHeight="1" x14ac:dyDescent="0.25">
      <c r="A29" s="1" t="s">
        <v>463</v>
      </c>
      <c r="B29" s="1" t="s">
        <v>119</v>
      </c>
      <c r="C29" s="1" t="s">
        <v>145</v>
      </c>
      <c r="D29" s="5">
        <v>0</v>
      </c>
      <c r="E29" s="5">
        <v>1</v>
      </c>
      <c r="F29" s="1" t="s">
        <v>73</v>
      </c>
      <c r="G29" s="1" t="s">
        <v>147</v>
      </c>
      <c r="H29" s="1" t="s">
        <v>462</v>
      </c>
    </row>
    <row r="30" spans="1:8" ht="15" customHeight="1" x14ac:dyDescent="0.25">
      <c r="A30" s="1" t="s">
        <v>463</v>
      </c>
      <c r="B30" s="1" t="s">
        <v>151</v>
      </c>
      <c r="C30" s="1" t="s">
        <v>152</v>
      </c>
      <c r="D30" s="5">
        <v>0.98159819383548208</v>
      </c>
      <c r="E30" s="5">
        <v>0.9693303230591368</v>
      </c>
      <c r="F30" s="1" t="s">
        <v>73</v>
      </c>
      <c r="G30" s="1" t="s">
        <v>154</v>
      </c>
      <c r="H30" s="1" t="s">
        <v>462</v>
      </c>
    </row>
    <row r="31" spans="1:8" ht="15" customHeight="1" x14ac:dyDescent="0.25">
      <c r="A31" s="1" t="s">
        <v>463</v>
      </c>
      <c r="B31" s="1" t="s">
        <v>151</v>
      </c>
      <c r="C31" s="1" t="s">
        <v>160</v>
      </c>
      <c r="D31" s="5">
        <v>0.95429852320675101</v>
      </c>
      <c r="E31" s="5">
        <v>0.92383087201125169</v>
      </c>
      <c r="F31" s="1" t="s">
        <v>73</v>
      </c>
      <c r="G31" s="1" t="s">
        <v>154</v>
      </c>
      <c r="H31" s="1" t="s">
        <v>462</v>
      </c>
    </row>
    <row r="32" spans="1:8" ht="15" customHeight="1" x14ac:dyDescent="0.25">
      <c r="A32" s="1" t="s">
        <v>463</v>
      </c>
      <c r="B32" s="1" t="s">
        <v>151</v>
      </c>
      <c r="C32" s="1" t="s">
        <v>165</v>
      </c>
      <c r="D32" s="5">
        <v>0.41449666287326004</v>
      </c>
      <c r="E32" s="5">
        <v>0.60687917140842496</v>
      </c>
      <c r="F32" s="1" t="s">
        <v>73</v>
      </c>
      <c r="G32" s="1" t="s">
        <v>168</v>
      </c>
      <c r="H32" s="1" t="s">
        <v>462</v>
      </c>
    </row>
    <row r="33" spans="1:8" ht="15" customHeight="1" x14ac:dyDescent="0.25">
      <c r="A33" s="1" t="s">
        <v>463</v>
      </c>
      <c r="B33" s="1" t="s">
        <v>151</v>
      </c>
      <c r="C33" s="1" t="s">
        <v>172</v>
      </c>
      <c r="D33" s="5">
        <v>0.34489200538706505</v>
      </c>
      <c r="E33" s="5">
        <v>0.6938849932661687</v>
      </c>
      <c r="F33" s="1" t="s">
        <v>73</v>
      </c>
      <c r="G33" s="1" t="s">
        <v>168</v>
      </c>
      <c r="H33" s="1" t="s">
        <v>462</v>
      </c>
    </row>
    <row r="34" spans="1:8" ht="15" customHeight="1" x14ac:dyDescent="0.25">
      <c r="A34" s="1" t="s">
        <v>463</v>
      </c>
      <c r="B34" s="1" t="s">
        <v>151</v>
      </c>
      <c r="C34" s="1" t="s">
        <v>177</v>
      </c>
      <c r="D34" s="5">
        <v>0.43355049179436123</v>
      </c>
      <c r="E34" s="5">
        <v>0.5830618852570485</v>
      </c>
      <c r="F34" s="1" t="s">
        <v>73</v>
      </c>
      <c r="G34" s="1" t="s">
        <v>168</v>
      </c>
      <c r="H34" s="1" t="s">
        <v>462</v>
      </c>
    </row>
    <row r="35" spans="1:8" ht="15" customHeight="1" x14ac:dyDescent="0.25">
      <c r="A35" s="1" t="s">
        <v>463</v>
      </c>
      <c r="B35" s="1" t="s">
        <v>238</v>
      </c>
      <c r="C35" s="1" t="s">
        <v>239</v>
      </c>
      <c r="D35" s="5">
        <v>476.50427150445677</v>
      </c>
      <c r="E35" s="5">
        <v>0.55873932123885806</v>
      </c>
      <c r="F35" s="1" t="s">
        <v>90</v>
      </c>
      <c r="G35" s="1" t="s">
        <v>242</v>
      </c>
      <c r="H35" s="1" t="s">
        <v>462</v>
      </c>
    </row>
    <row r="36" spans="1:8" ht="15" customHeight="1" x14ac:dyDescent="0.25">
      <c r="A36" s="1" t="s">
        <v>463</v>
      </c>
      <c r="B36" s="1" t="s">
        <v>238</v>
      </c>
      <c r="C36" s="1" t="s">
        <v>246</v>
      </c>
      <c r="D36" s="5">
        <v>0.33773208295289525</v>
      </c>
      <c r="E36" s="5">
        <v>0.53066979261776182</v>
      </c>
      <c r="F36" s="1" t="s">
        <v>90</v>
      </c>
      <c r="G36" s="1" t="s">
        <v>242</v>
      </c>
      <c r="H36" s="1" t="s">
        <v>462</v>
      </c>
    </row>
    <row r="37" spans="1:8" ht="15" customHeight="1" x14ac:dyDescent="0.25">
      <c r="A37" s="1" t="s">
        <v>463</v>
      </c>
      <c r="B37" s="1" t="s">
        <v>238</v>
      </c>
      <c r="C37" s="1" t="s">
        <v>251</v>
      </c>
      <c r="D37" s="5">
        <v>0.84831991270618734</v>
      </c>
      <c r="E37" s="5">
        <v>1</v>
      </c>
      <c r="F37" s="1" t="s">
        <v>225</v>
      </c>
      <c r="G37" s="1" t="s">
        <v>242</v>
      </c>
      <c r="H37" s="1" t="s">
        <v>462</v>
      </c>
    </row>
    <row r="38" spans="1:8" ht="15" customHeight="1" x14ac:dyDescent="0.25">
      <c r="A38" s="1" t="s">
        <v>463</v>
      </c>
      <c r="B38" s="1" t="s">
        <v>238</v>
      </c>
      <c r="C38" s="1" t="s">
        <v>256</v>
      </c>
      <c r="D38" s="5">
        <v>1.0982335323190271</v>
      </c>
      <c r="E38" s="5">
        <v>0.43970808460121619</v>
      </c>
      <c r="F38" s="1" t="s">
        <v>90</v>
      </c>
      <c r="G38" s="1" t="s">
        <v>258</v>
      </c>
      <c r="H38" s="1" t="s">
        <v>462</v>
      </c>
    </row>
    <row r="39" spans="1:8" ht="15" customHeight="1" x14ac:dyDescent="0.25">
      <c r="A39" s="1" t="s">
        <v>463</v>
      </c>
      <c r="B39" s="1" t="s">
        <v>238</v>
      </c>
      <c r="C39" s="1" t="s">
        <v>264</v>
      </c>
      <c r="D39" s="5">
        <v>0.56628899075120642</v>
      </c>
      <c r="E39" s="5">
        <v>0.56628899075120642</v>
      </c>
      <c r="F39" s="1" t="s">
        <v>225</v>
      </c>
      <c r="G39" s="1" t="s">
        <v>258</v>
      </c>
      <c r="H39" s="1" t="s">
        <v>462</v>
      </c>
    </row>
    <row r="40" spans="1:8" ht="15" customHeight="1" x14ac:dyDescent="0.25">
      <c r="A40" s="1" t="s">
        <v>463</v>
      </c>
      <c r="B40" s="1" t="s">
        <v>238</v>
      </c>
      <c r="C40" s="1" t="s">
        <v>269</v>
      </c>
      <c r="D40" s="5">
        <v>0.54884268983162765</v>
      </c>
      <c r="E40" s="5">
        <v>1</v>
      </c>
      <c r="F40" s="1" t="s">
        <v>225</v>
      </c>
      <c r="G40" s="1" t="s">
        <v>271</v>
      </c>
      <c r="H40" s="1" t="s">
        <v>462</v>
      </c>
    </row>
    <row r="41" spans="1:8" ht="15" customHeight="1" x14ac:dyDescent="0.25">
      <c r="A41" s="1" t="s">
        <v>463</v>
      </c>
      <c r="B41" s="1" t="s">
        <v>238</v>
      </c>
      <c r="C41" s="1" t="s">
        <v>275</v>
      </c>
      <c r="D41" s="5">
        <v>0.19744236000046361</v>
      </c>
      <c r="E41" s="5">
        <v>1</v>
      </c>
      <c r="F41" s="1" t="s">
        <v>97</v>
      </c>
      <c r="G41" s="1" t="s">
        <v>271</v>
      </c>
      <c r="H41" s="1" t="s">
        <v>462</v>
      </c>
    </row>
    <row r="42" spans="1:8" ht="15" customHeight="1" x14ac:dyDescent="0.25">
      <c r="A42" s="1" t="s">
        <v>463</v>
      </c>
      <c r="B42" s="1" t="s">
        <v>238</v>
      </c>
      <c r="C42" s="1" t="s">
        <v>280</v>
      </c>
      <c r="D42" s="5">
        <v>79.541354258071351</v>
      </c>
      <c r="E42" s="5">
        <v>0.74426692822589191</v>
      </c>
      <c r="F42" s="1" t="s">
        <v>282</v>
      </c>
      <c r="G42" s="1" t="s">
        <v>283</v>
      </c>
      <c r="H42" s="1" t="s">
        <v>462</v>
      </c>
    </row>
    <row r="43" spans="1:8" ht="15" customHeight="1" x14ac:dyDescent="0.25">
      <c r="A43" s="1" t="s">
        <v>463</v>
      </c>
      <c r="B43" s="1" t="s">
        <v>238</v>
      </c>
      <c r="C43" s="1" t="s">
        <v>287</v>
      </c>
      <c r="D43" s="5">
        <v>0.41686880937942189</v>
      </c>
      <c r="E43" s="5">
        <v>0.41686880937942189</v>
      </c>
      <c r="F43" s="1" t="s">
        <v>106</v>
      </c>
      <c r="G43" s="1" t="s">
        <v>283</v>
      </c>
      <c r="H43" s="1" t="s">
        <v>462</v>
      </c>
    </row>
    <row r="44" spans="1:8" ht="15" customHeight="1" x14ac:dyDescent="0.25">
      <c r="A44" s="1" t="s">
        <v>463</v>
      </c>
      <c r="B44" s="1" t="s">
        <v>238</v>
      </c>
      <c r="C44" s="1" t="s">
        <v>294</v>
      </c>
      <c r="D44" s="5">
        <v>0.9681647521388449</v>
      </c>
      <c r="E44" s="5">
        <v>0.8408237606942246</v>
      </c>
      <c r="F44" s="1" t="s">
        <v>97</v>
      </c>
      <c r="G44" s="1" t="s">
        <v>271</v>
      </c>
      <c r="H44" s="1" t="s">
        <v>462</v>
      </c>
    </row>
    <row r="45" spans="1:8" ht="15" customHeight="1" x14ac:dyDescent="0.25">
      <c r="A45" s="1" t="s">
        <v>464</v>
      </c>
      <c r="B45" s="1" t="s">
        <v>119</v>
      </c>
      <c r="C45" s="1" t="s">
        <v>120</v>
      </c>
      <c r="D45" s="5">
        <v>1</v>
      </c>
      <c r="E45" s="5">
        <v>1</v>
      </c>
      <c r="F45" s="1" t="s">
        <v>73</v>
      </c>
      <c r="G45" s="1" t="s">
        <v>122</v>
      </c>
      <c r="H45" s="1" t="s">
        <v>462</v>
      </c>
    </row>
    <row r="46" spans="1:8" ht="15" customHeight="1" x14ac:dyDescent="0.25">
      <c r="A46" s="1" t="s">
        <v>464</v>
      </c>
      <c r="B46" s="1" t="s">
        <v>119</v>
      </c>
      <c r="C46" s="1" t="s">
        <v>128</v>
      </c>
      <c r="D46" s="5">
        <v>1</v>
      </c>
      <c r="E46" s="5">
        <v>1</v>
      </c>
      <c r="F46" s="1" t="s">
        <v>73</v>
      </c>
      <c r="G46" s="1" t="s">
        <v>122</v>
      </c>
      <c r="H46" s="1" t="s">
        <v>462</v>
      </c>
    </row>
    <row r="47" spans="1:8" ht="15" customHeight="1" x14ac:dyDescent="0.25">
      <c r="A47" s="1" t="s">
        <v>464</v>
      </c>
      <c r="B47" s="1" t="s">
        <v>119</v>
      </c>
      <c r="C47" s="1" t="s">
        <v>133</v>
      </c>
      <c r="D47" s="5">
        <v>1</v>
      </c>
      <c r="E47" s="5">
        <v>1</v>
      </c>
      <c r="F47" s="1" t="s">
        <v>73</v>
      </c>
      <c r="G47" s="1" t="s">
        <v>135</v>
      </c>
      <c r="H47" s="1" t="s">
        <v>462</v>
      </c>
    </row>
    <row r="48" spans="1:8" ht="15" customHeight="1" x14ac:dyDescent="0.25">
      <c r="A48" s="1" t="s">
        <v>464</v>
      </c>
      <c r="B48" s="1" t="s">
        <v>119</v>
      </c>
      <c r="C48" s="1" t="s">
        <v>139</v>
      </c>
      <c r="D48" s="5">
        <v>1</v>
      </c>
      <c r="E48" s="5">
        <v>1</v>
      </c>
      <c r="F48" s="1" t="s">
        <v>73</v>
      </c>
      <c r="G48" s="1" t="s">
        <v>141</v>
      </c>
      <c r="H48" s="1" t="s">
        <v>462</v>
      </c>
    </row>
    <row r="49" spans="1:8" ht="15" customHeight="1" x14ac:dyDescent="0.25">
      <c r="A49" s="1" t="s">
        <v>464</v>
      </c>
      <c r="B49" s="1" t="s">
        <v>119</v>
      </c>
      <c r="C49" s="1" t="s">
        <v>145</v>
      </c>
      <c r="D49" s="5">
        <v>0</v>
      </c>
      <c r="E49" s="5">
        <v>1</v>
      </c>
      <c r="F49" s="1" t="s">
        <v>73</v>
      </c>
      <c r="G49" s="1" t="s">
        <v>147</v>
      </c>
      <c r="H49" s="1" t="s">
        <v>462</v>
      </c>
    </row>
    <row r="50" spans="1:8" ht="15" customHeight="1" x14ac:dyDescent="0.25">
      <c r="A50" s="1" t="s">
        <v>464</v>
      </c>
      <c r="B50" s="1" t="s">
        <v>151</v>
      </c>
      <c r="C50" s="1" t="s">
        <v>152</v>
      </c>
      <c r="D50" s="5">
        <v>0.98200435180943657</v>
      </c>
      <c r="E50" s="5">
        <v>0.97000725301572766</v>
      </c>
      <c r="F50" s="1" t="s">
        <v>73</v>
      </c>
      <c r="G50" s="1" t="s">
        <v>154</v>
      </c>
      <c r="H50" s="1" t="s">
        <v>462</v>
      </c>
    </row>
    <row r="51" spans="1:8" ht="15" customHeight="1" x14ac:dyDescent="0.25">
      <c r="A51" s="1" t="s">
        <v>464</v>
      </c>
      <c r="B51" s="1" t="s">
        <v>151</v>
      </c>
      <c r="C51" s="1" t="s">
        <v>160</v>
      </c>
      <c r="D51" s="5">
        <v>0.96032436708860769</v>
      </c>
      <c r="E51" s="5">
        <v>0.93387394514767952</v>
      </c>
      <c r="F51" s="1" t="s">
        <v>73</v>
      </c>
      <c r="G51" s="1" t="s">
        <v>154</v>
      </c>
      <c r="H51" s="1" t="s">
        <v>462</v>
      </c>
    </row>
    <row r="52" spans="1:8" ht="15" customHeight="1" x14ac:dyDescent="0.25">
      <c r="A52" s="1" t="s">
        <v>464</v>
      </c>
      <c r="B52" s="1" t="s">
        <v>151</v>
      </c>
      <c r="C52" s="1" t="s">
        <v>165</v>
      </c>
      <c r="D52" s="5">
        <v>0.39561588593458269</v>
      </c>
      <c r="E52" s="5">
        <v>0.63048014258177165</v>
      </c>
      <c r="F52" s="1" t="s">
        <v>73</v>
      </c>
      <c r="G52" s="1" t="s">
        <v>168</v>
      </c>
      <c r="H52" s="1" t="s">
        <v>462</v>
      </c>
    </row>
    <row r="53" spans="1:8" ht="15" customHeight="1" x14ac:dyDescent="0.25">
      <c r="A53" s="1" t="s">
        <v>464</v>
      </c>
      <c r="B53" s="1" t="s">
        <v>151</v>
      </c>
      <c r="C53" s="1" t="s">
        <v>172</v>
      </c>
      <c r="D53" s="5">
        <v>0.34385934253533534</v>
      </c>
      <c r="E53" s="5">
        <v>0.69517582183083082</v>
      </c>
      <c r="F53" s="1" t="s">
        <v>73</v>
      </c>
      <c r="G53" s="1" t="s">
        <v>168</v>
      </c>
      <c r="H53" s="1" t="s">
        <v>462</v>
      </c>
    </row>
    <row r="54" spans="1:8" ht="15" customHeight="1" x14ac:dyDescent="0.25">
      <c r="A54" s="1" t="s">
        <v>464</v>
      </c>
      <c r="B54" s="1" t="s">
        <v>151</v>
      </c>
      <c r="C54" s="1" t="s">
        <v>177</v>
      </c>
      <c r="D54" s="5">
        <v>0.42810991236264906</v>
      </c>
      <c r="E54" s="5">
        <v>0.58986260954668868</v>
      </c>
      <c r="F54" s="1" t="s">
        <v>73</v>
      </c>
      <c r="G54" s="1" t="s">
        <v>168</v>
      </c>
      <c r="H54" s="1" t="s">
        <v>462</v>
      </c>
    </row>
    <row r="55" spans="1:8" ht="15" customHeight="1" x14ac:dyDescent="0.25">
      <c r="A55" s="1" t="s">
        <v>464</v>
      </c>
      <c r="B55" s="1" t="s">
        <v>238</v>
      </c>
      <c r="C55" s="1" t="s">
        <v>239</v>
      </c>
      <c r="D55" s="5">
        <v>429.58563181624248</v>
      </c>
      <c r="E55" s="5">
        <v>0.67603592045939376</v>
      </c>
      <c r="F55" s="1" t="s">
        <v>90</v>
      </c>
      <c r="G55" s="1" t="s">
        <v>242</v>
      </c>
      <c r="H55" s="1" t="s">
        <v>462</v>
      </c>
    </row>
    <row r="56" spans="1:8" ht="15" customHeight="1" x14ac:dyDescent="0.25">
      <c r="A56" s="1" t="s">
        <v>464</v>
      </c>
      <c r="B56" s="1" t="s">
        <v>238</v>
      </c>
      <c r="C56" s="1" t="s">
        <v>246</v>
      </c>
      <c r="D56" s="5">
        <v>0.35543526571077394</v>
      </c>
      <c r="E56" s="5">
        <v>0.48641183572306512</v>
      </c>
      <c r="F56" s="1" t="s">
        <v>90</v>
      </c>
      <c r="G56" s="1" t="s">
        <v>242</v>
      </c>
      <c r="H56" s="1" t="s">
        <v>462</v>
      </c>
    </row>
    <row r="57" spans="1:8" ht="15" customHeight="1" x14ac:dyDescent="0.25">
      <c r="A57" s="1" t="s">
        <v>464</v>
      </c>
      <c r="B57" s="1" t="s">
        <v>238</v>
      </c>
      <c r="C57" s="1" t="s">
        <v>251</v>
      </c>
      <c r="D57" s="5">
        <v>0.68043262115423531</v>
      </c>
      <c r="E57" s="5">
        <v>0.68043262115423531</v>
      </c>
      <c r="F57" s="1" t="s">
        <v>225</v>
      </c>
      <c r="G57" s="1" t="s">
        <v>242</v>
      </c>
      <c r="H57" s="1" t="s">
        <v>462</v>
      </c>
    </row>
    <row r="58" spans="1:8" ht="15" customHeight="1" x14ac:dyDescent="0.25">
      <c r="A58" s="1" t="s">
        <v>464</v>
      </c>
      <c r="B58" s="1" t="s">
        <v>238</v>
      </c>
      <c r="C58" s="1" t="s">
        <v>256</v>
      </c>
      <c r="D58" s="5">
        <v>0.91611649686461649</v>
      </c>
      <c r="E58" s="5">
        <v>0.61156958594615296</v>
      </c>
      <c r="F58" s="1" t="s">
        <v>90</v>
      </c>
      <c r="G58" s="1" t="s">
        <v>258</v>
      </c>
      <c r="H58" s="1" t="s">
        <v>462</v>
      </c>
    </row>
    <row r="59" spans="1:8" ht="15" customHeight="1" x14ac:dyDescent="0.25">
      <c r="A59" s="1" t="s">
        <v>464</v>
      </c>
      <c r="B59" s="1" t="s">
        <v>238</v>
      </c>
      <c r="C59" s="1" t="s">
        <v>264</v>
      </c>
      <c r="D59" s="5">
        <v>0.56628899075120642</v>
      </c>
      <c r="E59" s="5">
        <v>0.56628899075120642</v>
      </c>
      <c r="F59" s="1" t="s">
        <v>225</v>
      </c>
      <c r="G59" s="1" t="s">
        <v>258</v>
      </c>
      <c r="H59" s="1" t="s">
        <v>462</v>
      </c>
    </row>
    <row r="60" spans="1:8" ht="15" customHeight="1" x14ac:dyDescent="0.25">
      <c r="A60" s="1" t="s">
        <v>464</v>
      </c>
      <c r="B60" s="1" t="s">
        <v>238</v>
      </c>
      <c r="C60" s="1" t="s">
        <v>269</v>
      </c>
      <c r="D60" s="5">
        <v>0.54884268983162765</v>
      </c>
      <c r="E60" s="5">
        <v>1</v>
      </c>
      <c r="F60" s="1" t="s">
        <v>225</v>
      </c>
      <c r="G60" s="1" t="s">
        <v>271</v>
      </c>
      <c r="H60" s="1" t="s">
        <v>462</v>
      </c>
    </row>
    <row r="61" spans="1:8" ht="15" customHeight="1" x14ac:dyDescent="0.25">
      <c r="A61" s="1" t="s">
        <v>464</v>
      </c>
      <c r="B61" s="1" t="s">
        <v>238</v>
      </c>
      <c r="C61" s="1" t="s">
        <v>275</v>
      </c>
      <c r="D61" s="5">
        <v>0.19744236000046361</v>
      </c>
      <c r="E61" s="5">
        <v>1</v>
      </c>
      <c r="F61" s="1" t="s">
        <v>97</v>
      </c>
      <c r="G61" s="1" t="s">
        <v>271</v>
      </c>
      <c r="H61" s="1" t="s">
        <v>462</v>
      </c>
    </row>
    <row r="62" spans="1:8" ht="15" customHeight="1" x14ac:dyDescent="0.25">
      <c r="A62" s="1" t="s">
        <v>464</v>
      </c>
      <c r="B62" s="1" t="s">
        <v>238</v>
      </c>
      <c r="C62" s="1" t="s">
        <v>280</v>
      </c>
      <c r="D62" s="5">
        <v>79.541354258071351</v>
      </c>
      <c r="E62" s="5">
        <v>0.74426692822589191</v>
      </c>
      <c r="F62" s="1" t="s">
        <v>282</v>
      </c>
      <c r="G62" s="1" t="s">
        <v>283</v>
      </c>
      <c r="H62" s="1" t="s">
        <v>462</v>
      </c>
    </row>
    <row r="63" spans="1:8" ht="15" customHeight="1" x14ac:dyDescent="0.25">
      <c r="A63" s="1" t="s">
        <v>464</v>
      </c>
      <c r="B63" s="1" t="s">
        <v>238</v>
      </c>
      <c r="C63" s="1" t="s">
        <v>287</v>
      </c>
      <c r="D63" s="5">
        <v>0.41686880937942189</v>
      </c>
      <c r="E63" s="5">
        <v>0.41686880937942189</v>
      </c>
      <c r="F63" s="1" t="s">
        <v>106</v>
      </c>
      <c r="G63" s="1" t="s">
        <v>283</v>
      </c>
      <c r="H63" s="1" t="s">
        <v>462</v>
      </c>
    </row>
    <row r="64" spans="1:8" ht="15" customHeight="1" x14ac:dyDescent="0.25">
      <c r="A64" s="1" t="s">
        <v>464</v>
      </c>
      <c r="B64" s="1" t="s">
        <v>238</v>
      </c>
      <c r="C64" s="1" t="s">
        <v>294</v>
      </c>
      <c r="D64" s="5">
        <v>0.9681647521388449</v>
      </c>
      <c r="E64" s="5">
        <v>0.8408237606942246</v>
      </c>
      <c r="F64" s="1" t="s">
        <v>97</v>
      </c>
      <c r="G64" s="1" t="s">
        <v>271</v>
      </c>
      <c r="H64" s="1" t="s">
        <v>462</v>
      </c>
    </row>
    <row r="65" spans="1:8" ht="15" customHeight="1" x14ac:dyDescent="0.25">
      <c r="A65" s="1" t="s">
        <v>465</v>
      </c>
      <c r="B65" s="1" t="s">
        <v>119</v>
      </c>
      <c r="C65" s="1" t="s">
        <v>120</v>
      </c>
      <c r="D65" s="5">
        <v>1</v>
      </c>
      <c r="E65" s="5">
        <v>1</v>
      </c>
      <c r="F65" s="1" t="s">
        <v>73</v>
      </c>
      <c r="G65" s="1" t="s">
        <v>122</v>
      </c>
      <c r="H65" s="1" t="s">
        <v>462</v>
      </c>
    </row>
    <row r="66" spans="1:8" ht="15" customHeight="1" x14ac:dyDescent="0.25">
      <c r="A66" s="1" t="s">
        <v>465</v>
      </c>
      <c r="B66" s="1" t="s">
        <v>119</v>
      </c>
      <c r="C66" s="1" t="s">
        <v>128</v>
      </c>
      <c r="D66" s="5">
        <v>1</v>
      </c>
      <c r="E66" s="5">
        <v>1</v>
      </c>
      <c r="F66" s="1" t="s">
        <v>73</v>
      </c>
      <c r="G66" s="1" t="s">
        <v>122</v>
      </c>
      <c r="H66" s="1" t="s">
        <v>462</v>
      </c>
    </row>
    <row r="67" spans="1:8" ht="15" customHeight="1" x14ac:dyDescent="0.25">
      <c r="A67" s="1" t="s">
        <v>465</v>
      </c>
      <c r="B67" s="1" t="s">
        <v>119</v>
      </c>
      <c r="C67" s="1" t="s">
        <v>133</v>
      </c>
      <c r="D67" s="5">
        <v>1</v>
      </c>
      <c r="E67" s="5">
        <v>1</v>
      </c>
      <c r="F67" s="1" t="s">
        <v>73</v>
      </c>
      <c r="G67" s="1" t="s">
        <v>135</v>
      </c>
      <c r="H67" s="1" t="s">
        <v>462</v>
      </c>
    </row>
    <row r="68" spans="1:8" ht="15" customHeight="1" x14ac:dyDescent="0.25">
      <c r="A68" s="1" t="s">
        <v>465</v>
      </c>
      <c r="B68" s="1" t="s">
        <v>119</v>
      </c>
      <c r="C68" s="1" t="s">
        <v>139</v>
      </c>
      <c r="D68" s="5">
        <v>1</v>
      </c>
      <c r="E68" s="5">
        <v>1</v>
      </c>
      <c r="F68" s="1" t="s">
        <v>73</v>
      </c>
      <c r="G68" s="1" t="s">
        <v>141</v>
      </c>
      <c r="H68" s="1" t="s">
        <v>462</v>
      </c>
    </row>
    <row r="69" spans="1:8" ht="15" customHeight="1" x14ac:dyDescent="0.25">
      <c r="A69" s="1" t="s">
        <v>465</v>
      </c>
      <c r="B69" s="1" t="s">
        <v>119</v>
      </c>
      <c r="C69" s="1" t="s">
        <v>145</v>
      </c>
      <c r="D69" s="5">
        <v>0</v>
      </c>
      <c r="E69" s="5">
        <v>1</v>
      </c>
      <c r="F69" s="1" t="s">
        <v>73</v>
      </c>
      <c r="G69" s="1" t="s">
        <v>147</v>
      </c>
      <c r="H69" s="1" t="s">
        <v>462</v>
      </c>
    </row>
    <row r="70" spans="1:8" ht="15" customHeight="1" x14ac:dyDescent="0.25">
      <c r="A70" s="1" t="s">
        <v>465</v>
      </c>
      <c r="B70" s="1" t="s">
        <v>151</v>
      </c>
      <c r="C70" s="1" t="s">
        <v>152</v>
      </c>
      <c r="D70" s="5">
        <v>0.98206720109940449</v>
      </c>
      <c r="E70" s="5">
        <v>0.97011200183234081</v>
      </c>
      <c r="F70" s="1" t="s">
        <v>73</v>
      </c>
      <c r="G70" s="1" t="s">
        <v>154</v>
      </c>
      <c r="H70" s="1" t="s">
        <v>462</v>
      </c>
    </row>
    <row r="71" spans="1:8" ht="15" customHeight="1" x14ac:dyDescent="0.25">
      <c r="A71" s="1" t="s">
        <v>465</v>
      </c>
      <c r="B71" s="1" t="s">
        <v>151</v>
      </c>
      <c r="C71" s="1" t="s">
        <v>160</v>
      </c>
      <c r="D71" s="5">
        <v>0.96263185654008443</v>
      </c>
      <c r="E71" s="5">
        <v>0.93771976090014075</v>
      </c>
      <c r="F71" s="1" t="s">
        <v>73</v>
      </c>
      <c r="G71" s="1" t="s">
        <v>154</v>
      </c>
      <c r="H71" s="1" t="s">
        <v>462</v>
      </c>
    </row>
    <row r="72" spans="1:8" ht="15" customHeight="1" x14ac:dyDescent="0.25">
      <c r="A72" s="1" t="s">
        <v>465</v>
      </c>
      <c r="B72" s="1" t="s">
        <v>151</v>
      </c>
      <c r="C72" s="1" t="s">
        <v>165</v>
      </c>
      <c r="D72" s="5">
        <v>0.39065088077661558</v>
      </c>
      <c r="E72" s="5">
        <v>0.63668639902923052</v>
      </c>
      <c r="F72" s="1" t="s">
        <v>73</v>
      </c>
      <c r="G72" s="1" t="s">
        <v>168</v>
      </c>
      <c r="H72" s="1" t="s">
        <v>462</v>
      </c>
    </row>
    <row r="73" spans="1:8" ht="15" customHeight="1" x14ac:dyDescent="0.25">
      <c r="A73" s="1" t="s">
        <v>465</v>
      </c>
      <c r="B73" s="1" t="s">
        <v>151</v>
      </c>
      <c r="C73" s="1" t="s">
        <v>172</v>
      </c>
      <c r="D73" s="5">
        <v>0.34566311347891582</v>
      </c>
      <c r="E73" s="5">
        <v>0.69292110815135521</v>
      </c>
      <c r="F73" s="1" t="s">
        <v>73</v>
      </c>
      <c r="G73" s="1" t="s">
        <v>168</v>
      </c>
      <c r="H73" s="1" t="s">
        <v>462</v>
      </c>
    </row>
    <row r="74" spans="1:8" ht="15" customHeight="1" x14ac:dyDescent="0.25">
      <c r="A74" s="1" t="s">
        <v>465</v>
      </c>
      <c r="B74" s="1" t="s">
        <v>151</v>
      </c>
      <c r="C74" s="1" t="s">
        <v>177</v>
      </c>
      <c r="D74" s="5">
        <v>0.43556098592906772</v>
      </c>
      <c r="E74" s="5">
        <v>0.58054876758866536</v>
      </c>
      <c r="F74" s="1" t="s">
        <v>73</v>
      </c>
      <c r="G74" s="1" t="s">
        <v>168</v>
      </c>
      <c r="H74" s="1" t="s">
        <v>462</v>
      </c>
    </row>
    <row r="75" spans="1:8" ht="15" customHeight="1" x14ac:dyDescent="0.25">
      <c r="A75" s="1" t="s">
        <v>465</v>
      </c>
      <c r="B75" s="1" t="s">
        <v>238</v>
      </c>
      <c r="C75" s="1" t="s">
        <v>239</v>
      </c>
      <c r="D75" s="5">
        <v>394.73147673804573</v>
      </c>
      <c r="E75" s="5">
        <v>0.76317130815488565</v>
      </c>
      <c r="F75" s="1" t="s">
        <v>90</v>
      </c>
      <c r="G75" s="1" t="s">
        <v>242</v>
      </c>
      <c r="H75" s="1" t="s">
        <v>462</v>
      </c>
    </row>
    <row r="76" spans="1:8" ht="15" customHeight="1" x14ac:dyDescent="0.25">
      <c r="A76" s="1" t="s">
        <v>465</v>
      </c>
      <c r="B76" s="1" t="s">
        <v>238</v>
      </c>
      <c r="C76" s="1" t="s">
        <v>246</v>
      </c>
      <c r="D76" s="5">
        <v>0.35567446646304046</v>
      </c>
      <c r="E76" s="5">
        <v>0.48581383384239879</v>
      </c>
      <c r="F76" s="1" t="s">
        <v>90</v>
      </c>
      <c r="G76" s="1" t="s">
        <v>242</v>
      </c>
      <c r="H76" s="1" t="s">
        <v>462</v>
      </c>
    </row>
    <row r="77" spans="1:8" ht="15" customHeight="1" x14ac:dyDescent="0.25">
      <c r="A77" s="1" t="s">
        <v>465</v>
      </c>
      <c r="B77" s="1" t="s">
        <v>238</v>
      </c>
      <c r="C77" s="1" t="s">
        <v>251</v>
      </c>
      <c r="D77" s="5">
        <v>0.82196224678976049</v>
      </c>
      <c r="E77" s="5">
        <v>1</v>
      </c>
      <c r="F77" s="1" t="s">
        <v>225</v>
      </c>
      <c r="G77" s="1" t="s">
        <v>242</v>
      </c>
      <c r="H77" s="1" t="s">
        <v>462</v>
      </c>
    </row>
    <row r="78" spans="1:8" ht="15" customHeight="1" x14ac:dyDescent="0.25">
      <c r="A78" s="1" t="s">
        <v>465</v>
      </c>
      <c r="B78" s="1" t="s">
        <v>238</v>
      </c>
      <c r="C78" s="1" t="s">
        <v>256</v>
      </c>
      <c r="D78" s="5">
        <v>1.0982335323190271</v>
      </c>
      <c r="E78" s="5">
        <v>0.43970808460121619</v>
      </c>
      <c r="F78" s="1" t="s">
        <v>90</v>
      </c>
      <c r="G78" s="1" t="s">
        <v>258</v>
      </c>
      <c r="H78" s="1" t="s">
        <v>462</v>
      </c>
    </row>
    <row r="79" spans="1:8" ht="15" customHeight="1" x14ac:dyDescent="0.25">
      <c r="A79" s="1" t="s">
        <v>465</v>
      </c>
      <c r="B79" s="1" t="s">
        <v>238</v>
      </c>
      <c r="C79" s="1" t="s">
        <v>264</v>
      </c>
      <c r="D79" s="5">
        <v>0.56628899075120642</v>
      </c>
      <c r="E79" s="5">
        <v>0.56628899075120642</v>
      </c>
      <c r="F79" s="1" t="s">
        <v>225</v>
      </c>
      <c r="G79" s="1" t="s">
        <v>258</v>
      </c>
      <c r="H79" s="1" t="s">
        <v>462</v>
      </c>
    </row>
    <row r="80" spans="1:8" ht="15" customHeight="1" x14ac:dyDescent="0.25">
      <c r="A80" s="1" t="s">
        <v>465</v>
      </c>
      <c r="B80" s="1" t="s">
        <v>238</v>
      </c>
      <c r="C80" s="1" t="s">
        <v>269</v>
      </c>
      <c r="D80" s="5">
        <v>0.54884268983162765</v>
      </c>
      <c r="E80" s="5">
        <v>1</v>
      </c>
      <c r="F80" s="1" t="s">
        <v>225</v>
      </c>
      <c r="G80" s="1" t="s">
        <v>271</v>
      </c>
      <c r="H80" s="1" t="s">
        <v>462</v>
      </c>
    </row>
    <row r="81" spans="1:8" ht="15" customHeight="1" x14ac:dyDescent="0.25">
      <c r="A81" s="1" t="s">
        <v>465</v>
      </c>
      <c r="B81" s="1" t="s">
        <v>238</v>
      </c>
      <c r="C81" s="1" t="s">
        <v>275</v>
      </c>
      <c r="D81" s="5">
        <v>0.19744236000046361</v>
      </c>
      <c r="E81" s="5">
        <v>1</v>
      </c>
      <c r="F81" s="1" t="s">
        <v>97</v>
      </c>
      <c r="G81" s="1" t="s">
        <v>271</v>
      </c>
      <c r="H81" s="1" t="s">
        <v>462</v>
      </c>
    </row>
    <row r="82" spans="1:8" ht="15" customHeight="1" x14ac:dyDescent="0.25">
      <c r="A82" s="1" t="s">
        <v>465</v>
      </c>
      <c r="B82" s="1" t="s">
        <v>238</v>
      </c>
      <c r="C82" s="1" t="s">
        <v>280</v>
      </c>
      <c r="D82" s="5">
        <v>79.541354258071351</v>
      </c>
      <c r="E82" s="5">
        <v>0.74426692822589191</v>
      </c>
      <c r="F82" s="1" t="s">
        <v>282</v>
      </c>
      <c r="G82" s="1" t="s">
        <v>283</v>
      </c>
      <c r="H82" s="1" t="s">
        <v>462</v>
      </c>
    </row>
    <row r="83" spans="1:8" ht="15" customHeight="1" x14ac:dyDescent="0.25">
      <c r="A83" s="1" t="s">
        <v>465</v>
      </c>
      <c r="B83" s="1" t="s">
        <v>238</v>
      </c>
      <c r="C83" s="1" t="s">
        <v>287</v>
      </c>
      <c r="D83" s="5">
        <v>0.41686880937942189</v>
      </c>
      <c r="E83" s="5">
        <v>0.41686880937942189</v>
      </c>
      <c r="F83" s="1" t="s">
        <v>106</v>
      </c>
      <c r="G83" s="1" t="s">
        <v>283</v>
      </c>
      <c r="H83" s="1" t="s">
        <v>462</v>
      </c>
    </row>
    <row r="84" spans="1:8" ht="15" customHeight="1" x14ac:dyDescent="0.25">
      <c r="A84" s="1" t="s">
        <v>465</v>
      </c>
      <c r="B84" s="1" t="s">
        <v>238</v>
      </c>
      <c r="C84" s="1" t="s">
        <v>294</v>
      </c>
      <c r="D84" s="5">
        <v>0.9681647521388449</v>
      </c>
      <c r="E84" s="5">
        <v>0.8408237606942246</v>
      </c>
      <c r="F84" s="1" t="s">
        <v>97</v>
      </c>
      <c r="G84" s="1" t="s">
        <v>271</v>
      </c>
      <c r="H84" s="1" t="s">
        <v>462</v>
      </c>
    </row>
  </sheetData>
  <mergeCells count="3">
    <mergeCell ref="A1:H1"/>
    <mergeCell ref="B2:H2"/>
    <mergeCell ref="J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2"/>
  <sheetViews>
    <sheetView tabSelected="1" topLeftCell="A3" workbookViewId="0">
      <selection activeCell="A15" sqref="A15:XFD15"/>
    </sheetView>
  </sheetViews>
  <sheetFormatPr defaultRowHeight="15" x14ac:dyDescent="0.25"/>
  <cols>
    <col min="1" max="1" width="10" customWidth="1"/>
    <col min="2" max="2" width="8" customWidth="1"/>
    <col min="3" max="3" width="34" customWidth="1"/>
    <col min="4" max="4" width="20" customWidth="1"/>
    <col min="5" max="5" width="28" customWidth="1"/>
    <col min="6" max="6" width="12" customWidth="1"/>
    <col min="7" max="7" width="14" customWidth="1"/>
    <col min="8" max="10" width="11" customWidth="1"/>
    <col min="11" max="11" width="12" customWidth="1"/>
    <col min="12" max="12" width="15" customWidth="1"/>
    <col min="13" max="13" width="14" customWidth="1"/>
    <col min="14" max="14" width="12" customWidth="1"/>
    <col min="15" max="15" width="14" customWidth="1"/>
    <col min="16" max="16" width="12" customWidth="1"/>
    <col min="17" max="17" width="18" customWidth="1"/>
  </cols>
  <sheetData>
    <row r="1" spans="1:17" ht="30" customHeight="1" x14ac:dyDescent="0.25">
      <c r="A1" s="12" t="s">
        <v>471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3" spans="1:17" ht="30" customHeight="1" x14ac:dyDescent="0.25">
      <c r="A3" s="3" t="s">
        <v>50</v>
      </c>
      <c r="B3" s="3" t="s">
        <v>51</v>
      </c>
      <c r="C3" s="3" t="s">
        <v>328</v>
      </c>
      <c r="D3" s="3" t="s">
        <v>472</v>
      </c>
      <c r="E3" s="3" t="s">
        <v>473</v>
      </c>
      <c r="F3" s="3" t="s">
        <v>54</v>
      </c>
      <c r="G3" s="3" t="s">
        <v>433</v>
      </c>
      <c r="H3" s="3" t="s">
        <v>329</v>
      </c>
      <c r="I3" s="3" t="s">
        <v>330</v>
      </c>
      <c r="J3" s="3" t="s">
        <v>331</v>
      </c>
      <c r="K3" s="3" t="s">
        <v>474</v>
      </c>
      <c r="L3" s="3" t="s">
        <v>475</v>
      </c>
      <c r="M3" s="3" t="s">
        <v>476</v>
      </c>
      <c r="N3" s="3" t="s">
        <v>477</v>
      </c>
      <c r="O3" s="3" t="s">
        <v>478</v>
      </c>
      <c r="P3" s="3" t="s">
        <v>64</v>
      </c>
      <c r="Q3" s="3" t="s">
        <v>479</v>
      </c>
    </row>
    <row r="4" spans="1:17" ht="15" customHeight="1" x14ac:dyDescent="0.25">
      <c r="A4" s="1" t="s">
        <v>68</v>
      </c>
      <c r="B4" s="1" t="s">
        <v>69</v>
      </c>
      <c r="C4" s="1" t="s">
        <v>70</v>
      </c>
      <c r="D4" s="1" t="s">
        <v>73</v>
      </c>
      <c r="E4" s="1" t="s">
        <v>74</v>
      </c>
      <c r="F4" s="1" t="s">
        <v>72</v>
      </c>
      <c r="G4" s="5">
        <v>0.72499999999999998</v>
      </c>
      <c r="H4" s="5">
        <v>0.4</v>
      </c>
      <c r="I4" s="5">
        <v>0.6</v>
      </c>
      <c r="J4" s="5">
        <v>0.8</v>
      </c>
      <c r="K4" s="5">
        <v>1</v>
      </c>
      <c r="L4" s="5">
        <f t="shared" ref="L4:L41" si="0">IF(F4="Positive",IF(G4&lt;H4,0,IF(G4&lt;I4,0.25+0.25*(G4-H4)/(I4-H4),IF(G4&lt;J4,0.5+0.25*(G4-I4)/(J4-I4),IF(G4&lt;K4,0.75+0.25*(G4-J4)/(K4-J4),1)))),IF(G4&gt;H4,0,IF(G4&gt;I4,0.25+0.25*(H4-G4)/(H4-I4),IF(G4&gt;J4,0.5+0.25*(I4-G4)/(I4-J4),IF(G4&gt;K4,0.75+0.25*(J4-G4)/(J4-K4),1)))))</f>
        <v>0.65625</v>
      </c>
      <c r="M4" s="1" t="str">
        <f t="shared" ref="M4:M41" si="1">IF(L4&lt;0.25,"Low",IF(L4&lt;0.5,"Moderate",IF(L4&lt;0.75,"Good","Excellent")))</f>
        <v>Good</v>
      </c>
      <c r="N4" s="5">
        <v>0.16666666666666666</v>
      </c>
      <c r="O4" s="5">
        <v>0.125</v>
      </c>
      <c r="P4" s="1" t="s">
        <v>30</v>
      </c>
      <c r="Q4" s="5">
        <f>IF(P4&lt;&gt;"Yes",0,L4*IF('01_CONTROL'!$B$11="Equal indicators",N4,O4))</f>
        <v>8.203125E-2</v>
      </c>
    </row>
    <row r="5" spans="1:17" ht="15" customHeight="1" x14ac:dyDescent="0.25">
      <c r="A5" s="1" t="s">
        <v>68</v>
      </c>
      <c r="B5" s="1" t="s">
        <v>81</v>
      </c>
      <c r="C5" s="1" t="s">
        <v>82</v>
      </c>
      <c r="D5" s="1" t="s">
        <v>73</v>
      </c>
      <c r="E5" s="1" t="s">
        <v>74</v>
      </c>
      <c r="F5" s="1" t="s">
        <v>72</v>
      </c>
      <c r="G5" s="5">
        <v>0.81718292336732146</v>
      </c>
      <c r="H5" s="5">
        <v>0.4</v>
      </c>
      <c r="I5" s="5">
        <v>0.6</v>
      </c>
      <c r="J5" s="5">
        <v>0.8</v>
      </c>
      <c r="K5" s="5">
        <v>1</v>
      </c>
      <c r="L5" s="5">
        <f t="shared" si="0"/>
        <v>0.77147865420915174</v>
      </c>
      <c r="M5" s="1" t="str">
        <f t="shared" si="1"/>
        <v>Excellent</v>
      </c>
      <c r="N5" s="5">
        <v>0.16666666666666666</v>
      </c>
      <c r="O5" s="5">
        <v>0.125</v>
      </c>
      <c r="P5" s="1" t="s">
        <v>30</v>
      </c>
      <c r="Q5" s="5">
        <f>IF(P5&lt;&gt;"Yes",0,L5*IF('01_CONTROL'!$B$11="Equal indicators",N5,O5))</f>
        <v>9.6434831776143967E-2</v>
      </c>
    </row>
    <row r="6" spans="1:17" ht="15" customHeight="1" x14ac:dyDescent="0.25">
      <c r="A6" s="1" t="s">
        <v>68</v>
      </c>
      <c r="B6" s="1" t="s">
        <v>86</v>
      </c>
      <c r="C6" s="1" t="s">
        <v>87</v>
      </c>
      <c r="D6" s="1" t="s">
        <v>90</v>
      </c>
      <c r="E6" s="1" t="s">
        <v>91</v>
      </c>
      <c r="F6" s="1" t="s">
        <v>89</v>
      </c>
      <c r="G6" s="5">
        <v>4.5</v>
      </c>
      <c r="H6" s="5">
        <v>12</v>
      </c>
      <c r="I6" s="5">
        <v>6</v>
      </c>
      <c r="J6" s="5">
        <v>3</v>
      </c>
      <c r="K6" s="5">
        <v>0</v>
      </c>
      <c r="L6" s="5">
        <f t="shared" si="0"/>
        <v>0.625</v>
      </c>
      <c r="M6" s="1" t="str">
        <f t="shared" si="1"/>
        <v>Good</v>
      </c>
      <c r="N6" s="5">
        <v>0.16666666666666666</v>
      </c>
      <c r="O6" s="5">
        <v>0.25</v>
      </c>
      <c r="P6" s="1" t="s">
        <v>30</v>
      </c>
      <c r="Q6" s="5">
        <f>IF(P6&lt;&gt;"Yes",0,L6*IF('01_CONTROL'!$B$11="Equal indicators",N6,O6))</f>
        <v>0.15625</v>
      </c>
    </row>
    <row r="7" spans="1:17" ht="15" customHeight="1" x14ac:dyDescent="0.25">
      <c r="A7" s="1" t="s">
        <v>68</v>
      </c>
      <c r="B7" s="1" t="s">
        <v>95</v>
      </c>
      <c r="C7" s="1" t="s">
        <v>96</v>
      </c>
      <c r="D7" s="1" t="s">
        <v>97</v>
      </c>
      <c r="E7" s="1" t="s">
        <v>98</v>
      </c>
      <c r="F7" s="1" t="s">
        <v>89</v>
      </c>
      <c r="G7" s="5">
        <v>0.87666571724298115</v>
      </c>
      <c r="H7" s="5">
        <v>1.1000000000000001</v>
      </c>
      <c r="I7" s="5">
        <v>0.9</v>
      </c>
      <c r="J7" s="5">
        <v>0.5</v>
      </c>
      <c r="K7" s="5">
        <v>0</v>
      </c>
      <c r="L7" s="5">
        <f t="shared" si="0"/>
        <v>0.5145839267231368</v>
      </c>
      <c r="M7" s="1" t="str">
        <f t="shared" si="1"/>
        <v>Good</v>
      </c>
      <c r="N7" s="5">
        <v>0.16666666666666666</v>
      </c>
      <c r="O7" s="5">
        <v>0.25</v>
      </c>
      <c r="P7" s="1" t="s">
        <v>30</v>
      </c>
      <c r="Q7" s="5">
        <f>IF(P7&lt;&gt;"Yes",0,L7*IF('01_CONTROL'!$B$11="Equal indicators",N7,O7))</f>
        <v>0.1286459816807842</v>
      </c>
    </row>
    <row r="8" spans="1:17" ht="15" customHeight="1" x14ac:dyDescent="0.25">
      <c r="A8" s="1" t="s">
        <v>68</v>
      </c>
      <c r="B8" s="1" t="s">
        <v>104</v>
      </c>
      <c r="C8" s="1" t="s">
        <v>105</v>
      </c>
      <c r="D8" s="1" t="s">
        <v>106</v>
      </c>
      <c r="E8" s="1" t="s">
        <v>107</v>
      </c>
      <c r="F8" s="1" t="s">
        <v>72</v>
      </c>
      <c r="G8" s="5">
        <v>7.0450965952559681</v>
      </c>
      <c r="H8" s="5">
        <v>0.75</v>
      </c>
      <c r="I8" s="5">
        <v>1.5</v>
      </c>
      <c r="J8" s="5">
        <v>3</v>
      </c>
      <c r="K8" s="5">
        <v>90.830935457300612</v>
      </c>
      <c r="L8" s="5">
        <f t="shared" si="0"/>
        <v>0.76151387200362486</v>
      </c>
      <c r="M8" s="1" t="str">
        <f t="shared" si="1"/>
        <v>Excellent</v>
      </c>
      <c r="N8" s="5">
        <v>0.16666666666666666</v>
      </c>
      <c r="O8" s="5">
        <v>0.125</v>
      </c>
      <c r="P8" s="1" t="s">
        <v>30</v>
      </c>
      <c r="Q8" s="5">
        <f>IF(P8&lt;&gt;"Yes",0,L8*IF('01_CONTROL'!$B$11="Equal indicators",N8,O8))</f>
        <v>9.5189234000453107E-2</v>
      </c>
    </row>
    <row r="9" spans="1:17" ht="15" customHeight="1" x14ac:dyDescent="0.25">
      <c r="A9" s="1" t="s">
        <v>68</v>
      </c>
      <c r="B9" s="1" t="s">
        <v>113</v>
      </c>
      <c r="C9" s="1" t="s">
        <v>114</v>
      </c>
      <c r="D9" s="1" t="s">
        <v>90</v>
      </c>
      <c r="E9" s="1" t="s">
        <v>107</v>
      </c>
      <c r="F9" s="1" t="s">
        <v>89</v>
      </c>
      <c r="G9" s="5">
        <v>1.8398792409504849</v>
      </c>
      <c r="H9" s="5">
        <v>2</v>
      </c>
      <c r="I9" s="5">
        <v>1.5</v>
      </c>
      <c r="J9" s="5">
        <v>1.05</v>
      </c>
      <c r="K9" s="5">
        <v>1</v>
      </c>
      <c r="L9" s="5">
        <f t="shared" si="0"/>
        <v>0.33006037952475753</v>
      </c>
      <c r="M9" s="1" t="str">
        <f t="shared" si="1"/>
        <v>Moderate</v>
      </c>
      <c r="N9" s="5">
        <v>0.16666666666666666</v>
      </c>
      <c r="O9" s="5">
        <v>0.125</v>
      </c>
      <c r="P9" s="1" t="s">
        <v>30</v>
      </c>
      <c r="Q9" s="5">
        <f>IF(P9&lt;&gt;"Yes",0,L9*IF('01_CONTROL'!$B$11="Equal indicators",N9,O9))</f>
        <v>4.1257547440594691E-2</v>
      </c>
    </row>
    <row r="10" spans="1:17" ht="15" customHeight="1" x14ac:dyDescent="0.25">
      <c r="A10" s="1" t="s">
        <v>119</v>
      </c>
      <c r="B10" s="1" t="s">
        <v>120</v>
      </c>
      <c r="C10" s="1" t="s">
        <v>121</v>
      </c>
      <c r="D10" s="1" t="s">
        <v>73</v>
      </c>
      <c r="E10" s="1" t="s">
        <v>122</v>
      </c>
      <c r="F10" s="1" t="s">
        <v>72</v>
      </c>
      <c r="G10" s="5">
        <v>0.99375000000000002</v>
      </c>
      <c r="H10" s="5">
        <v>0.5</v>
      </c>
      <c r="I10" s="5">
        <v>0.6</v>
      </c>
      <c r="J10" s="5">
        <v>0.8</v>
      </c>
      <c r="K10" s="5">
        <v>1</v>
      </c>
      <c r="L10" s="5">
        <f t="shared" si="0"/>
        <v>0.9921875</v>
      </c>
      <c r="M10" s="1" t="str">
        <f t="shared" si="1"/>
        <v>Excellent</v>
      </c>
      <c r="N10" s="5">
        <v>0.2</v>
      </c>
      <c r="O10" s="5">
        <v>0.125</v>
      </c>
      <c r="P10" s="1" t="s">
        <v>30</v>
      </c>
      <c r="Q10" s="5">
        <f>IF(P10&lt;&gt;"Yes",0,L10*IF('01_CONTROL'!$B$11="Equal indicators",N10,O10))</f>
        <v>0.1240234375</v>
      </c>
    </row>
    <row r="11" spans="1:17" ht="15" customHeight="1" x14ac:dyDescent="0.25">
      <c r="A11" s="1" t="s">
        <v>119</v>
      </c>
      <c r="B11" s="1" t="s">
        <v>128</v>
      </c>
      <c r="C11" s="1" t="s">
        <v>129</v>
      </c>
      <c r="D11" s="1" t="s">
        <v>73</v>
      </c>
      <c r="E11" s="1" t="s">
        <v>122</v>
      </c>
      <c r="F11" s="1" t="s">
        <v>72</v>
      </c>
      <c r="G11" s="5">
        <v>0.99046393325311666</v>
      </c>
      <c r="H11" s="5">
        <v>0.5</v>
      </c>
      <c r="I11" s="5">
        <v>0.6</v>
      </c>
      <c r="J11" s="5">
        <v>0.8</v>
      </c>
      <c r="K11" s="5">
        <v>1</v>
      </c>
      <c r="L11" s="5">
        <f t="shared" si="0"/>
        <v>0.98807991656639582</v>
      </c>
      <c r="M11" s="1" t="str">
        <f t="shared" si="1"/>
        <v>Excellent</v>
      </c>
      <c r="N11" s="5">
        <v>0.2</v>
      </c>
      <c r="O11" s="5">
        <v>0.125</v>
      </c>
      <c r="P11" s="1" t="s">
        <v>30</v>
      </c>
      <c r="Q11" s="5">
        <f>IF(P11&lt;&gt;"Yes",0,L11*IF('01_CONTROL'!$B$11="Equal indicators",N11,O11))</f>
        <v>0.12350998957079948</v>
      </c>
    </row>
    <row r="12" spans="1:17" ht="15" customHeight="1" x14ac:dyDescent="0.25">
      <c r="A12" s="1" t="s">
        <v>119</v>
      </c>
      <c r="B12" s="1" t="s">
        <v>133</v>
      </c>
      <c r="C12" s="1" t="s">
        <v>134</v>
      </c>
      <c r="D12" s="1" t="s">
        <v>73</v>
      </c>
      <c r="E12" s="1" t="s">
        <v>135</v>
      </c>
      <c r="F12" s="1" t="s">
        <v>72</v>
      </c>
      <c r="G12" s="5">
        <v>0.77155359092303755</v>
      </c>
      <c r="H12" s="5">
        <v>0.7</v>
      </c>
      <c r="I12" s="5">
        <v>0.75</v>
      </c>
      <c r="J12" s="5">
        <v>0.8</v>
      </c>
      <c r="K12" s="5">
        <v>1</v>
      </c>
      <c r="L12" s="5">
        <f t="shared" si="0"/>
        <v>0.60776795461518762</v>
      </c>
      <c r="M12" s="1" t="str">
        <f t="shared" si="1"/>
        <v>Good</v>
      </c>
      <c r="N12" s="5">
        <v>0.2</v>
      </c>
      <c r="O12" s="5">
        <v>0.25</v>
      </c>
      <c r="P12" s="1" t="s">
        <v>30</v>
      </c>
      <c r="Q12" s="5">
        <f>IF(P12&lt;&gt;"Yes",0,L12*IF('01_CONTROL'!$B$11="Equal indicators",N12,O12))</f>
        <v>0.15194198865379691</v>
      </c>
    </row>
    <row r="13" spans="1:17" ht="15" customHeight="1" x14ac:dyDescent="0.25">
      <c r="A13" s="1" t="s">
        <v>119</v>
      </c>
      <c r="B13" s="1" t="s">
        <v>139</v>
      </c>
      <c r="C13" s="1" t="s">
        <v>140</v>
      </c>
      <c r="D13" s="1" t="s">
        <v>73</v>
      </c>
      <c r="E13" s="1" t="s">
        <v>141</v>
      </c>
      <c r="F13" s="1" t="s">
        <v>72</v>
      </c>
      <c r="G13" s="5">
        <v>0.83333333333333326</v>
      </c>
      <c r="H13" s="5">
        <v>0.25</v>
      </c>
      <c r="I13" s="5">
        <v>0.5</v>
      </c>
      <c r="J13" s="5">
        <v>0.75</v>
      </c>
      <c r="K13" s="5">
        <v>1</v>
      </c>
      <c r="L13" s="5">
        <f t="shared" si="0"/>
        <v>0.83333333333333326</v>
      </c>
      <c r="M13" s="1" t="str">
        <f t="shared" si="1"/>
        <v>Excellent</v>
      </c>
      <c r="N13" s="5">
        <v>0.2</v>
      </c>
      <c r="O13" s="5">
        <v>0.25</v>
      </c>
      <c r="P13" s="1" t="s">
        <v>30</v>
      </c>
      <c r="Q13" s="5">
        <f>IF(P13&lt;&gt;"Yes",0,L13*IF('01_CONTROL'!$B$11="Equal indicators",N13,O13))</f>
        <v>0.20833333333333331</v>
      </c>
    </row>
    <row r="14" spans="1:17" ht="15" customHeight="1" x14ac:dyDescent="0.25">
      <c r="A14" s="1" t="s">
        <v>119</v>
      </c>
      <c r="B14" s="1" t="s">
        <v>145</v>
      </c>
      <c r="C14" s="1" t="s">
        <v>146</v>
      </c>
      <c r="D14" s="1" t="s">
        <v>73</v>
      </c>
      <c r="E14" s="1" t="s">
        <v>147</v>
      </c>
      <c r="F14" s="1" t="s">
        <v>89</v>
      </c>
      <c r="G14" s="5">
        <v>0</v>
      </c>
      <c r="H14" s="5">
        <v>0.3</v>
      </c>
      <c r="I14" s="5">
        <v>0.1</v>
      </c>
      <c r="J14" s="5">
        <v>0.01</v>
      </c>
      <c r="K14" s="5">
        <v>0</v>
      </c>
      <c r="L14" s="5">
        <f t="shared" si="0"/>
        <v>1</v>
      </c>
      <c r="M14" s="1" t="str">
        <f t="shared" si="1"/>
        <v>Excellent</v>
      </c>
      <c r="N14" s="5">
        <v>0.2</v>
      </c>
      <c r="O14" s="5">
        <v>0.25</v>
      </c>
      <c r="P14" s="1" t="s">
        <v>30</v>
      </c>
      <c r="Q14" s="5">
        <f>IF(P14&lt;&gt;"Yes",0,L14*IF('01_CONTROL'!$B$11="Equal indicators",N14,O14))</f>
        <v>0.25</v>
      </c>
    </row>
    <row r="15" spans="1:17" ht="15" customHeight="1" x14ac:dyDescent="0.25">
      <c r="A15" s="1" t="s">
        <v>151</v>
      </c>
      <c r="B15" s="1" t="s">
        <v>152</v>
      </c>
      <c r="C15" s="17" t="s">
        <v>161</v>
      </c>
      <c r="D15" s="1" t="s">
        <v>73</v>
      </c>
      <c r="E15" s="1" t="s">
        <v>154</v>
      </c>
      <c r="F15" s="1" t="s">
        <v>72</v>
      </c>
      <c r="G15" s="5">
        <v>0.9819737926182841</v>
      </c>
      <c r="H15" s="5">
        <v>0.5</v>
      </c>
      <c r="I15" s="5">
        <v>0.75</v>
      </c>
      <c r="J15" s="5">
        <v>0.85</v>
      </c>
      <c r="K15" s="5">
        <v>1</v>
      </c>
      <c r="L15" s="5">
        <f t="shared" si="0"/>
        <v>0.96995632103047347</v>
      </c>
      <c r="M15" s="1" t="str">
        <f t="shared" si="1"/>
        <v>Excellent</v>
      </c>
      <c r="N15" s="5">
        <v>0.2</v>
      </c>
      <c r="O15" s="5">
        <v>0.25</v>
      </c>
      <c r="P15" s="1" t="s">
        <v>30</v>
      </c>
      <c r="Q15" s="5">
        <f>IF(P15&lt;&gt;"Yes",0,L15*IF('01_CONTROL'!$B$11="Equal indicators",N15,O15))</f>
        <v>0.24248908025761837</v>
      </c>
    </row>
    <row r="16" spans="1:17" ht="15" customHeight="1" x14ac:dyDescent="0.25">
      <c r="A16" s="1" t="s">
        <v>151</v>
      </c>
      <c r="B16" s="1" t="s">
        <v>160</v>
      </c>
      <c r="C16" s="17" t="s">
        <v>751</v>
      </c>
      <c r="D16" s="1" t="s">
        <v>73</v>
      </c>
      <c r="E16" s="1" t="s">
        <v>154</v>
      </c>
      <c r="F16" s="1" t="s">
        <v>72</v>
      </c>
      <c r="G16" s="5">
        <v>0.94655854430379738</v>
      </c>
      <c r="H16" s="5">
        <v>0.5</v>
      </c>
      <c r="I16" s="5">
        <v>0.75</v>
      </c>
      <c r="J16" s="5">
        <v>0.85</v>
      </c>
      <c r="K16" s="5">
        <v>1</v>
      </c>
      <c r="L16" s="5">
        <f t="shared" si="0"/>
        <v>0.91093090717299563</v>
      </c>
      <c r="M16" s="1" t="str">
        <f t="shared" si="1"/>
        <v>Excellent</v>
      </c>
      <c r="N16" s="5">
        <v>0.2</v>
      </c>
      <c r="O16" s="5">
        <v>0.25</v>
      </c>
      <c r="P16" s="1" t="s">
        <v>30</v>
      </c>
      <c r="Q16" s="5">
        <f>IF(P16&lt;&gt;"Yes",0,L16*IF('01_CONTROL'!$B$11="Equal indicators",N16,O16))</f>
        <v>0.22773272679324891</v>
      </c>
    </row>
    <row r="17" spans="1:17" ht="15" customHeight="1" x14ac:dyDescent="0.25">
      <c r="A17" s="1" t="s">
        <v>151</v>
      </c>
      <c r="B17" s="1" t="s">
        <v>165</v>
      </c>
      <c r="C17" s="17" t="s">
        <v>752</v>
      </c>
      <c r="D17" s="1" t="s">
        <v>73</v>
      </c>
      <c r="E17" s="1" t="s">
        <v>168</v>
      </c>
      <c r="F17" s="1" t="s">
        <v>89</v>
      </c>
      <c r="G17" s="5">
        <v>0.39790148373247947</v>
      </c>
      <c r="H17" s="5">
        <v>1</v>
      </c>
      <c r="I17" s="5">
        <v>0.5</v>
      </c>
      <c r="J17" s="5">
        <v>0.3</v>
      </c>
      <c r="K17" s="5">
        <v>0.05</v>
      </c>
      <c r="L17" s="5">
        <f t="shared" si="0"/>
        <v>0.62762314533440067</v>
      </c>
      <c r="M17" s="1" t="str">
        <f t="shared" si="1"/>
        <v>Good</v>
      </c>
      <c r="N17" s="5">
        <v>0.2</v>
      </c>
      <c r="O17" s="5">
        <v>0.16666666666666666</v>
      </c>
      <c r="P17" s="1" t="s">
        <v>30</v>
      </c>
      <c r="Q17" s="5">
        <f>IF(P17&lt;&gt;"Yes",0,L17*IF('01_CONTROL'!$B$11="Equal indicators",N17,O17))</f>
        <v>0.10460385755573344</v>
      </c>
    </row>
    <row r="18" spans="1:17" ht="15" customHeight="1" x14ac:dyDescent="0.25">
      <c r="A18" s="1" t="s">
        <v>151</v>
      </c>
      <c r="B18" s="1" t="s">
        <v>172</v>
      </c>
      <c r="C18" s="17" t="s">
        <v>753</v>
      </c>
      <c r="D18" s="1" t="s">
        <v>73</v>
      </c>
      <c r="E18" s="1" t="s">
        <v>168</v>
      </c>
      <c r="F18" s="1" t="s">
        <v>89</v>
      </c>
      <c r="G18" s="5">
        <v>0.3442534490523983</v>
      </c>
      <c r="H18" s="5">
        <v>1</v>
      </c>
      <c r="I18" s="5">
        <v>0.5</v>
      </c>
      <c r="J18" s="5">
        <v>0.3</v>
      </c>
      <c r="K18" s="5">
        <v>0.05</v>
      </c>
      <c r="L18" s="5">
        <f t="shared" si="0"/>
        <v>0.69468318868450218</v>
      </c>
      <c r="M18" s="1" t="str">
        <f t="shared" si="1"/>
        <v>Good</v>
      </c>
      <c r="N18" s="5">
        <v>0.2</v>
      </c>
      <c r="O18" s="5">
        <v>0.16666666666666666</v>
      </c>
      <c r="P18" s="1" t="s">
        <v>30</v>
      </c>
      <c r="Q18" s="5">
        <f>IF(P18&lt;&gt;"Yes",0,L18*IF('01_CONTROL'!$B$11="Equal indicators",N18,O18))</f>
        <v>0.11578053144741703</v>
      </c>
    </row>
    <row r="19" spans="1:17" ht="15" customHeight="1" x14ac:dyDescent="0.25">
      <c r="A19" s="1" t="s">
        <v>151</v>
      </c>
      <c r="B19" s="1" t="s">
        <v>177</v>
      </c>
      <c r="C19" s="17" t="s">
        <v>754</v>
      </c>
      <c r="D19" s="1" t="s">
        <v>73</v>
      </c>
      <c r="E19" s="1" t="s">
        <v>168</v>
      </c>
      <c r="F19" s="1" t="s">
        <v>89</v>
      </c>
      <c r="G19" s="5">
        <v>0.43260758789703413</v>
      </c>
      <c r="H19" s="5">
        <v>1</v>
      </c>
      <c r="I19" s="5">
        <v>0.5</v>
      </c>
      <c r="J19" s="5">
        <v>0.3</v>
      </c>
      <c r="K19" s="5">
        <v>0.05</v>
      </c>
      <c r="L19" s="5">
        <f t="shared" si="0"/>
        <v>0.58424051512870734</v>
      </c>
      <c r="M19" s="1" t="str">
        <f t="shared" si="1"/>
        <v>Good</v>
      </c>
      <c r="N19" s="5">
        <v>0.2</v>
      </c>
      <c r="O19" s="5">
        <v>0.16666666666666666</v>
      </c>
      <c r="P19" s="1" t="s">
        <v>30</v>
      </c>
      <c r="Q19" s="5">
        <f>IF(P19&lt;&gt;"Yes",0,L19*IF('01_CONTROL'!$B$11="Equal indicators",N19,O19))</f>
        <v>9.7373419188117885E-2</v>
      </c>
    </row>
    <row r="20" spans="1:17" ht="15" customHeight="1" x14ac:dyDescent="0.25">
      <c r="A20" s="1" t="s">
        <v>182</v>
      </c>
      <c r="B20" s="1" t="s">
        <v>183</v>
      </c>
      <c r="C20" s="1" t="s">
        <v>184</v>
      </c>
      <c r="D20" s="1" t="s">
        <v>73</v>
      </c>
      <c r="E20" s="1" t="s">
        <v>186</v>
      </c>
      <c r="F20" s="1" t="s">
        <v>89</v>
      </c>
      <c r="G20" s="5">
        <v>1041.7706584759974</v>
      </c>
      <c r="H20" s="5">
        <v>2000</v>
      </c>
      <c r="I20" s="5">
        <v>1500</v>
      </c>
      <c r="J20" s="5">
        <v>1000</v>
      </c>
      <c r="K20" s="5">
        <v>500</v>
      </c>
      <c r="L20" s="5">
        <f t="shared" si="0"/>
        <v>0.72911467076200132</v>
      </c>
      <c r="M20" s="1" t="str">
        <f t="shared" si="1"/>
        <v>Good</v>
      </c>
      <c r="N20" s="5">
        <v>0.125</v>
      </c>
      <c r="O20" s="5">
        <v>8.3333333333333329E-2</v>
      </c>
      <c r="P20" s="1" t="s">
        <v>30</v>
      </c>
      <c r="Q20" s="5">
        <f>IF(P20&lt;&gt;"Yes",0,L20*IF('01_CONTROL'!$B$11="Equal indicators",N20,O20))</f>
        <v>6.0759555896833441E-2</v>
      </c>
    </row>
    <row r="21" spans="1:17" ht="15" customHeight="1" x14ac:dyDescent="0.25">
      <c r="A21" s="1" t="s">
        <v>182</v>
      </c>
      <c r="B21" s="1" t="s">
        <v>192</v>
      </c>
      <c r="C21" s="1" t="s">
        <v>193</v>
      </c>
      <c r="D21" s="1" t="s">
        <v>73</v>
      </c>
      <c r="E21" s="1" t="s">
        <v>186</v>
      </c>
      <c r="F21" s="1" t="s">
        <v>89</v>
      </c>
      <c r="G21" s="5">
        <v>0.22960575375370904</v>
      </c>
      <c r="H21" s="5">
        <v>0.4</v>
      </c>
      <c r="I21" s="5">
        <v>0.3</v>
      </c>
      <c r="J21" s="5">
        <v>0.2</v>
      </c>
      <c r="K21" s="5">
        <v>0.1</v>
      </c>
      <c r="L21" s="5">
        <f t="shared" si="0"/>
        <v>0.67598561561572745</v>
      </c>
      <c r="M21" s="1" t="str">
        <f t="shared" si="1"/>
        <v>Good</v>
      </c>
      <c r="N21" s="5">
        <v>0.125</v>
      </c>
      <c r="O21" s="5">
        <v>8.3333333333333329E-2</v>
      </c>
      <c r="P21" s="1" t="s">
        <v>30</v>
      </c>
      <c r="Q21" s="5">
        <f>IF(P21&lt;&gt;"Yes",0,L21*IF('01_CONTROL'!$B$11="Equal indicators",N21,O21))</f>
        <v>5.6332134634643954E-2</v>
      </c>
    </row>
    <row r="22" spans="1:17" ht="15" customHeight="1" x14ac:dyDescent="0.25">
      <c r="A22" s="1" t="s">
        <v>182</v>
      </c>
      <c r="B22" s="1" t="s">
        <v>198</v>
      </c>
      <c r="C22" s="1" t="s">
        <v>199</v>
      </c>
      <c r="D22" s="1" t="s">
        <v>73</v>
      </c>
      <c r="E22" s="1" t="s">
        <v>186</v>
      </c>
      <c r="F22" s="1" t="s">
        <v>89</v>
      </c>
      <c r="G22" s="5">
        <v>0.21587532967923723</v>
      </c>
      <c r="H22" s="5">
        <v>0.35</v>
      </c>
      <c r="I22" s="5">
        <v>0.25</v>
      </c>
      <c r="J22" s="5">
        <v>0.15</v>
      </c>
      <c r="K22" s="5">
        <v>0.1</v>
      </c>
      <c r="L22" s="5">
        <f t="shared" si="0"/>
        <v>0.58531167580190691</v>
      </c>
      <c r="M22" s="1" t="str">
        <f t="shared" si="1"/>
        <v>Good</v>
      </c>
      <c r="N22" s="5">
        <v>0.125</v>
      </c>
      <c r="O22" s="5">
        <v>8.3333333333333329E-2</v>
      </c>
      <c r="P22" s="1" t="s">
        <v>30</v>
      </c>
      <c r="Q22" s="5">
        <f>IF(P22&lt;&gt;"Yes",0,L22*IF('01_CONTROL'!$B$11="Equal indicators",N22,O22))</f>
        <v>4.877597298349224E-2</v>
      </c>
    </row>
    <row r="23" spans="1:17" ht="15" customHeight="1" x14ac:dyDescent="0.25">
      <c r="A23" s="1" t="s">
        <v>182</v>
      </c>
      <c r="B23" s="1" t="s">
        <v>204</v>
      </c>
      <c r="C23" s="1" t="s">
        <v>205</v>
      </c>
      <c r="D23" s="1" t="s">
        <v>97</v>
      </c>
      <c r="E23" s="1" t="s">
        <v>207</v>
      </c>
      <c r="F23" s="1" t="s">
        <v>89</v>
      </c>
      <c r="G23" s="5">
        <v>125.02781052037633</v>
      </c>
      <c r="H23" s="5">
        <v>200</v>
      </c>
      <c r="I23" s="5">
        <v>150</v>
      </c>
      <c r="J23" s="5">
        <v>100</v>
      </c>
      <c r="K23" s="5">
        <v>50</v>
      </c>
      <c r="L23" s="5">
        <f t="shared" si="0"/>
        <v>0.62486094739811837</v>
      </c>
      <c r="M23" s="1" t="str">
        <f t="shared" si="1"/>
        <v>Good</v>
      </c>
      <c r="N23" s="5">
        <v>0.125</v>
      </c>
      <c r="O23" s="5">
        <v>8.3333333333333329E-2</v>
      </c>
      <c r="P23" s="1" t="s">
        <v>30</v>
      </c>
      <c r="Q23" s="5">
        <f>IF(P23&lt;&gt;"Yes",0,L23*IF('01_CONTROL'!$B$11="Equal indicators",N23,O23))</f>
        <v>5.207174561650986E-2</v>
      </c>
    </row>
    <row r="24" spans="1:17" ht="15" customHeight="1" x14ac:dyDescent="0.25">
      <c r="A24" s="1" t="s">
        <v>182</v>
      </c>
      <c r="B24" s="1" t="s">
        <v>212</v>
      </c>
      <c r="C24" s="1" t="s">
        <v>213</v>
      </c>
      <c r="D24" s="1" t="s">
        <v>97</v>
      </c>
      <c r="E24" s="1" t="s">
        <v>207</v>
      </c>
      <c r="F24" s="1" t="s">
        <v>89</v>
      </c>
      <c r="G24" s="5">
        <v>2.7269710024471022E-2</v>
      </c>
      <c r="H24" s="5">
        <v>0.06</v>
      </c>
      <c r="I24" s="5">
        <v>0.04</v>
      </c>
      <c r="J24" s="5">
        <v>0.02</v>
      </c>
      <c r="K24" s="5">
        <v>0.01</v>
      </c>
      <c r="L24" s="5">
        <f t="shared" si="0"/>
        <v>0.65912862469411226</v>
      </c>
      <c r="M24" s="1" t="str">
        <f t="shared" si="1"/>
        <v>Good</v>
      </c>
      <c r="N24" s="5">
        <v>0.125</v>
      </c>
      <c r="O24" s="5">
        <v>8.3333333333333329E-2</v>
      </c>
      <c r="P24" s="1" t="s">
        <v>30</v>
      </c>
      <c r="Q24" s="5">
        <f>IF(P24&lt;&gt;"Yes",0,L24*IF('01_CONTROL'!$B$11="Equal indicators",N24,O24))</f>
        <v>5.4927385391176017E-2</v>
      </c>
    </row>
    <row r="25" spans="1:17" ht="15" customHeight="1" x14ac:dyDescent="0.25">
      <c r="A25" s="1" t="s">
        <v>182</v>
      </c>
      <c r="B25" s="1" t="s">
        <v>218</v>
      </c>
      <c r="C25" s="1" t="s">
        <v>219</v>
      </c>
      <c r="D25" s="1" t="s">
        <v>97</v>
      </c>
      <c r="E25" s="1" t="s">
        <v>207</v>
      </c>
      <c r="F25" s="1" t="s">
        <v>89</v>
      </c>
      <c r="G25" s="5">
        <v>2.5638981365007658E-2</v>
      </c>
      <c r="H25" s="5">
        <v>0.06</v>
      </c>
      <c r="I25" s="5">
        <v>0.04</v>
      </c>
      <c r="J25" s="5">
        <v>0.02</v>
      </c>
      <c r="K25" s="5">
        <v>0.01</v>
      </c>
      <c r="L25" s="5">
        <f t="shared" si="0"/>
        <v>0.67951273293740422</v>
      </c>
      <c r="M25" s="1" t="str">
        <f t="shared" si="1"/>
        <v>Good</v>
      </c>
      <c r="N25" s="5">
        <v>0.125</v>
      </c>
      <c r="O25" s="5">
        <v>8.3333333333333329E-2</v>
      </c>
      <c r="P25" s="1" t="s">
        <v>30</v>
      </c>
      <c r="Q25" s="5">
        <f>IF(P25&lt;&gt;"Yes",0,L25*IF('01_CONTROL'!$B$11="Equal indicators",N25,O25))</f>
        <v>5.6626061078117018E-2</v>
      </c>
    </row>
    <row r="26" spans="1:17" ht="15" customHeight="1" x14ac:dyDescent="0.25">
      <c r="A26" s="1" t="s">
        <v>182</v>
      </c>
      <c r="B26" s="1" t="s">
        <v>223</v>
      </c>
      <c r="C26" s="1" t="s">
        <v>224</v>
      </c>
      <c r="D26" s="1" t="s">
        <v>225</v>
      </c>
      <c r="E26" s="1" t="s">
        <v>226</v>
      </c>
      <c r="F26" s="1" t="s">
        <v>72</v>
      </c>
      <c r="G26" s="5">
        <v>9.2583037616575589E-2</v>
      </c>
      <c r="H26" s="5">
        <v>0.05</v>
      </c>
      <c r="I26" s="5">
        <v>0.1</v>
      </c>
      <c r="J26" s="5">
        <v>0.2</v>
      </c>
      <c r="K26" s="5">
        <v>0.4</v>
      </c>
      <c r="L26" s="5">
        <f t="shared" si="0"/>
        <v>0.4629151880828779</v>
      </c>
      <c r="M26" s="1" t="str">
        <f t="shared" si="1"/>
        <v>Moderate</v>
      </c>
      <c r="N26" s="5">
        <v>0.125</v>
      </c>
      <c r="O26" s="5">
        <v>0.25</v>
      </c>
      <c r="P26" s="1" t="s">
        <v>30</v>
      </c>
      <c r="Q26" s="5">
        <f>IF(P26&lt;&gt;"Yes",0,L26*IF('01_CONTROL'!$B$11="Equal indicators",N26,O26))</f>
        <v>0.11572879702071948</v>
      </c>
    </row>
    <row r="27" spans="1:17" ht="15" customHeight="1" x14ac:dyDescent="0.25">
      <c r="A27" s="1" t="s">
        <v>182</v>
      </c>
      <c r="B27" s="1" t="s">
        <v>232</v>
      </c>
      <c r="C27" s="1" t="s">
        <v>233</v>
      </c>
      <c r="D27" s="1" t="s">
        <v>225</v>
      </c>
      <c r="E27" s="1" t="s">
        <v>234</v>
      </c>
      <c r="F27" s="1" t="s">
        <v>72</v>
      </c>
      <c r="G27" s="5">
        <v>0.80611897953339418</v>
      </c>
      <c r="H27" s="5">
        <v>0</v>
      </c>
      <c r="I27" s="5">
        <v>0.25</v>
      </c>
      <c r="J27" s="5">
        <v>0.5</v>
      </c>
      <c r="K27" s="5">
        <v>1</v>
      </c>
      <c r="L27" s="5">
        <f t="shared" si="0"/>
        <v>0.90305948976669703</v>
      </c>
      <c r="M27" s="1" t="str">
        <f t="shared" si="1"/>
        <v>Excellent</v>
      </c>
      <c r="N27" s="5">
        <v>0.125</v>
      </c>
      <c r="O27" s="5">
        <v>0.25</v>
      </c>
      <c r="P27" s="1" t="s">
        <v>30</v>
      </c>
      <c r="Q27" s="5">
        <f>IF(P27&lt;&gt;"Yes",0,L27*IF('01_CONTROL'!$B$11="Equal indicators",N27,O27))</f>
        <v>0.22576487244167426</v>
      </c>
    </row>
    <row r="28" spans="1:17" ht="15" customHeight="1" x14ac:dyDescent="0.25">
      <c r="A28" s="1" t="s">
        <v>238</v>
      </c>
      <c r="B28" s="1" t="s">
        <v>239</v>
      </c>
      <c r="C28" s="1" t="s">
        <v>240</v>
      </c>
      <c r="D28" s="1" t="s">
        <v>90</v>
      </c>
      <c r="E28" s="1" t="s">
        <v>242</v>
      </c>
      <c r="F28" s="1" t="s">
        <v>89</v>
      </c>
      <c r="G28" s="5">
        <v>452.76810590153343</v>
      </c>
      <c r="H28" s="5">
        <v>600</v>
      </c>
      <c r="I28" s="5">
        <v>500</v>
      </c>
      <c r="J28" s="5">
        <v>400</v>
      </c>
      <c r="K28" s="5">
        <v>300</v>
      </c>
      <c r="L28" s="5">
        <f t="shared" si="0"/>
        <v>0.61807973524616644</v>
      </c>
      <c r="M28" s="1" t="str">
        <f t="shared" si="1"/>
        <v>Good</v>
      </c>
      <c r="N28" s="5">
        <v>0.1</v>
      </c>
      <c r="O28" s="5">
        <v>8.3333333333333329E-2</v>
      </c>
      <c r="P28" s="1" t="s">
        <v>30</v>
      </c>
      <c r="Q28" s="5">
        <f>IF(P28&lt;&gt;"Yes",0,L28*IF('01_CONTROL'!$B$11="Equal indicators",N28,O28))</f>
        <v>5.1506644603847199E-2</v>
      </c>
    </row>
    <row r="29" spans="1:17" ht="15" customHeight="1" x14ac:dyDescent="0.25">
      <c r="A29" s="1" t="s">
        <v>238</v>
      </c>
      <c r="B29" s="1" t="s">
        <v>246</v>
      </c>
      <c r="C29" s="1" t="s">
        <v>247</v>
      </c>
      <c r="D29" s="1" t="s">
        <v>90</v>
      </c>
      <c r="E29" s="1" t="s">
        <v>242</v>
      </c>
      <c r="F29" s="1" t="s">
        <v>89</v>
      </c>
      <c r="G29" s="5">
        <v>0.346597972625526</v>
      </c>
      <c r="H29" s="5">
        <v>0.45</v>
      </c>
      <c r="I29" s="5">
        <v>0.35</v>
      </c>
      <c r="J29" s="5">
        <v>0.25</v>
      </c>
      <c r="K29" s="5">
        <v>0.2</v>
      </c>
      <c r="L29" s="5">
        <f t="shared" si="0"/>
        <v>0.50850506843618493</v>
      </c>
      <c r="M29" s="1" t="str">
        <f t="shared" si="1"/>
        <v>Good</v>
      </c>
      <c r="N29" s="5">
        <v>0.1</v>
      </c>
      <c r="O29" s="5">
        <v>8.3333333333333329E-2</v>
      </c>
      <c r="P29" s="1" t="s">
        <v>30</v>
      </c>
      <c r="Q29" s="5">
        <f>IF(P29&lt;&gt;"Yes",0,L29*IF('01_CONTROL'!$B$11="Equal indicators",N29,O29))</f>
        <v>4.2375422369682073E-2</v>
      </c>
    </row>
    <row r="30" spans="1:17" ht="15" customHeight="1" x14ac:dyDescent="0.25">
      <c r="A30" s="1" t="s">
        <v>238</v>
      </c>
      <c r="B30" s="1" t="s">
        <v>251</v>
      </c>
      <c r="C30" s="1" t="s">
        <v>252</v>
      </c>
      <c r="D30" s="1" t="s">
        <v>225</v>
      </c>
      <c r="E30" s="1" t="s">
        <v>242</v>
      </c>
      <c r="F30" s="1" t="s">
        <v>72</v>
      </c>
      <c r="G30" s="5">
        <v>0.76322927397826212</v>
      </c>
      <c r="H30" s="5">
        <v>0.25</v>
      </c>
      <c r="I30" s="5">
        <v>0.5</v>
      </c>
      <c r="J30" s="5">
        <v>0.75</v>
      </c>
      <c r="K30" s="5">
        <v>0.8</v>
      </c>
      <c r="L30" s="5">
        <f t="shared" si="0"/>
        <v>0.81614636989131051</v>
      </c>
      <c r="M30" s="1" t="str">
        <f t="shared" si="1"/>
        <v>Excellent</v>
      </c>
      <c r="N30" s="5">
        <v>0.1</v>
      </c>
      <c r="O30" s="5">
        <v>8.3333333333333329E-2</v>
      </c>
      <c r="P30" s="1" t="s">
        <v>30</v>
      </c>
      <c r="Q30" s="5">
        <f>IF(P30&lt;&gt;"Yes",0,L30*IF('01_CONTROL'!$B$11="Equal indicators",N30,O30))</f>
        <v>6.8012197490942533E-2</v>
      </c>
    </row>
    <row r="31" spans="1:17" ht="15" customHeight="1" x14ac:dyDescent="0.25">
      <c r="A31" s="1" t="s">
        <v>238</v>
      </c>
      <c r="B31" s="1" t="s">
        <v>256</v>
      </c>
      <c r="C31" s="1" t="s">
        <v>257</v>
      </c>
      <c r="D31" s="1" t="s">
        <v>90</v>
      </c>
      <c r="E31" s="1" t="s">
        <v>258</v>
      </c>
      <c r="F31" s="1" t="s">
        <v>89</v>
      </c>
      <c r="G31" s="5">
        <v>1.0071750145918217</v>
      </c>
      <c r="H31" s="5">
        <v>1.25</v>
      </c>
      <c r="I31" s="5">
        <v>1.05</v>
      </c>
      <c r="J31" s="5">
        <v>0.75</v>
      </c>
      <c r="K31" s="5">
        <v>0.5</v>
      </c>
      <c r="L31" s="5">
        <f t="shared" si="0"/>
        <v>0.53568748784014864</v>
      </c>
      <c r="M31" s="1" t="str">
        <f t="shared" si="1"/>
        <v>Good</v>
      </c>
      <c r="N31" s="5">
        <v>0.1</v>
      </c>
      <c r="O31" s="5">
        <v>0.125</v>
      </c>
      <c r="P31" s="1" t="s">
        <v>30</v>
      </c>
      <c r="Q31" s="5">
        <f>IF(P31&lt;&gt;"Yes",0,L31*IF('01_CONTROL'!$B$11="Equal indicators",N31,O31))</f>
        <v>6.6960935980018579E-2</v>
      </c>
    </row>
    <row r="32" spans="1:17" ht="15" customHeight="1" x14ac:dyDescent="0.25">
      <c r="A32" s="1" t="s">
        <v>238</v>
      </c>
      <c r="B32" s="1" t="s">
        <v>264</v>
      </c>
      <c r="C32" s="1" t="s">
        <v>265</v>
      </c>
      <c r="D32" s="1" t="s">
        <v>225</v>
      </c>
      <c r="E32" s="1" t="s">
        <v>258</v>
      </c>
      <c r="F32" s="1" t="s">
        <v>72</v>
      </c>
      <c r="G32" s="5">
        <v>0.56628899075120642</v>
      </c>
      <c r="H32" s="5">
        <v>0.25</v>
      </c>
      <c r="I32" s="5">
        <v>0.5</v>
      </c>
      <c r="J32" s="5">
        <v>0.75</v>
      </c>
      <c r="K32" s="5">
        <v>1</v>
      </c>
      <c r="L32" s="5">
        <f t="shared" si="0"/>
        <v>0.56628899075120642</v>
      </c>
      <c r="M32" s="1" t="str">
        <f t="shared" si="1"/>
        <v>Good</v>
      </c>
      <c r="N32" s="5">
        <v>0.1</v>
      </c>
      <c r="O32" s="5">
        <v>0.125</v>
      </c>
      <c r="P32" s="1" t="s">
        <v>30</v>
      </c>
      <c r="Q32" s="5">
        <f>IF(P32&lt;&gt;"Yes",0,L32*IF('01_CONTROL'!$B$11="Equal indicators",N32,O32))</f>
        <v>7.0786123843900803E-2</v>
      </c>
    </row>
    <row r="33" spans="1:17" ht="15" customHeight="1" x14ac:dyDescent="0.25">
      <c r="A33" s="1" t="s">
        <v>238</v>
      </c>
      <c r="B33" s="1" t="s">
        <v>269</v>
      </c>
      <c r="C33" s="1" t="s">
        <v>270</v>
      </c>
      <c r="D33" s="1" t="s">
        <v>225</v>
      </c>
      <c r="E33" s="1" t="s">
        <v>271</v>
      </c>
      <c r="F33" s="1" t="s">
        <v>72</v>
      </c>
      <c r="G33" s="5">
        <v>0.54884268983162765</v>
      </c>
      <c r="H33" s="5">
        <v>0</v>
      </c>
      <c r="I33" s="5">
        <v>0.2</v>
      </c>
      <c r="J33" s="5">
        <v>0.25</v>
      </c>
      <c r="K33" s="5">
        <v>0.3</v>
      </c>
      <c r="L33" s="5">
        <f t="shared" si="0"/>
        <v>1</v>
      </c>
      <c r="M33" s="1" t="str">
        <f t="shared" si="1"/>
        <v>Excellent</v>
      </c>
      <c r="N33" s="5">
        <v>0.1</v>
      </c>
      <c r="O33" s="5">
        <v>8.3333333333333329E-2</v>
      </c>
      <c r="P33" s="1" t="s">
        <v>30</v>
      </c>
      <c r="Q33" s="5">
        <f>IF(P33&lt;&gt;"Yes",0,L33*IF('01_CONTROL'!$B$11="Equal indicators",N33,O33))</f>
        <v>8.3333333333333329E-2</v>
      </c>
    </row>
    <row r="34" spans="1:17" ht="15" customHeight="1" x14ac:dyDescent="0.25">
      <c r="A34" s="1" t="s">
        <v>238</v>
      </c>
      <c r="B34" s="1" t="s">
        <v>275</v>
      </c>
      <c r="C34" s="1" t="s">
        <v>276</v>
      </c>
      <c r="D34" s="1" t="s">
        <v>97</v>
      </c>
      <c r="E34" s="1" t="s">
        <v>271</v>
      </c>
      <c r="F34" s="1" t="s">
        <v>89</v>
      </c>
      <c r="G34" s="5">
        <v>0.19744236000046361</v>
      </c>
      <c r="H34" s="5">
        <v>0.6</v>
      </c>
      <c r="I34" s="5">
        <v>0.4</v>
      </c>
      <c r="J34" s="5">
        <v>0.3</v>
      </c>
      <c r="K34" s="5">
        <v>0.2</v>
      </c>
      <c r="L34" s="5">
        <f t="shared" si="0"/>
        <v>1</v>
      </c>
      <c r="M34" s="1" t="str">
        <f t="shared" si="1"/>
        <v>Excellent</v>
      </c>
      <c r="N34" s="5">
        <v>0.1</v>
      </c>
      <c r="O34" s="5">
        <v>8.3333333333333329E-2</v>
      </c>
      <c r="P34" s="1" t="s">
        <v>30</v>
      </c>
      <c r="Q34" s="5">
        <f>IF(P34&lt;&gt;"Yes",0,L34*IF('01_CONTROL'!$B$11="Equal indicators",N34,O34))</f>
        <v>8.3333333333333329E-2</v>
      </c>
    </row>
    <row r="35" spans="1:17" ht="15" customHeight="1" x14ac:dyDescent="0.25">
      <c r="A35" s="1" t="s">
        <v>238</v>
      </c>
      <c r="B35" s="1" t="s">
        <v>280</v>
      </c>
      <c r="C35" s="1" t="s">
        <v>281</v>
      </c>
      <c r="D35" s="1" t="s">
        <v>282</v>
      </c>
      <c r="E35" s="1" t="s">
        <v>283</v>
      </c>
      <c r="F35" s="1" t="s">
        <v>72</v>
      </c>
      <c r="G35" s="5">
        <v>79.541354258071351</v>
      </c>
      <c r="H35" s="5">
        <v>40</v>
      </c>
      <c r="I35" s="5">
        <v>60</v>
      </c>
      <c r="J35" s="5">
        <v>80</v>
      </c>
      <c r="K35" s="5">
        <v>100</v>
      </c>
      <c r="L35" s="5">
        <f t="shared" si="0"/>
        <v>0.74426692822589191</v>
      </c>
      <c r="M35" s="1" t="str">
        <f t="shared" si="1"/>
        <v>Good</v>
      </c>
      <c r="N35" s="5">
        <v>0.1</v>
      </c>
      <c r="O35" s="5">
        <v>0.125</v>
      </c>
      <c r="P35" s="1" t="s">
        <v>30</v>
      </c>
      <c r="Q35" s="5">
        <f>IF(P35&lt;&gt;"Yes",0,L35*IF('01_CONTROL'!$B$11="Equal indicators",N35,O35))</f>
        <v>9.3033366028236489E-2</v>
      </c>
    </row>
    <row r="36" spans="1:17" ht="15" customHeight="1" x14ac:dyDescent="0.25">
      <c r="A36" s="1" t="s">
        <v>238</v>
      </c>
      <c r="B36" s="1" t="s">
        <v>287</v>
      </c>
      <c r="C36" s="1" t="s">
        <v>288</v>
      </c>
      <c r="D36" s="1" t="s">
        <v>106</v>
      </c>
      <c r="E36" s="1" t="s">
        <v>283</v>
      </c>
      <c r="F36" s="1" t="s">
        <v>72</v>
      </c>
      <c r="G36" s="5">
        <v>0.41686880937942189</v>
      </c>
      <c r="H36" s="5">
        <v>0.25</v>
      </c>
      <c r="I36" s="5">
        <v>0.5</v>
      </c>
      <c r="J36" s="5">
        <v>0.75</v>
      </c>
      <c r="K36" s="5">
        <v>1</v>
      </c>
      <c r="L36" s="5">
        <f t="shared" si="0"/>
        <v>0.41686880937942189</v>
      </c>
      <c r="M36" s="1" t="str">
        <f t="shared" si="1"/>
        <v>Moderate</v>
      </c>
      <c r="N36" s="5">
        <v>0.1</v>
      </c>
      <c r="O36" s="5">
        <v>0.125</v>
      </c>
      <c r="P36" s="1" t="s">
        <v>30</v>
      </c>
      <c r="Q36" s="5">
        <f>IF(P36&lt;&gt;"Yes",0,L36*IF('01_CONTROL'!$B$11="Equal indicators",N36,O36))</f>
        <v>5.2108601172427736E-2</v>
      </c>
    </row>
    <row r="37" spans="1:17" ht="15" customHeight="1" x14ac:dyDescent="0.25">
      <c r="A37" s="1" t="s">
        <v>238</v>
      </c>
      <c r="B37" s="1" t="s">
        <v>294</v>
      </c>
      <c r="C37" s="1" t="s">
        <v>295</v>
      </c>
      <c r="D37" s="1" t="s">
        <v>97</v>
      </c>
      <c r="E37" s="1" t="s">
        <v>271</v>
      </c>
      <c r="F37" s="1" t="s">
        <v>72</v>
      </c>
      <c r="G37" s="5">
        <v>0.9681647521388449</v>
      </c>
      <c r="H37" s="5">
        <v>0.7</v>
      </c>
      <c r="I37" s="5">
        <v>0.85</v>
      </c>
      <c r="J37" s="5">
        <v>0.95</v>
      </c>
      <c r="K37" s="5">
        <v>1</v>
      </c>
      <c r="L37" s="5">
        <f t="shared" si="0"/>
        <v>0.8408237606942246</v>
      </c>
      <c r="M37" s="1" t="str">
        <f t="shared" si="1"/>
        <v>Excellent</v>
      </c>
      <c r="N37" s="5">
        <v>0.1</v>
      </c>
      <c r="O37" s="5">
        <v>8.3333333333333329E-2</v>
      </c>
      <c r="P37" s="1" t="s">
        <v>30</v>
      </c>
      <c r="Q37" s="5">
        <f>IF(P37&lt;&gt;"Yes",0,L37*IF('01_CONTROL'!$B$11="Equal indicators",N37,O37))</f>
        <v>7.0068646724518707E-2</v>
      </c>
    </row>
    <row r="38" spans="1:17" ht="15" customHeight="1" x14ac:dyDescent="0.25">
      <c r="A38" s="1" t="s">
        <v>299</v>
      </c>
      <c r="B38" s="1" t="s">
        <v>300</v>
      </c>
      <c r="C38" s="1" t="s">
        <v>301</v>
      </c>
      <c r="D38" s="1" t="s">
        <v>302</v>
      </c>
      <c r="E38" s="1" t="s">
        <v>303</v>
      </c>
      <c r="F38" s="1" t="s">
        <v>72</v>
      </c>
      <c r="G38" s="5">
        <v>0.8125</v>
      </c>
      <c r="H38" s="5">
        <v>0.25</v>
      </c>
      <c r="I38" s="5">
        <v>0.5</v>
      </c>
      <c r="J38" s="5">
        <v>0.75</v>
      </c>
      <c r="K38" s="5">
        <v>1</v>
      </c>
      <c r="L38" s="5">
        <f t="shared" si="0"/>
        <v>0.8125</v>
      </c>
      <c r="M38" s="1" t="str">
        <f t="shared" si="1"/>
        <v>Excellent</v>
      </c>
      <c r="N38" s="5">
        <v>0.25</v>
      </c>
      <c r="O38" s="5">
        <v>0.25</v>
      </c>
      <c r="P38" s="1" t="s">
        <v>30</v>
      </c>
      <c r="Q38" s="5">
        <f>IF(P38&lt;&gt;"Yes",0,L38*IF('01_CONTROL'!$B$11="Equal indicators",N38,O38))</f>
        <v>0.203125</v>
      </c>
    </row>
    <row r="39" spans="1:17" ht="15" customHeight="1" x14ac:dyDescent="0.25">
      <c r="A39" s="1" t="s">
        <v>299</v>
      </c>
      <c r="B39" s="1" t="s">
        <v>309</v>
      </c>
      <c r="C39" s="1" t="s">
        <v>310</v>
      </c>
      <c r="D39" s="1" t="s">
        <v>302</v>
      </c>
      <c r="E39" s="1" t="s">
        <v>311</v>
      </c>
      <c r="F39" s="1" t="s">
        <v>72</v>
      </c>
      <c r="G39" s="5">
        <v>0.625</v>
      </c>
      <c r="H39" s="5">
        <v>0.25</v>
      </c>
      <c r="I39" s="5">
        <v>0.5</v>
      </c>
      <c r="J39" s="5">
        <v>0.75</v>
      </c>
      <c r="K39" s="5">
        <v>1</v>
      </c>
      <c r="L39" s="5">
        <f t="shared" si="0"/>
        <v>0.625</v>
      </c>
      <c r="M39" s="1" t="str">
        <f t="shared" si="1"/>
        <v>Good</v>
      </c>
      <c r="N39" s="5">
        <v>0.25</v>
      </c>
      <c r="O39" s="5">
        <v>0.25</v>
      </c>
      <c r="P39" s="1" t="s">
        <v>30</v>
      </c>
      <c r="Q39" s="5">
        <f>IF(P39&lt;&gt;"Yes",0,L39*IF('01_CONTROL'!$B$11="Equal indicators",N39,O39))</f>
        <v>0.15625</v>
      </c>
    </row>
    <row r="40" spans="1:17" ht="15" customHeight="1" x14ac:dyDescent="0.25">
      <c r="A40" s="1" t="s">
        <v>299</v>
      </c>
      <c r="B40" s="1" t="s">
        <v>315</v>
      </c>
      <c r="C40" s="1" t="s">
        <v>316</v>
      </c>
      <c r="D40" s="1" t="s">
        <v>302</v>
      </c>
      <c r="E40" s="1" t="s">
        <v>317</v>
      </c>
      <c r="F40" s="1" t="s">
        <v>72</v>
      </c>
      <c r="G40" s="5">
        <v>0.5</v>
      </c>
      <c r="H40" s="5">
        <v>0.25</v>
      </c>
      <c r="I40" s="5">
        <v>0.5</v>
      </c>
      <c r="J40" s="5">
        <v>0.75</v>
      </c>
      <c r="K40" s="5">
        <v>1</v>
      </c>
      <c r="L40" s="5">
        <f t="shared" si="0"/>
        <v>0.5</v>
      </c>
      <c r="M40" s="1" t="str">
        <f t="shared" si="1"/>
        <v>Good</v>
      </c>
      <c r="N40" s="5">
        <v>0.25</v>
      </c>
      <c r="O40" s="5">
        <v>0.25</v>
      </c>
      <c r="P40" s="1" t="s">
        <v>30</v>
      </c>
      <c r="Q40" s="5">
        <f>IF(P40&lt;&gt;"Yes",0,L40*IF('01_CONTROL'!$B$11="Equal indicators",N40,O40))</f>
        <v>0.125</v>
      </c>
    </row>
    <row r="41" spans="1:17" ht="15" customHeight="1" x14ac:dyDescent="0.25">
      <c r="A41" s="1" t="s">
        <v>299</v>
      </c>
      <c r="B41" s="1" t="s">
        <v>321</v>
      </c>
      <c r="C41" s="1" t="s">
        <v>322</v>
      </c>
      <c r="D41" s="1" t="s">
        <v>302</v>
      </c>
      <c r="E41" s="1" t="s">
        <v>323</v>
      </c>
      <c r="F41" s="1" t="s">
        <v>72</v>
      </c>
      <c r="G41" s="5">
        <v>0.4375</v>
      </c>
      <c r="H41" s="5">
        <v>0.25</v>
      </c>
      <c r="I41" s="5">
        <v>0.5</v>
      </c>
      <c r="J41" s="5">
        <v>0.75</v>
      </c>
      <c r="K41" s="5">
        <v>1</v>
      </c>
      <c r="L41" s="5">
        <f t="shared" si="0"/>
        <v>0.4375</v>
      </c>
      <c r="M41" s="1" t="str">
        <f t="shared" si="1"/>
        <v>Moderate</v>
      </c>
      <c r="N41" s="5">
        <v>0.25</v>
      </c>
      <c r="O41" s="5">
        <v>0.25</v>
      </c>
      <c r="P41" s="1" t="s">
        <v>30</v>
      </c>
      <c r="Q41" s="5">
        <f>IF(P41&lt;&gt;"Yes",0,L41*IF('01_CONTROL'!$B$11="Equal indicators",N41,O41))</f>
        <v>0.109375</v>
      </c>
    </row>
    <row r="44" spans="1:17" x14ac:dyDescent="0.25">
      <c r="A44" s="14" t="s">
        <v>480</v>
      </c>
      <c r="B44" s="14"/>
      <c r="C44" s="14"/>
      <c r="D44" s="14"/>
      <c r="E44" s="14"/>
      <c r="F44" s="14"/>
      <c r="G44" s="14"/>
      <c r="H44" s="14"/>
    </row>
    <row r="45" spans="1:17" ht="30" customHeight="1" x14ac:dyDescent="0.25">
      <c r="A45" s="3" t="s">
        <v>50</v>
      </c>
      <c r="B45" s="3" t="s">
        <v>481</v>
      </c>
      <c r="C45" s="3" t="s">
        <v>40</v>
      </c>
      <c r="D45" s="3" t="s">
        <v>482</v>
      </c>
      <c r="E45" s="3" t="s">
        <v>476</v>
      </c>
      <c r="F45" s="3" t="s">
        <v>483</v>
      </c>
    </row>
    <row r="46" spans="1:17" ht="15" customHeight="1" x14ac:dyDescent="0.25">
      <c r="A46" s="1" t="s">
        <v>68</v>
      </c>
      <c r="B46" s="8">
        <f t="shared" ref="B46:B51" si="2">SUMPRODUCT((A$4:A$41=A46)*(P$4:P$41="Yes")*L$4:L$41)/COUNTIFS(A$4:A$41,A46,P$4:P$41,"Yes")</f>
        <v>0.60981447207677852</v>
      </c>
      <c r="C46" s="8">
        <f t="shared" ref="C46:C51" si="3">SUMPRODUCT((A$4:A$41=A46)*(P$4:P$41="Yes")*L$4:L$41*O$4:O$41)/SUMPRODUCT((A$4:A$41=A46)*(P$4:P$41="Yes")*O$4:O$41)</f>
        <v>0.59980884489797603</v>
      </c>
      <c r="D46" s="8">
        <f>IF('01_CONTROL'!$B$11="Equal indicators",B46,C46)</f>
        <v>0.59980884489797603</v>
      </c>
      <c r="E46" s="1" t="str">
        <f t="shared" ref="E46:E52" si="4">IF(D46&lt;0.25,"Low",IF(D46&lt;0.5,"Moderate",IF(D46&lt;0.75,"Good","Excellent")))</f>
        <v>Good</v>
      </c>
      <c r="F46" s="1" t="s">
        <v>484</v>
      </c>
    </row>
    <row r="47" spans="1:17" ht="15" customHeight="1" x14ac:dyDescent="0.25">
      <c r="A47" s="1" t="s">
        <v>119</v>
      </c>
      <c r="B47" s="8">
        <f t="shared" si="2"/>
        <v>0.88427374090298339</v>
      </c>
      <c r="C47" s="8">
        <f t="shared" si="3"/>
        <v>0.8578087490579297</v>
      </c>
      <c r="D47" s="8">
        <f>IF('01_CONTROL'!$B$11="Equal indicators",B47,C47)</f>
        <v>0.8578087490579297</v>
      </c>
      <c r="E47" s="1" t="str">
        <f t="shared" si="4"/>
        <v>Excellent</v>
      </c>
      <c r="F47" s="1" t="s">
        <v>485</v>
      </c>
    </row>
    <row r="48" spans="1:17" ht="15" customHeight="1" x14ac:dyDescent="0.25">
      <c r="A48" s="1" t="s">
        <v>151</v>
      </c>
      <c r="B48" s="8">
        <f t="shared" si="2"/>
        <v>0.7574868154702159</v>
      </c>
      <c r="C48" s="8">
        <f t="shared" si="3"/>
        <v>0.78797961524213578</v>
      </c>
      <c r="D48" s="8">
        <f>IF('01_CONTROL'!$B$11="Equal indicators",B48,C48)</f>
        <v>0.78797961524213578</v>
      </c>
      <c r="E48" s="1" t="str">
        <f t="shared" si="4"/>
        <v>Excellent</v>
      </c>
      <c r="F48" s="1" t="s">
        <v>486</v>
      </c>
    </row>
    <row r="49" spans="1:6" ht="15" customHeight="1" x14ac:dyDescent="0.25">
      <c r="A49" s="1" t="s">
        <v>182</v>
      </c>
      <c r="B49" s="8">
        <f t="shared" si="2"/>
        <v>0.66498611813235564</v>
      </c>
      <c r="C49" s="8">
        <f t="shared" si="3"/>
        <v>0.67098652506316625</v>
      </c>
      <c r="D49" s="8">
        <f>IF('01_CONTROL'!$B$11="Equal indicators",B49,C49)</f>
        <v>0.67098652506316625</v>
      </c>
      <c r="E49" s="1" t="str">
        <f t="shared" si="4"/>
        <v>Good</v>
      </c>
      <c r="F49" s="1" t="s">
        <v>487</v>
      </c>
    </row>
    <row r="50" spans="1:6" ht="15" customHeight="1" x14ac:dyDescent="0.25">
      <c r="A50" s="1" t="s">
        <v>238</v>
      </c>
      <c r="B50" s="8">
        <f t="shared" si="2"/>
        <v>0.70466671504645562</v>
      </c>
      <c r="C50" s="8">
        <f t="shared" si="3"/>
        <v>0.68151860488024085</v>
      </c>
      <c r="D50" s="8">
        <f>IF('01_CONTROL'!$B$11="Equal indicators",B50,C50)</f>
        <v>0.68151860488024085</v>
      </c>
      <c r="E50" s="1" t="str">
        <f t="shared" si="4"/>
        <v>Good</v>
      </c>
      <c r="F50" s="1" t="s">
        <v>488</v>
      </c>
    </row>
    <row r="51" spans="1:6" ht="15" customHeight="1" x14ac:dyDescent="0.25">
      <c r="A51" s="1" t="s">
        <v>299</v>
      </c>
      <c r="B51" s="8">
        <f t="shared" si="2"/>
        <v>0.59375</v>
      </c>
      <c r="C51" s="8">
        <f t="shared" si="3"/>
        <v>0.59375</v>
      </c>
      <c r="D51" s="8">
        <f>IF('01_CONTROL'!$B$11="Equal indicators",B51,C51)</f>
        <v>0.59375</v>
      </c>
      <c r="E51" s="1" t="str">
        <f t="shared" si="4"/>
        <v>Good</v>
      </c>
      <c r="F51" s="1" t="s">
        <v>489</v>
      </c>
    </row>
    <row r="52" spans="1:6" ht="15" customHeight="1" x14ac:dyDescent="0.25">
      <c r="A52" s="1" t="s">
        <v>490</v>
      </c>
      <c r="B52" s="8">
        <f>AVERAGE(B46:B51)</f>
        <v>0.70249631027146486</v>
      </c>
      <c r="C52" s="8">
        <f>AVERAGE(C46:C51)</f>
        <v>0.69864205652357481</v>
      </c>
      <c r="D52" s="8">
        <f>IF('01_CONTROL'!$B$11="Equal indicators",B52,C52)</f>
        <v>0.69864205652357481</v>
      </c>
      <c r="E52" s="1" t="str">
        <f t="shared" si="4"/>
        <v>Good</v>
      </c>
      <c r="F52" s="1" t="s">
        <v>491</v>
      </c>
    </row>
  </sheetData>
  <mergeCells count="2">
    <mergeCell ref="A1:Q1"/>
    <mergeCell ref="A44:H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2"/>
  <sheetViews>
    <sheetView workbookViewId="0">
      <selection activeCell="G33" sqref="G33"/>
    </sheetView>
  </sheetViews>
  <sheetFormatPr defaultRowHeight="15" x14ac:dyDescent="0.25"/>
  <cols>
    <col min="1" max="3" width="10" customWidth="1"/>
    <col min="4" max="7" width="14" customWidth="1"/>
    <col min="8" max="8" width="26" customWidth="1"/>
    <col min="9" max="9" width="50" customWidth="1"/>
    <col min="10" max="10" width="30" customWidth="1"/>
    <col min="11" max="11" width="14" customWidth="1"/>
  </cols>
  <sheetData>
    <row r="1" spans="1:11" ht="30" customHeight="1" x14ac:dyDescent="0.25">
      <c r="A1" s="12" t="s">
        <v>492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6" t="s">
        <v>493</v>
      </c>
      <c r="B2" s="16" t="s">
        <v>494</v>
      </c>
      <c r="C2" s="16"/>
      <c r="D2" s="16"/>
      <c r="E2" s="16"/>
      <c r="F2" s="16"/>
      <c r="G2" s="16"/>
      <c r="H2" s="16"/>
      <c r="I2" s="16"/>
      <c r="J2" s="16"/>
      <c r="K2" s="16"/>
    </row>
    <row r="4" spans="1:11" ht="30" customHeight="1" x14ac:dyDescent="0.25">
      <c r="A4" s="3" t="s">
        <v>50</v>
      </c>
      <c r="B4" s="3" t="s">
        <v>328</v>
      </c>
      <c r="C4" s="3" t="s">
        <v>495</v>
      </c>
      <c r="D4" s="3" t="s">
        <v>468</v>
      </c>
      <c r="E4" s="3" t="s">
        <v>496</v>
      </c>
      <c r="F4" s="3" t="s">
        <v>497</v>
      </c>
      <c r="G4" s="3" t="s">
        <v>498</v>
      </c>
      <c r="H4" s="3" t="s">
        <v>62</v>
      </c>
      <c r="I4" s="3" t="s">
        <v>499</v>
      </c>
      <c r="J4" s="3" t="s">
        <v>500</v>
      </c>
      <c r="K4" s="3" t="s">
        <v>501</v>
      </c>
    </row>
    <row r="5" spans="1:11" ht="15" customHeight="1" x14ac:dyDescent="0.25">
      <c r="A5" s="1" t="s">
        <v>68</v>
      </c>
      <c r="B5" s="1" t="s">
        <v>69</v>
      </c>
      <c r="C5" s="1">
        <v>10</v>
      </c>
      <c r="D5" s="5">
        <v>0.72499999999999998</v>
      </c>
      <c r="E5" s="5">
        <v>0.32406084629088627</v>
      </c>
      <c r="F5" s="5">
        <v>0.16666666666666666</v>
      </c>
      <c r="G5" s="5">
        <v>1</v>
      </c>
      <c r="H5" s="1" t="s">
        <v>79</v>
      </c>
      <c r="I5" s="1" t="s">
        <v>502</v>
      </c>
      <c r="J5" s="1" t="s">
        <v>503</v>
      </c>
      <c r="K5" s="1" t="s">
        <v>504</v>
      </c>
    </row>
    <row r="6" spans="1:11" ht="15" customHeight="1" x14ac:dyDescent="0.25">
      <c r="A6" s="1" t="s">
        <v>68</v>
      </c>
      <c r="B6" s="1" t="s">
        <v>81</v>
      </c>
      <c r="C6" s="1">
        <v>10</v>
      </c>
      <c r="D6" s="5">
        <v>0.81718292336732146</v>
      </c>
      <c r="E6" s="5">
        <v>0.33254924927198592</v>
      </c>
      <c r="F6" s="5">
        <v>5.9809026275220334E-2</v>
      </c>
      <c r="G6" s="5">
        <v>1</v>
      </c>
      <c r="H6" s="1" t="s">
        <v>79</v>
      </c>
      <c r="I6" s="1" t="s">
        <v>502</v>
      </c>
      <c r="J6" s="1" t="s">
        <v>503</v>
      </c>
      <c r="K6" s="1" t="s">
        <v>504</v>
      </c>
    </row>
    <row r="7" spans="1:11" ht="15" customHeight="1" x14ac:dyDescent="0.25">
      <c r="A7" s="1" t="s">
        <v>68</v>
      </c>
      <c r="B7" s="1" t="s">
        <v>86</v>
      </c>
      <c r="C7" s="1">
        <v>10</v>
      </c>
      <c r="D7" s="5">
        <v>2.75</v>
      </c>
      <c r="E7" s="5">
        <v>3.3767999315591348</v>
      </c>
      <c r="F7" s="5">
        <v>0</v>
      </c>
      <c r="G7" s="5">
        <v>9</v>
      </c>
      <c r="H7" s="1" t="s">
        <v>79</v>
      </c>
      <c r="I7" s="1" t="s">
        <v>502</v>
      </c>
      <c r="J7" s="1" t="s">
        <v>503</v>
      </c>
      <c r="K7" s="1" t="s">
        <v>504</v>
      </c>
    </row>
    <row r="8" spans="1:11" ht="15" customHeight="1" x14ac:dyDescent="0.25">
      <c r="A8" s="1" t="s">
        <v>68</v>
      </c>
      <c r="B8" s="1" t="s">
        <v>95</v>
      </c>
      <c r="C8" s="1">
        <v>0</v>
      </c>
      <c r="D8" s="5"/>
      <c r="E8" s="5"/>
      <c r="F8" s="5"/>
      <c r="G8" s="5"/>
      <c r="H8" s="1" t="s">
        <v>103</v>
      </c>
      <c r="I8" s="1" t="s">
        <v>502</v>
      </c>
      <c r="J8" s="1" t="s">
        <v>505</v>
      </c>
      <c r="K8" s="1" t="s">
        <v>506</v>
      </c>
    </row>
    <row r="9" spans="1:11" ht="15" customHeight="1" x14ac:dyDescent="0.25">
      <c r="A9" s="1" t="s">
        <v>68</v>
      </c>
      <c r="B9" s="1" t="s">
        <v>104</v>
      </c>
      <c r="C9" s="1">
        <v>0</v>
      </c>
      <c r="D9" s="5"/>
      <c r="E9" s="5"/>
      <c r="F9" s="5"/>
      <c r="G9" s="5"/>
      <c r="H9" s="1" t="s">
        <v>111</v>
      </c>
      <c r="I9" s="1" t="s">
        <v>502</v>
      </c>
      <c r="J9" s="1" t="s">
        <v>505</v>
      </c>
      <c r="K9" s="1" t="s">
        <v>506</v>
      </c>
    </row>
    <row r="10" spans="1:11" ht="15" customHeight="1" x14ac:dyDescent="0.25">
      <c r="A10" s="1" t="s">
        <v>68</v>
      </c>
      <c r="B10" s="1" t="s">
        <v>113</v>
      </c>
      <c r="C10" s="1">
        <v>0</v>
      </c>
      <c r="D10" s="5"/>
      <c r="E10" s="5"/>
      <c r="F10" s="5"/>
      <c r="G10" s="5"/>
      <c r="H10" s="1" t="s">
        <v>118</v>
      </c>
      <c r="I10" s="1" t="s">
        <v>502</v>
      </c>
      <c r="J10" s="1" t="s">
        <v>505</v>
      </c>
      <c r="K10" s="1" t="s">
        <v>506</v>
      </c>
    </row>
    <row r="11" spans="1:11" ht="15" customHeight="1" x14ac:dyDescent="0.25">
      <c r="A11" s="1" t="s">
        <v>119</v>
      </c>
      <c r="B11" s="1" t="s">
        <v>120</v>
      </c>
      <c r="C11" s="1">
        <v>10</v>
      </c>
      <c r="D11" s="5">
        <v>0.99375000000000002</v>
      </c>
      <c r="E11" s="5">
        <v>1.9764235376052371E-2</v>
      </c>
      <c r="F11" s="5">
        <v>0.9375</v>
      </c>
      <c r="G11" s="5">
        <v>1</v>
      </c>
      <c r="H11" s="1" t="s">
        <v>127</v>
      </c>
      <c r="I11" s="1" t="s">
        <v>502</v>
      </c>
      <c r="J11" s="1" t="s">
        <v>503</v>
      </c>
      <c r="K11" s="1" t="s">
        <v>504</v>
      </c>
    </row>
    <row r="12" spans="1:11" ht="15" customHeight="1" x14ac:dyDescent="0.25">
      <c r="A12" s="1" t="s">
        <v>119</v>
      </c>
      <c r="B12" s="1" t="s">
        <v>128</v>
      </c>
      <c r="C12" s="1">
        <v>10</v>
      </c>
      <c r="D12" s="5">
        <v>0.9924827100940089</v>
      </c>
      <c r="E12" s="5">
        <v>2.3771757934725118E-2</v>
      </c>
      <c r="F12" s="5">
        <v>0.92482710094008835</v>
      </c>
      <c r="G12" s="5">
        <v>1</v>
      </c>
      <c r="H12" s="1" t="s">
        <v>127</v>
      </c>
      <c r="I12" s="1" t="s">
        <v>502</v>
      </c>
      <c r="J12" s="1" t="s">
        <v>503</v>
      </c>
      <c r="K12" s="1" t="s">
        <v>504</v>
      </c>
    </row>
    <row r="13" spans="1:11" ht="15" customHeight="1" x14ac:dyDescent="0.25">
      <c r="A13" s="1" t="s">
        <v>119</v>
      </c>
      <c r="B13" s="1" t="s">
        <v>133</v>
      </c>
      <c r="C13" s="1">
        <v>10</v>
      </c>
      <c r="D13" s="5">
        <v>0.97715535909230378</v>
      </c>
      <c r="E13" s="5">
        <v>7.2241097596976528E-2</v>
      </c>
      <c r="F13" s="5">
        <v>0.77155359092303755</v>
      </c>
      <c r="G13" s="5">
        <v>1</v>
      </c>
      <c r="H13" s="1" t="s">
        <v>127</v>
      </c>
      <c r="I13" s="1" t="s">
        <v>502</v>
      </c>
      <c r="J13" s="1" t="s">
        <v>503</v>
      </c>
      <c r="K13" s="1" t="s">
        <v>504</v>
      </c>
    </row>
    <row r="14" spans="1:11" ht="15" customHeight="1" x14ac:dyDescent="0.25">
      <c r="A14" s="1" t="s">
        <v>119</v>
      </c>
      <c r="B14" s="1" t="s">
        <v>139</v>
      </c>
      <c r="C14" s="1">
        <v>10</v>
      </c>
      <c r="D14" s="5">
        <v>0.98333333333333339</v>
      </c>
      <c r="E14" s="5">
        <v>5.2704627669472974E-2</v>
      </c>
      <c r="F14" s="5">
        <v>0.83333333333333337</v>
      </c>
      <c r="G14" s="5">
        <v>1</v>
      </c>
      <c r="H14" s="1" t="s">
        <v>127</v>
      </c>
      <c r="I14" s="1" t="s">
        <v>502</v>
      </c>
      <c r="J14" s="1" t="s">
        <v>503</v>
      </c>
      <c r="K14" s="1" t="s">
        <v>504</v>
      </c>
    </row>
    <row r="15" spans="1:11" ht="15" customHeight="1" x14ac:dyDescent="0.25">
      <c r="A15" s="1" t="s">
        <v>119</v>
      </c>
      <c r="B15" s="1" t="s">
        <v>145</v>
      </c>
      <c r="C15" s="1">
        <v>10</v>
      </c>
      <c r="D15" s="5">
        <v>0</v>
      </c>
      <c r="E15" s="5">
        <v>0</v>
      </c>
      <c r="F15" s="5">
        <v>0</v>
      </c>
      <c r="G15" s="5">
        <v>0</v>
      </c>
      <c r="H15" s="1" t="s">
        <v>127</v>
      </c>
      <c r="I15" s="1" t="s">
        <v>502</v>
      </c>
      <c r="J15" s="1" t="s">
        <v>503</v>
      </c>
      <c r="K15" s="1" t="s">
        <v>504</v>
      </c>
    </row>
    <row r="16" spans="1:11" ht="15" customHeight="1" x14ac:dyDescent="0.25">
      <c r="A16" s="1" t="s">
        <v>151</v>
      </c>
      <c r="B16" s="1" t="s">
        <v>152</v>
      </c>
      <c r="C16" s="1">
        <v>10</v>
      </c>
      <c r="D16" s="5">
        <v>0.98197379261828421</v>
      </c>
      <c r="E16" s="5">
        <v>8.3551851027617065E-3</v>
      </c>
      <c r="F16" s="5">
        <v>0.97490920096852296</v>
      </c>
      <c r="G16" s="5">
        <v>0.99202027027027029</v>
      </c>
      <c r="H16" s="1" t="s">
        <v>127</v>
      </c>
      <c r="I16" s="1" t="s">
        <v>502</v>
      </c>
      <c r="J16" s="1" t="s">
        <v>503</v>
      </c>
      <c r="K16" s="1" t="s">
        <v>504</v>
      </c>
    </row>
    <row r="17" spans="1:11" ht="15" customHeight="1" x14ac:dyDescent="0.25">
      <c r="A17" s="1" t="s">
        <v>151</v>
      </c>
      <c r="B17" s="1" t="s">
        <v>160</v>
      </c>
      <c r="C17" s="1">
        <v>10</v>
      </c>
      <c r="D17" s="5">
        <v>0.94655854430379749</v>
      </c>
      <c r="E17" s="5">
        <v>1.9083553715724143E-2</v>
      </c>
      <c r="F17" s="5">
        <v>0.91666666666666663</v>
      </c>
      <c r="G17" s="5">
        <v>0.96202531645569622</v>
      </c>
      <c r="H17" s="1" t="s">
        <v>127</v>
      </c>
      <c r="I17" s="1" t="s">
        <v>502</v>
      </c>
      <c r="J17" s="1" t="s">
        <v>503</v>
      </c>
      <c r="K17" s="1" t="s">
        <v>504</v>
      </c>
    </row>
    <row r="18" spans="1:11" ht="15" customHeight="1" x14ac:dyDescent="0.25">
      <c r="A18" s="1" t="s">
        <v>151</v>
      </c>
      <c r="B18" s="1" t="s">
        <v>165</v>
      </c>
      <c r="C18" s="1">
        <v>10</v>
      </c>
      <c r="D18" s="5">
        <v>0.39790148373247952</v>
      </c>
      <c r="E18" s="5">
        <v>0.29271271890708017</v>
      </c>
      <c r="F18" s="5">
        <v>5.5840732762524957E-2</v>
      </c>
      <c r="G18" s="5">
        <v>0.648332470898067</v>
      </c>
      <c r="H18" s="1" t="s">
        <v>127</v>
      </c>
      <c r="I18" s="1" t="s">
        <v>502</v>
      </c>
      <c r="J18" s="1" t="s">
        <v>503</v>
      </c>
      <c r="K18" s="1" t="s">
        <v>504</v>
      </c>
    </row>
    <row r="19" spans="1:11" ht="15" customHeight="1" x14ac:dyDescent="0.25">
      <c r="A19" s="1" t="s">
        <v>151</v>
      </c>
      <c r="B19" s="1" t="s">
        <v>172</v>
      </c>
      <c r="C19" s="1">
        <v>10</v>
      </c>
      <c r="D19" s="5">
        <v>0.34425344905239824</v>
      </c>
      <c r="E19" s="5">
        <v>0.20137343109998038</v>
      </c>
      <c r="F19" s="5">
        <v>0.10650384456983088</v>
      </c>
      <c r="G19" s="5">
        <v>0.50104233997860215</v>
      </c>
      <c r="H19" s="1" t="s">
        <v>127</v>
      </c>
      <c r="I19" s="1" t="s">
        <v>502</v>
      </c>
      <c r="J19" s="1" t="s">
        <v>503</v>
      </c>
      <c r="K19" s="1" t="s">
        <v>504</v>
      </c>
    </row>
    <row r="20" spans="1:11" ht="15" customHeight="1" x14ac:dyDescent="0.25">
      <c r="A20" s="1" t="s">
        <v>151</v>
      </c>
      <c r="B20" s="1" t="s">
        <v>177</v>
      </c>
      <c r="C20" s="1">
        <v>10</v>
      </c>
      <c r="D20" s="5">
        <v>0.43260758789703413</v>
      </c>
      <c r="E20" s="5">
        <v>0.15740556717687459</v>
      </c>
      <c r="F20" s="5">
        <v>0.23593792807775574</v>
      </c>
      <c r="G20" s="5">
        <v>0.55690083336291918</v>
      </c>
      <c r="H20" s="1" t="s">
        <v>127</v>
      </c>
      <c r="I20" s="1" t="s">
        <v>502</v>
      </c>
      <c r="J20" s="1" t="s">
        <v>503</v>
      </c>
      <c r="K20" s="1" t="s">
        <v>504</v>
      </c>
    </row>
    <row r="21" spans="1:11" ht="15" customHeight="1" x14ac:dyDescent="0.25">
      <c r="A21" s="1" t="s">
        <v>182</v>
      </c>
      <c r="B21" s="1" t="s">
        <v>183</v>
      </c>
      <c r="C21" s="1">
        <v>8</v>
      </c>
      <c r="D21" s="5">
        <v>1041.7706584759974</v>
      </c>
      <c r="E21" s="5">
        <v>138.69914243523445</v>
      </c>
      <c r="F21" s="5">
        <v>767.9730339747058</v>
      </c>
      <c r="G21" s="5">
        <v>1171.7135443582608</v>
      </c>
      <c r="H21" s="1" t="s">
        <v>191</v>
      </c>
      <c r="I21" s="1" t="s">
        <v>502</v>
      </c>
      <c r="J21" s="1" t="s">
        <v>503</v>
      </c>
      <c r="K21" s="1" t="s">
        <v>504</v>
      </c>
    </row>
    <row r="22" spans="1:11" ht="15" customHeight="1" x14ac:dyDescent="0.25">
      <c r="A22" s="1" t="s">
        <v>182</v>
      </c>
      <c r="B22" s="1" t="s">
        <v>192</v>
      </c>
      <c r="C22" s="1">
        <v>8</v>
      </c>
      <c r="D22" s="5">
        <v>0.22960575375370904</v>
      </c>
      <c r="E22" s="5">
        <v>2.6973349917855948E-2</v>
      </c>
      <c r="F22" s="5">
        <v>0.16554490389756937</v>
      </c>
      <c r="G22" s="5">
        <v>0.25221274244667352</v>
      </c>
      <c r="H22" s="1" t="s">
        <v>191</v>
      </c>
      <c r="I22" s="1" t="s">
        <v>502</v>
      </c>
      <c r="J22" s="1" t="s">
        <v>503</v>
      </c>
      <c r="K22" s="1" t="s">
        <v>504</v>
      </c>
    </row>
    <row r="23" spans="1:11" ht="15" customHeight="1" x14ac:dyDescent="0.25">
      <c r="A23" s="1" t="s">
        <v>182</v>
      </c>
      <c r="B23" s="1" t="s">
        <v>198</v>
      </c>
      <c r="C23" s="1">
        <v>8</v>
      </c>
      <c r="D23" s="5">
        <v>0.21587532967923723</v>
      </c>
      <c r="E23" s="5">
        <v>2.5360343592768165E-2</v>
      </c>
      <c r="F23" s="5">
        <v>0.15564531864449471</v>
      </c>
      <c r="G23" s="5">
        <v>0.23713042044836244</v>
      </c>
      <c r="H23" s="1" t="s">
        <v>191</v>
      </c>
      <c r="I23" s="1" t="s">
        <v>502</v>
      </c>
      <c r="J23" s="1" t="s">
        <v>503</v>
      </c>
      <c r="K23" s="1" t="s">
        <v>504</v>
      </c>
    </row>
    <row r="24" spans="1:11" ht="15" customHeight="1" x14ac:dyDescent="0.25">
      <c r="A24" s="1" t="s">
        <v>182</v>
      </c>
      <c r="B24" s="1" t="s">
        <v>204</v>
      </c>
      <c r="C24" s="1">
        <v>10</v>
      </c>
      <c r="D24" s="5">
        <v>125.02781052037633</v>
      </c>
      <c r="E24" s="5">
        <v>22.26837737448249</v>
      </c>
      <c r="F24" s="5">
        <v>77.248966977154453</v>
      </c>
      <c r="G24" s="5">
        <v>151.33049327935572</v>
      </c>
      <c r="H24" s="1" t="s">
        <v>8</v>
      </c>
      <c r="I24" s="1" t="s">
        <v>502</v>
      </c>
      <c r="J24" s="1" t="s">
        <v>503</v>
      </c>
      <c r="K24" s="1" t="s">
        <v>504</v>
      </c>
    </row>
    <row r="25" spans="1:11" ht="15" customHeight="1" x14ac:dyDescent="0.25">
      <c r="A25" s="1" t="s">
        <v>182</v>
      </c>
      <c r="B25" s="1" t="s">
        <v>212</v>
      </c>
      <c r="C25" s="1">
        <v>10</v>
      </c>
      <c r="D25" s="5">
        <v>2.7269710024471022E-2</v>
      </c>
      <c r="E25" s="5">
        <v>4.5445211222062383E-3</v>
      </c>
      <c r="F25" s="5">
        <v>1.7391185875650333E-2</v>
      </c>
      <c r="G25" s="5">
        <v>3.50422981479123E-2</v>
      </c>
      <c r="H25" s="1" t="s">
        <v>8</v>
      </c>
      <c r="I25" s="1" t="s">
        <v>502</v>
      </c>
      <c r="J25" s="1" t="s">
        <v>503</v>
      </c>
      <c r="K25" s="1" t="s">
        <v>504</v>
      </c>
    </row>
    <row r="26" spans="1:11" ht="15" customHeight="1" x14ac:dyDescent="0.25">
      <c r="A26" s="1" t="s">
        <v>182</v>
      </c>
      <c r="B26" s="1" t="s">
        <v>218</v>
      </c>
      <c r="C26" s="1">
        <v>10</v>
      </c>
      <c r="D26" s="5">
        <v>2.5638981365007658E-2</v>
      </c>
      <c r="E26" s="5">
        <v>4.2727587590983057E-3</v>
      </c>
      <c r="F26" s="5">
        <v>1.6351192960286445E-2</v>
      </c>
      <c r="G26" s="5">
        <v>3.2946768718667148E-2</v>
      </c>
      <c r="H26" s="1" t="s">
        <v>8</v>
      </c>
      <c r="I26" s="1" t="s">
        <v>502</v>
      </c>
      <c r="J26" s="1" t="s">
        <v>503</v>
      </c>
      <c r="K26" s="1" t="s">
        <v>504</v>
      </c>
    </row>
    <row r="27" spans="1:11" ht="15" customHeight="1" x14ac:dyDescent="0.25">
      <c r="A27" s="1" t="s">
        <v>182</v>
      </c>
      <c r="B27" s="1" t="s">
        <v>223</v>
      </c>
      <c r="C27" s="1">
        <v>1</v>
      </c>
      <c r="D27" s="5">
        <v>9.2583037616575589E-2</v>
      </c>
      <c r="E27" s="5"/>
      <c r="F27" s="5">
        <v>9.2583037616575589E-2</v>
      </c>
      <c r="G27" s="5">
        <v>9.2583037616575589E-2</v>
      </c>
      <c r="H27" s="1" t="s">
        <v>231</v>
      </c>
      <c r="I27" s="1" t="s">
        <v>502</v>
      </c>
      <c r="J27" s="1" t="s">
        <v>507</v>
      </c>
      <c r="K27" s="1" t="s">
        <v>506</v>
      </c>
    </row>
    <row r="28" spans="1:11" ht="15" customHeight="1" x14ac:dyDescent="0.25">
      <c r="A28" s="1" t="s">
        <v>182</v>
      </c>
      <c r="B28" s="1" t="s">
        <v>232</v>
      </c>
      <c r="C28" s="1">
        <v>10</v>
      </c>
      <c r="D28" s="5">
        <v>0.80611897953339418</v>
      </c>
      <c r="E28" s="5">
        <v>0.1202845375535833</v>
      </c>
      <c r="F28" s="5">
        <v>0.54761904761904767</v>
      </c>
      <c r="G28" s="5">
        <v>0.94756554307116103</v>
      </c>
      <c r="H28" s="1" t="s">
        <v>8</v>
      </c>
      <c r="I28" s="1" t="s">
        <v>502</v>
      </c>
      <c r="J28" s="1" t="s">
        <v>503</v>
      </c>
      <c r="K28" s="1" t="s">
        <v>504</v>
      </c>
    </row>
    <row r="29" spans="1:11" ht="15" customHeight="1" x14ac:dyDescent="0.25">
      <c r="A29" s="1" t="s">
        <v>238</v>
      </c>
      <c r="B29" s="1" t="s">
        <v>239</v>
      </c>
      <c r="C29" s="1">
        <v>10</v>
      </c>
      <c r="D29" s="5">
        <v>452.76810590153343</v>
      </c>
      <c r="E29" s="5">
        <v>38.370382555067266</v>
      </c>
      <c r="F29" s="5">
        <v>400.87365243029393</v>
      </c>
      <c r="G29" s="5">
        <v>506.22936099883856</v>
      </c>
      <c r="H29" s="1" t="s">
        <v>127</v>
      </c>
      <c r="I29" s="1" t="s">
        <v>502</v>
      </c>
      <c r="J29" s="1" t="s">
        <v>503</v>
      </c>
      <c r="K29" s="1" t="s">
        <v>504</v>
      </c>
    </row>
    <row r="30" spans="1:11" ht="15" customHeight="1" x14ac:dyDescent="0.25">
      <c r="A30" s="1" t="s">
        <v>238</v>
      </c>
      <c r="B30" s="1" t="s">
        <v>246</v>
      </c>
      <c r="C30" s="1">
        <v>10</v>
      </c>
      <c r="D30" s="5">
        <v>0.346597972625526</v>
      </c>
      <c r="E30" s="5">
        <v>1.9995666306585367E-2</v>
      </c>
      <c r="F30" s="5">
        <v>0.31597817268449846</v>
      </c>
      <c r="G30" s="5">
        <v>0.38707723342781108</v>
      </c>
      <c r="H30" s="1" t="s">
        <v>127</v>
      </c>
      <c r="I30" s="1" t="s">
        <v>502</v>
      </c>
      <c r="J30" s="1" t="s">
        <v>503</v>
      </c>
      <c r="K30" s="1" t="s">
        <v>504</v>
      </c>
    </row>
    <row r="31" spans="1:11" ht="15" customHeight="1" x14ac:dyDescent="0.25">
      <c r="A31" s="1" t="s">
        <v>238</v>
      </c>
      <c r="B31" s="1" t="s">
        <v>251</v>
      </c>
      <c r="C31" s="1">
        <v>10</v>
      </c>
      <c r="D31" s="5">
        <v>0.76322927397826212</v>
      </c>
      <c r="E31" s="5">
        <v>3.8091935871263E-2</v>
      </c>
      <c r="F31" s="5">
        <v>0.71248078470569154</v>
      </c>
      <c r="G31" s="5">
        <v>0.81292855224228133</v>
      </c>
      <c r="H31" s="1" t="s">
        <v>127</v>
      </c>
      <c r="I31" s="1" t="s">
        <v>502</v>
      </c>
      <c r="J31" s="1" t="s">
        <v>503</v>
      </c>
      <c r="K31" s="1" t="s">
        <v>504</v>
      </c>
    </row>
    <row r="32" spans="1:11" ht="15" customHeight="1" x14ac:dyDescent="0.25">
      <c r="A32" s="1" t="s">
        <v>238</v>
      </c>
      <c r="B32" s="1" t="s">
        <v>256</v>
      </c>
      <c r="C32" s="1">
        <v>10</v>
      </c>
      <c r="D32" s="5">
        <v>1.0071750145918217</v>
      </c>
      <c r="E32" s="5">
        <v>1.7447528686653301E-2</v>
      </c>
      <c r="F32" s="5">
        <v>0.98955180552375355</v>
      </c>
      <c r="G32" s="5">
        <v>1.0469067090437436</v>
      </c>
      <c r="H32" s="1" t="s">
        <v>263</v>
      </c>
      <c r="I32" s="1" t="s">
        <v>502</v>
      </c>
      <c r="J32" s="1" t="s">
        <v>503</v>
      </c>
      <c r="K32" s="1" t="s">
        <v>504</v>
      </c>
    </row>
    <row r="33" spans="1:11" ht="15" customHeight="1" x14ac:dyDescent="0.25">
      <c r="A33" s="1" t="s">
        <v>238</v>
      </c>
      <c r="B33" s="1" t="s">
        <v>264</v>
      </c>
      <c r="C33" s="1">
        <v>10</v>
      </c>
      <c r="D33" s="5">
        <v>0.56628899075120642</v>
      </c>
      <c r="E33" s="5">
        <v>1.5757632420111699E-2</v>
      </c>
      <c r="F33" s="5">
        <v>0.55066357946839872</v>
      </c>
      <c r="G33" s="5">
        <v>0.59148370128318173</v>
      </c>
      <c r="H33" s="1" t="s">
        <v>8</v>
      </c>
      <c r="I33" s="1" t="s">
        <v>502</v>
      </c>
      <c r="J33" s="1" t="s">
        <v>503</v>
      </c>
      <c r="K33" s="1" t="s">
        <v>504</v>
      </c>
    </row>
    <row r="34" spans="1:11" ht="15" customHeight="1" x14ac:dyDescent="0.25">
      <c r="A34" s="1" t="s">
        <v>238</v>
      </c>
      <c r="B34" s="1" t="s">
        <v>269</v>
      </c>
      <c r="C34" s="1">
        <v>10</v>
      </c>
      <c r="D34" s="5">
        <v>0.54884268983162765</v>
      </c>
      <c r="E34" s="5">
        <v>9.2998558991533586E-3</v>
      </c>
      <c r="F34" s="5">
        <v>0.53393449636806356</v>
      </c>
      <c r="G34" s="5">
        <v>0.56121245187502822</v>
      </c>
      <c r="H34" s="1" t="s">
        <v>8</v>
      </c>
      <c r="I34" s="1" t="s">
        <v>502</v>
      </c>
      <c r="J34" s="1" t="s">
        <v>503</v>
      </c>
      <c r="K34" s="1" t="s">
        <v>504</v>
      </c>
    </row>
    <row r="35" spans="1:11" ht="15" customHeight="1" x14ac:dyDescent="0.25">
      <c r="A35" s="1" t="s">
        <v>238</v>
      </c>
      <c r="B35" s="1" t="s">
        <v>275</v>
      </c>
      <c r="C35" s="1">
        <v>10</v>
      </c>
      <c r="D35" s="5">
        <v>0.19744236000046361</v>
      </c>
      <c r="E35" s="5">
        <v>3.7360338822437354E-2</v>
      </c>
      <c r="F35" s="5">
        <v>0.12103906004078691</v>
      </c>
      <c r="G35" s="5">
        <v>0.24275114860722377</v>
      </c>
      <c r="H35" s="1" t="s">
        <v>8</v>
      </c>
      <c r="I35" s="1" t="s">
        <v>502</v>
      </c>
      <c r="J35" s="1" t="s">
        <v>503</v>
      </c>
      <c r="K35" s="1" t="s">
        <v>504</v>
      </c>
    </row>
    <row r="36" spans="1:11" ht="15" customHeight="1" x14ac:dyDescent="0.25">
      <c r="A36" s="1" t="s">
        <v>238</v>
      </c>
      <c r="B36" s="1" t="s">
        <v>280</v>
      </c>
      <c r="C36" s="1">
        <v>10</v>
      </c>
      <c r="D36" s="5">
        <v>79.541354258071351</v>
      </c>
      <c r="E36" s="5">
        <v>2.5708539026476451</v>
      </c>
      <c r="F36" s="5">
        <v>76.014548182493527</v>
      </c>
      <c r="G36" s="5">
        <v>83.676408426611275</v>
      </c>
      <c r="H36" s="1" t="s">
        <v>8</v>
      </c>
      <c r="I36" s="1" t="s">
        <v>502</v>
      </c>
      <c r="J36" s="1" t="s">
        <v>503</v>
      </c>
      <c r="K36" s="1" t="s">
        <v>504</v>
      </c>
    </row>
    <row r="37" spans="1:11" ht="15" customHeight="1" x14ac:dyDescent="0.25">
      <c r="A37" s="1" t="s">
        <v>238</v>
      </c>
      <c r="B37" s="1" t="s">
        <v>287</v>
      </c>
      <c r="C37" s="1">
        <v>10</v>
      </c>
      <c r="D37" s="5">
        <v>0.41686880937942189</v>
      </c>
      <c r="E37" s="5">
        <v>0</v>
      </c>
      <c r="F37" s="5">
        <v>0.41686880937942189</v>
      </c>
      <c r="G37" s="5">
        <v>0.41686880937942189</v>
      </c>
      <c r="H37" s="1" t="s">
        <v>293</v>
      </c>
      <c r="I37" s="1" t="s">
        <v>502</v>
      </c>
      <c r="J37" s="1" t="s">
        <v>508</v>
      </c>
      <c r="K37" s="1" t="s">
        <v>504</v>
      </c>
    </row>
    <row r="38" spans="1:11" ht="15" customHeight="1" x14ac:dyDescent="0.25">
      <c r="A38" s="1" t="s">
        <v>238</v>
      </c>
      <c r="B38" s="1" t="s">
        <v>294</v>
      </c>
      <c r="C38" s="1">
        <v>10</v>
      </c>
      <c r="D38" s="5">
        <v>0.9681647521388449</v>
      </c>
      <c r="E38" s="5">
        <v>3.7419715402603998E-2</v>
      </c>
      <c r="F38" s="5">
        <v>0.90774403395678427</v>
      </c>
      <c r="G38" s="5">
        <v>1</v>
      </c>
      <c r="H38" s="1" t="s">
        <v>8</v>
      </c>
      <c r="I38" s="1" t="s">
        <v>502</v>
      </c>
      <c r="J38" s="1" t="s">
        <v>503</v>
      </c>
      <c r="K38" s="1" t="s">
        <v>504</v>
      </c>
    </row>
    <row r="39" spans="1:11" ht="15" customHeight="1" x14ac:dyDescent="0.25">
      <c r="A39" s="1" t="s">
        <v>299</v>
      </c>
      <c r="B39" s="1" t="s">
        <v>300</v>
      </c>
      <c r="C39" s="1">
        <v>0</v>
      </c>
      <c r="D39" s="5"/>
      <c r="E39" s="5"/>
      <c r="F39" s="5"/>
      <c r="G39" s="5"/>
      <c r="H39" s="1" t="s">
        <v>308</v>
      </c>
      <c r="I39" s="1" t="s">
        <v>502</v>
      </c>
      <c r="J39" s="1" t="s">
        <v>503</v>
      </c>
      <c r="K39" s="1" t="s">
        <v>506</v>
      </c>
    </row>
    <row r="40" spans="1:11" ht="15" customHeight="1" x14ac:dyDescent="0.25">
      <c r="A40" s="1" t="s">
        <v>299</v>
      </c>
      <c r="B40" s="1" t="s">
        <v>309</v>
      </c>
      <c r="C40" s="1">
        <v>0</v>
      </c>
      <c r="D40" s="5"/>
      <c r="E40" s="5"/>
      <c r="F40" s="5"/>
      <c r="G40" s="5"/>
      <c r="H40" s="1" t="s">
        <v>308</v>
      </c>
      <c r="I40" s="1" t="s">
        <v>502</v>
      </c>
      <c r="J40" s="1" t="s">
        <v>503</v>
      </c>
      <c r="K40" s="1" t="s">
        <v>506</v>
      </c>
    </row>
    <row r="41" spans="1:11" ht="15" customHeight="1" x14ac:dyDescent="0.25">
      <c r="A41" s="1" t="s">
        <v>299</v>
      </c>
      <c r="B41" s="1" t="s">
        <v>315</v>
      </c>
      <c r="C41" s="1">
        <v>0</v>
      </c>
      <c r="D41" s="5"/>
      <c r="E41" s="5"/>
      <c r="F41" s="5"/>
      <c r="G41" s="5"/>
      <c r="H41" s="1" t="s">
        <v>308</v>
      </c>
      <c r="I41" s="1" t="s">
        <v>502</v>
      </c>
      <c r="J41" s="1" t="s">
        <v>503</v>
      </c>
      <c r="K41" s="1" t="s">
        <v>506</v>
      </c>
    </row>
    <row r="42" spans="1:11" ht="15" customHeight="1" x14ac:dyDescent="0.25">
      <c r="A42" s="1" t="s">
        <v>299</v>
      </c>
      <c r="B42" s="1" t="s">
        <v>321</v>
      </c>
      <c r="C42" s="1">
        <v>0</v>
      </c>
      <c r="D42" s="5"/>
      <c r="E42" s="5"/>
      <c r="F42" s="5"/>
      <c r="G42" s="5"/>
      <c r="H42" s="1" t="s">
        <v>308</v>
      </c>
      <c r="I42" s="1" t="s">
        <v>502</v>
      </c>
      <c r="J42" s="1" t="s">
        <v>503</v>
      </c>
      <c r="K42" s="1" t="s">
        <v>506</v>
      </c>
    </row>
  </sheetData>
  <mergeCells count="2">
    <mergeCell ref="A1:K1"/>
    <mergeCell ref="B2:K2"/>
  </mergeCells>
  <conditionalFormatting sqref="K5:K42">
    <cfRule type="expression" dxfId="3" priority="1">
      <formula>K5="Limited"</formula>
    </cfRule>
    <cfRule type="expression" dxfId="2" priority="2">
      <formula>K5="Not annual"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8"/>
  <sheetViews>
    <sheetView workbookViewId="0">
      <selection activeCell="L47" sqref="L47"/>
    </sheetView>
  </sheetViews>
  <sheetFormatPr defaultRowHeight="15" x14ac:dyDescent="0.25"/>
  <cols>
    <col min="1" max="2" width="10" customWidth="1"/>
    <col min="3" max="5" width="14" customWidth="1"/>
    <col min="6" max="6" width="16" customWidth="1"/>
    <col min="7" max="9" width="13" customWidth="1"/>
    <col min="10" max="11" width="14" customWidth="1"/>
    <col min="12" max="12" width="24" customWidth="1"/>
    <col min="13" max="13" width="65" customWidth="1"/>
  </cols>
  <sheetData>
    <row r="1" spans="1:13" ht="30" customHeight="1" x14ac:dyDescent="0.25">
      <c r="A1" s="12" t="s">
        <v>509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6" t="s">
        <v>510</v>
      </c>
      <c r="B2" s="16" t="s">
        <v>511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30" customHeight="1" x14ac:dyDescent="0.25">
      <c r="A4" s="3" t="s">
        <v>50</v>
      </c>
      <c r="B4" s="3" t="s">
        <v>328</v>
      </c>
      <c r="C4" s="3" t="s">
        <v>512</v>
      </c>
      <c r="D4" s="3" t="s">
        <v>513</v>
      </c>
      <c r="E4" s="3" t="s">
        <v>514</v>
      </c>
      <c r="F4" s="3" t="s">
        <v>515</v>
      </c>
      <c r="G4" s="3" t="s">
        <v>516</v>
      </c>
      <c r="H4" s="3" t="s">
        <v>517</v>
      </c>
      <c r="I4" s="3" t="s">
        <v>518</v>
      </c>
      <c r="J4" s="3" t="s">
        <v>519</v>
      </c>
      <c r="K4" s="3" t="s">
        <v>520</v>
      </c>
      <c r="L4" s="3" t="s">
        <v>26</v>
      </c>
      <c r="M4" s="3" t="s">
        <v>499</v>
      </c>
    </row>
    <row r="5" spans="1:13" ht="15" customHeight="1" x14ac:dyDescent="0.25">
      <c r="A5" s="1" t="s">
        <v>68</v>
      </c>
      <c r="B5" s="1" t="s">
        <v>69</v>
      </c>
      <c r="C5" s="5">
        <v>0.75</v>
      </c>
      <c r="D5" s="5">
        <v>0.64583333333333337</v>
      </c>
      <c r="E5" s="5">
        <v>-0.10416666666666663</v>
      </c>
      <c r="F5" s="9">
        <v>-13.888888888888884</v>
      </c>
      <c r="G5" s="5">
        <v>0.6875</v>
      </c>
      <c r="H5" s="5">
        <v>0.55729166666666674</v>
      </c>
      <c r="I5" s="5">
        <v>-0.13020833333333326</v>
      </c>
      <c r="J5" s="1" t="s">
        <v>521</v>
      </c>
      <c r="K5" s="1" t="s">
        <v>521</v>
      </c>
      <c r="L5" s="1" t="s">
        <v>522</v>
      </c>
      <c r="M5" s="1" t="s">
        <v>523</v>
      </c>
    </row>
    <row r="6" spans="1:13" ht="15" customHeight="1" x14ac:dyDescent="0.25">
      <c r="A6" s="1" t="s">
        <v>68</v>
      </c>
      <c r="B6" s="1" t="s">
        <v>81</v>
      </c>
      <c r="C6" s="5">
        <v>0.78925737783998973</v>
      </c>
      <c r="D6" s="5">
        <v>0.80638618863342715</v>
      </c>
      <c r="E6" s="5">
        <v>1.7128810793437421E-2</v>
      </c>
      <c r="F6" s="9">
        <v>2.1702439881290578</v>
      </c>
      <c r="G6" s="5">
        <v>0.73657172229998713</v>
      </c>
      <c r="H6" s="5">
        <v>0.75798273579178388</v>
      </c>
      <c r="I6" s="5">
        <v>2.1411013491796749E-2</v>
      </c>
      <c r="J6" s="1" t="s">
        <v>521</v>
      </c>
      <c r="K6" s="1" t="s">
        <v>524</v>
      </c>
      <c r="L6" s="1" t="s">
        <v>522</v>
      </c>
      <c r="M6" s="1" t="s">
        <v>523</v>
      </c>
    </row>
    <row r="7" spans="1:13" ht="15" customHeight="1" x14ac:dyDescent="0.25">
      <c r="A7" s="1" t="s">
        <v>68</v>
      </c>
      <c r="B7" s="1" t="s">
        <v>86</v>
      </c>
      <c r="C7" s="5">
        <v>3</v>
      </c>
      <c r="D7" s="5">
        <v>4.25</v>
      </c>
      <c r="E7" s="5">
        <v>1.25</v>
      </c>
      <c r="F7" s="9">
        <v>41.666666666666671</v>
      </c>
      <c r="G7" s="5">
        <v>0.75</v>
      </c>
      <c r="H7" s="5">
        <v>0.64583333333333337</v>
      </c>
      <c r="I7" s="5">
        <v>-0.10416666666666663</v>
      </c>
      <c r="J7" s="1" t="s">
        <v>524</v>
      </c>
      <c r="K7" s="1" t="s">
        <v>521</v>
      </c>
      <c r="L7" s="1" t="s">
        <v>522</v>
      </c>
      <c r="M7" s="1" t="s">
        <v>523</v>
      </c>
    </row>
    <row r="8" spans="1:13" ht="15" customHeight="1" x14ac:dyDescent="0.25">
      <c r="A8" s="1" t="s">
        <v>68</v>
      </c>
      <c r="B8" s="1" t="s">
        <v>95</v>
      </c>
      <c r="C8" s="5">
        <v>1.0447731303457068</v>
      </c>
      <c r="D8" s="5">
        <v>0.70532816029332834</v>
      </c>
      <c r="E8" s="5">
        <v>-0.3394449700523785</v>
      </c>
      <c r="F8" s="9">
        <v>-32.489825799794346</v>
      </c>
      <c r="G8" s="5">
        <v>0.31903358706786655</v>
      </c>
      <c r="H8" s="5">
        <v>0.62166989981666976</v>
      </c>
      <c r="I8" s="5">
        <v>0.3026363127488032</v>
      </c>
      <c r="J8" s="1" t="s">
        <v>525</v>
      </c>
      <c r="K8" s="1" t="s">
        <v>521</v>
      </c>
      <c r="L8" s="1" t="s">
        <v>522</v>
      </c>
      <c r="M8" s="1" t="s">
        <v>523</v>
      </c>
    </row>
    <row r="9" spans="1:13" ht="15" customHeight="1" x14ac:dyDescent="0.25">
      <c r="A9" s="1" t="s">
        <v>68</v>
      </c>
      <c r="B9" s="1" t="s">
        <v>104</v>
      </c>
      <c r="C9" s="5">
        <v>13.48401029174982</v>
      </c>
      <c r="D9" s="5">
        <v>4.654804731039313</v>
      </c>
      <c r="E9" s="5">
        <v>-8.8292055607105073</v>
      </c>
      <c r="F9" s="9">
        <v>-65.479077586529641</v>
      </c>
      <c r="G9" s="5">
        <v>0.77984145118449377</v>
      </c>
      <c r="H9" s="5">
        <v>0.75471019898178071</v>
      </c>
      <c r="I9" s="5">
        <v>-2.5131252202713061E-2</v>
      </c>
      <c r="J9" s="1" t="s">
        <v>524</v>
      </c>
      <c r="K9" s="1" t="s">
        <v>524</v>
      </c>
      <c r="L9" s="1" t="s">
        <v>522</v>
      </c>
      <c r="M9" s="1" t="s">
        <v>523</v>
      </c>
    </row>
    <row r="10" spans="1:13" ht="15" customHeight="1" x14ac:dyDescent="0.25">
      <c r="A10" s="1" t="s">
        <v>68</v>
      </c>
      <c r="B10" s="1" t="s">
        <v>113</v>
      </c>
      <c r="C10" s="5">
        <v>3.5214493208310382</v>
      </c>
      <c r="D10" s="5">
        <v>1.2156367878737613</v>
      </c>
      <c r="E10" s="5">
        <v>-2.305812532957277</v>
      </c>
      <c r="F10" s="9">
        <v>-65.479077586529655</v>
      </c>
      <c r="G10" s="5">
        <v>0</v>
      </c>
      <c r="H10" s="5">
        <v>0.65797956229235488</v>
      </c>
      <c r="I10" s="5">
        <v>0.65797956229235488</v>
      </c>
      <c r="J10" s="1" t="s">
        <v>526</v>
      </c>
      <c r="K10" s="1" t="s">
        <v>521</v>
      </c>
      <c r="L10" s="1" t="s">
        <v>522</v>
      </c>
      <c r="M10" s="1" t="s">
        <v>523</v>
      </c>
    </row>
    <row r="11" spans="1:13" ht="15" customHeight="1" x14ac:dyDescent="0.25">
      <c r="A11" s="1" t="s">
        <v>119</v>
      </c>
      <c r="B11" s="1" t="s">
        <v>120</v>
      </c>
      <c r="C11" s="5">
        <v>1</v>
      </c>
      <c r="D11" s="5">
        <v>0.984375</v>
      </c>
      <c r="E11" s="5">
        <v>-1.5625E-2</v>
      </c>
      <c r="F11" s="9">
        <v>-1.5625</v>
      </c>
      <c r="G11" s="5">
        <v>1</v>
      </c>
      <c r="H11" s="5">
        <v>0.98046875</v>
      </c>
      <c r="I11" s="5">
        <v>-1.953125E-2</v>
      </c>
      <c r="J11" s="1" t="s">
        <v>524</v>
      </c>
      <c r="K11" s="1" t="s">
        <v>524</v>
      </c>
      <c r="L11" s="1" t="s">
        <v>522</v>
      </c>
      <c r="M11" s="1" t="s">
        <v>523</v>
      </c>
    </row>
    <row r="12" spans="1:13" ht="15" customHeight="1" x14ac:dyDescent="0.25">
      <c r="A12" s="1" t="s">
        <v>119</v>
      </c>
      <c r="B12" s="1" t="s">
        <v>128</v>
      </c>
      <c r="C12" s="5">
        <v>1</v>
      </c>
      <c r="D12" s="5">
        <v>0.98120677523502209</v>
      </c>
      <c r="E12" s="5">
        <v>-1.8793224764977912E-2</v>
      </c>
      <c r="F12" s="9">
        <v>-1.8793224764977912</v>
      </c>
      <c r="G12" s="5">
        <v>1</v>
      </c>
      <c r="H12" s="5">
        <v>0.97650846904377764</v>
      </c>
      <c r="I12" s="5">
        <v>-2.3491530956222362E-2</v>
      </c>
      <c r="J12" s="1" t="s">
        <v>524</v>
      </c>
      <c r="K12" s="1" t="s">
        <v>524</v>
      </c>
      <c r="L12" s="1" t="s">
        <v>522</v>
      </c>
      <c r="M12" s="1" t="s">
        <v>523</v>
      </c>
    </row>
    <row r="13" spans="1:13" ht="15" customHeight="1" x14ac:dyDescent="0.25">
      <c r="A13" s="1" t="s">
        <v>119</v>
      </c>
      <c r="B13" s="1" t="s">
        <v>133</v>
      </c>
      <c r="C13" s="5">
        <v>1</v>
      </c>
      <c r="D13" s="5">
        <v>0.94288839773075939</v>
      </c>
      <c r="E13" s="5">
        <v>-5.7111602269240613E-2</v>
      </c>
      <c r="F13" s="9">
        <v>-5.7111602269240613</v>
      </c>
      <c r="G13" s="5">
        <v>1</v>
      </c>
      <c r="H13" s="5">
        <v>0.92861049716344923</v>
      </c>
      <c r="I13" s="5">
        <v>-7.1389502836550767E-2</v>
      </c>
      <c r="J13" s="1" t="s">
        <v>524</v>
      </c>
      <c r="K13" s="1" t="s">
        <v>524</v>
      </c>
      <c r="L13" s="1" t="s">
        <v>522</v>
      </c>
      <c r="M13" s="1" t="s">
        <v>523</v>
      </c>
    </row>
    <row r="14" spans="1:13" ht="15" customHeight="1" x14ac:dyDescent="0.25">
      <c r="A14" s="1" t="s">
        <v>119</v>
      </c>
      <c r="B14" s="1" t="s">
        <v>139</v>
      </c>
      <c r="C14" s="5">
        <v>1</v>
      </c>
      <c r="D14" s="5">
        <v>0.95833333333333337</v>
      </c>
      <c r="E14" s="5">
        <v>-4.166666666666663E-2</v>
      </c>
      <c r="F14" s="9">
        <v>-4.1666666666666625</v>
      </c>
      <c r="G14" s="5">
        <v>1</v>
      </c>
      <c r="H14" s="5">
        <v>0.95833333333333337</v>
      </c>
      <c r="I14" s="5">
        <v>-4.166666666666663E-2</v>
      </c>
      <c r="J14" s="1" t="s">
        <v>524</v>
      </c>
      <c r="K14" s="1" t="s">
        <v>524</v>
      </c>
      <c r="L14" s="1" t="s">
        <v>522</v>
      </c>
      <c r="M14" s="1" t="s">
        <v>523</v>
      </c>
    </row>
    <row r="15" spans="1:13" ht="15" customHeight="1" x14ac:dyDescent="0.25">
      <c r="A15" s="1" t="s">
        <v>119</v>
      </c>
      <c r="B15" s="1" t="s">
        <v>145</v>
      </c>
      <c r="C15" s="5">
        <v>0</v>
      </c>
      <c r="D15" s="5">
        <v>0</v>
      </c>
      <c r="E15" s="5">
        <v>0</v>
      </c>
      <c r="F15" s="9"/>
      <c r="G15" s="5">
        <v>1</v>
      </c>
      <c r="H15" s="5">
        <v>1</v>
      </c>
      <c r="I15" s="5">
        <v>0</v>
      </c>
      <c r="J15" s="1" t="s">
        <v>524</v>
      </c>
      <c r="K15" s="1" t="s">
        <v>524</v>
      </c>
      <c r="L15" s="1" t="s">
        <v>522</v>
      </c>
      <c r="M15" s="1" t="s">
        <v>523</v>
      </c>
    </row>
    <row r="16" spans="1:13" ht="15" customHeight="1" x14ac:dyDescent="0.25">
      <c r="A16" s="1" t="s">
        <v>151</v>
      </c>
      <c r="B16" s="1" t="s">
        <v>152</v>
      </c>
      <c r="C16" s="5">
        <v>0.97558958837772403</v>
      </c>
      <c r="D16" s="5">
        <v>0.99166722972972976</v>
      </c>
      <c r="E16" s="5">
        <v>1.6077641352005734E-2</v>
      </c>
      <c r="F16" s="9">
        <v>1.6479923057338812</v>
      </c>
      <c r="G16" s="5">
        <v>0.95931598062954004</v>
      </c>
      <c r="H16" s="5">
        <v>0.98611204954954956</v>
      </c>
      <c r="I16" s="5">
        <v>2.6796068920009519E-2</v>
      </c>
      <c r="J16" s="1" t="s">
        <v>524</v>
      </c>
      <c r="K16" s="1" t="s">
        <v>524</v>
      </c>
      <c r="L16" s="1" t="s">
        <v>522</v>
      </c>
      <c r="M16" s="1" t="s">
        <v>523</v>
      </c>
    </row>
    <row r="17" spans="1:13" ht="15" customHeight="1" x14ac:dyDescent="0.25">
      <c r="A17" s="1" t="s">
        <v>151</v>
      </c>
      <c r="B17" s="1" t="s">
        <v>160</v>
      </c>
      <c r="C17" s="5">
        <v>0.95696202531645569</v>
      </c>
      <c r="D17" s="5">
        <v>0.9296875</v>
      </c>
      <c r="E17" s="5">
        <v>-2.7274525316455689E-2</v>
      </c>
      <c r="F17" s="9">
        <v>-2.85011574074074</v>
      </c>
      <c r="G17" s="5">
        <v>0.92827004219409281</v>
      </c>
      <c r="H17" s="5">
        <v>0.8828125</v>
      </c>
      <c r="I17" s="5">
        <v>-4.5457542194092815E-2</v>
      </c>
      <c r="J17" s="1" t="s">
        <v>524</v>
      </c>
      <c r="K17" s="1" t="s">
        <v>524</v>
      </c>
      <c r="L17" s="1" t="s">
        <v>522</v>
      </c>
      <c r="M17" s="1" t="s">
        <v>523</v>
      </c>
    </row>
    <row r="18" spans="1:13" ht="15" customHeight="1" x14ac:dyDescent="0.25">
      <c r="A18" s="1" t="s">
        <v>151</v>
      </c>
      <c r="B18" s="1" t="s">
        <v>165</v>
      </c>
      <c r="C18" s="5">
        <v>0.62196721539189848</v>
      </c>
      <c r="D18" s="5">
        <v>5.8221698984819284E-2</v>
      </c>
      <c r="E18" s="5">
        <v>-0.56374551640707915</v>
      </c>
      <c r="F18" s="9">
        <v>-90.639104836396541</v>
      </c>
      <c r="G18" s="5">
        <v>0.43901639230405076</v>
      </c>
      <c r="H18" s="5">
        <v>0.99177830101518072</v>
      </c>
      <c r="I18" s="5">
        <v>0.55276190871112996</v>
      </c>
      <c r="J18" s="1" t="s">
        <v>525</v>
      </c>
      <c r="K18" s="1" t="s">
        <v>524</v>
      </c>
      <c r="L18" s="1" t="s">
        <v>522</v>
      </c>
      <c r="M18" s="1" t="s">
        <v>523</v>
      </c>
    </row>
    <row r="19" spans="1:13" ht="15" customHeight="1" x14ac:dyDescent="0.25">
      <c r="A19" s="1" t="s">
        <v>151</v>
      </c>
      <c r="B19" s="1" t="s">
        <v>172</v>
      </c>
      <c r="C19" s="5">
        <v>0.50010237298642823</v>
      </c>
      <c r="D19" s="5">
        <v>0.1102876746976048</v>
      </c>
      <c r="E19" s="5">
        <v>-0.38981469828882342</v>
      </c>
      <c r="F19" s="9">
        <v>-77.946980327446312</v>
      </c>
      <c r="G19" s="5">
        <v>0.49994881350678588</v>
      </c>
      <c r="H19" s="5">
        <v>0.93971232530239512</v>
      </c>
      <c r="I19" s="5">
        <v>0.43976351179560924</v>
      </c>
      <c r="J19" s="1" t="s">
        <v>525</v>
      </c>
      <c r="K19" s="1" t="s">
        <v>524</v>
      </c>
      <c r="L19" s="1" t="s">
        <v>522</v>
      </c>
      <c r="M19" s="1" t="s">
        <v>523</v>
      </c>
    </row>
    <row r="20" spans="1:13" ht="15" customHeight="1" x14ac:dyDescent="0.25">
      <c r="A20" s="1" t="s">
        <v>151</v>
      </c>
      <c r="B20" s="1" t="s">
        <v>177</v>
      </c>
      <c r="C20" s="5">
        <v>0.55402152844668762</v>
      </c>
      <c r="D20" s="5">
        <v>0.25007346373260464</v>
      </c>
      <c r="E20" s="5">
        <v>-0.30394806471408298</v>
      </c>
      <c r="F20" s="9">
        <v>-54.862139665630572</v>
      </c>
      <c r="G20" s="5">
        <v>0.47298923577665619</v>
      </c>
      <c r="H20" s="5">
        <v>0.79992653626739529</v>
      </c>
      <c r="I20" s="5">
        <v>0.3269373004907391</v>
      </c>
      <c r="J20" s="1" t="s">
        <v>525</v>
      </c>
      <c r="K20" s="1" t="s">
        <v>524</v>
      </c>
      <c r="L20" s="1" t="s">
        <v>522</v>
      </c>
      <c r="M20" s="1" t="s">
        <v>523</v>
      </c>
    </row>
    <row r="21" spans="1:13" ht="15" customHeight="1" x14ac:dyDescent="0.25">
      <c r="A21" s="1" t="s">
        <v>182</v>
      </c>
      <c r="B21" s="1" t="s">
        <v>183</v>
      </c>
      <c r="C21" s="5">
        <v>1098.8671026002778</v>
      </c>
      <c r="D21" s="5">
        <v>989.20025667124685</v>
      </c>
      <c r="E21" s="5">
        <v>-109.66684592903096</v>
      </c>
      <c r="F21" s="9">
        <v>-9.9799917268906722</v>
      </c>
      <c r="G21" s="5">
        <v>0.70056644869986107</v>
      </c>
      <c r="H21" s="5">
        <v>0.75539987166437661</v>
      </c>
      <c r="I21" s="5">
        <v>5.4833422964515544E-2</v>
      </c>
      <c r="J21" s="1" t="s">
        <v>521</v>
      </c>
      <c r="K21" s="1" t="s">
        <v>524</v>
      </c>
      <c r="L21" s="1" t="s">
        <v>522</v>
      </c>
      <c r="M21" s="1" t="s">
        <v>523</v>
      </c>
    </row>
    <row r="22" spans="1:13" ht="15" customHeight="1" x14ac:dyDescent="0.25">
      <c r="A22" s="1" t="s">
        <v>182</v>
      </c>
      <c r="B22" s="1" t="s">
        <v>192</v>
      </c>
      <c r="C22" s="5">
        <v>0.24387706439576884</v>
      </c>
      <c r="D22" s="5">
        <v>0.2162827323220933</v>
      </c>
      <c r="E22" s="5">
        <v>-2.7594332073675537E-2</v>
      </c>
      <c r="F22" s="9">
        <v>-11.314853302028794</v>
      </c>
      <c r="G22" s="5">
        <v>0.6403073390105779</v>
      </c>
      <c r="H22" s="5">
        <v>0.70929316919476681</v>
      </c>
      <c r="I22" s="5">
        <v>6.8985830184188912E-2</v>
      </c>
      <c r="J22" s="1" t="s">
        <v>521</v>
      </c>
      <c r="K22" s="1" t="s">
        <v>521</v>
      </c>
      <c r="L22" s="1" t="s">
        <v>522</v>
      </c>
      <c r="M22" s="1" t="s">
        <v>523</v>
      </c>
    </row>
    <row r="23" spans="1:13" ht="15" customHeight="1" x14ac:dyDescent="0.25">
      <c r="A23" s="1" t="s">
        <v>182</v>
      </c>
      <c r="B23" s="1" t="s">
        <v>198</v>
      </c>
      <c r="C23" s="5">
        <v>0.22929321594490185</v>
      </c>
      <c r="D23" s="5">
        <v>0.2033490249292321</v>
      </c>
      <c r="E23" s="5">
        <v>-2.5944191015669749E-2</v>
      </c>
      <c r="F23" s="9">
        <v>-11.314853302028798</v>
      </c>
      <c r="G23" s="5">
        <v>0.5517669601377454</v>
      </c>
      <c r="H23" s="5">
        <v>0.61662743767691974</v>
      </c>
      <c r="I23" s="5">
        <v>6.4860477539174344E-2</v>
      </c>
      <c r="J23" s="1" t="s">
        <v>521</v>
      </c>
      <c r="K23" s="1" t="s">
        <v>521</v>
      </c>
      <c r="L23" s="1" t="s">
        <v>522</v>
      </c>
      <c r="M23" s="1" t="s">
        <v>523</v>
      </c>
    </row>
    <row r="24" spans="1:13" ht="15" customHeight="1" x14ac:dyDescent="0.25">
      <c r="A24" s="1" t="s">
        <v>182</v>
      </c>
      <c r="B24" s="1" t="s">
        <v>204</v>
      </c>
      <c r="C24" s="5">
        <v>127.48736573544099</v>
      </c>
      <c r="D24" s="5">
        <v>121.56544909305062</v>
      </c>
      <c r="E24" s="5">
        <v>-5.9219166423903715</v>
      </c>
      <c r="F24" s="9">
        <v>-4.6451007974228631</v>
      </c>
      <c r="G24" s="5">
        <v>0.61256317132279503</v>
      </c>
      <c r="H24" s="5">
        <v>0.64217275453474687</v>
      </c>
      <c r="I24" s="5">
        <v>2.960958321195184E-2</v>
      </c>
      <c r="J24" s="1" t="s">
        <v>521</v>
      </c>
      <c r="K24" s="1" t="s">
        <v>521</v>
      </c>
      <c r="L24" s="1" t="s">
        <v>522</v>
      </c>
      <c r="M24" s="1" t="s">
        <v>523</v>
      </c>
    </row>
    <row r="25" spans="1:13" ht="15" customHeight="1" x14ac:dyDescent="0.25">
      <c r="A25" s="1" t="s">
        <v>182</v>
      </c>
      <c r="B25" s="1" t="s">
        <v>212</v>
      </c>
      <c r="C25" s="5">
        <v>2.7643028498359385E-2</v>
      </c>
      <c r="D25" s="5">
        <v>2.6590803446362405E-2</v>
      </c>
      <c r="E25" s="5">
        <v>-1.05222505199698E-3</v>
      </c>
      <c r="F25" s="9">
        <v>-3.8064753001265021</v>
      </c>
      <c r="G25" s="5">
        <v>0.65446214377050771</v>
      </c>
      <c r="H25" s="5">
        <v>0.6676149569204699</v>
      </c>
      <c r="I25" s="5">
        <v>1.3152813149962195E-2</v>
      </c>
      <c r="J25" s="1" t="s">
        <v>521</v>
      </c>
      <c r="K25" s="1" t="s">
        <v>521</v>
      </c>
      <c r="L25" s="1" t="s">
        <v>522</v>
      </c>
      <c r="M25" s="1" t="s">
        <v>523</v>
      </c>
    </row>
    <row r="26" spans="1:13" ht="15" customHeight="1" x14ac:dyDescent="0.25">
      <c r="A26" s="1" t="s">
        <v>182</v>
      </c>
      <c r="B26" s="1" t="s">
        <v>218</v>
      </c>
      <c r="C26" s="5">
        <v>2.5989975394157493E-2</v>
      </c>
      <c r="D26" s="5">
        <v>2.5000673400269933E-2</v>
      </c>
      <c r="E26" s="5">
        <v>-9.8930199388756052E-4</v>
      </c>
      <c r="F26" s="9">
        <v>-3.8064753001265021</v>
      </c>
      <c r="G26" s="5">
        <v>0.67512530757303135</v>
      </c>
      <c r="H26" s="5">
        <v>0.6874915824966259</v>
      </c>
      <c r="I26" s="5">
        <v>1.2366274923594545E-2</v>
      </c>
      <c r="J26" s="1" t="s">
        <v>521</v>
      </c>
      <c r="K26" s="1" t="s">
        <v>521</v>
      </c>
      <c r="L26" s="1" t="s">
        <v>522</v>
      </c>
      <c r="M26" s="1" t="s">
        <v>523</v>
      </c>
    </row>
    <row r="27" spans="1:13" ht="15" customHeight="1" x14ac:dyDescent="0.25">
      <c r="A27" s="1" t="s">
        <v>182</v>
      </c>
      <c r="B27" s="1" t="s">
        <v>223</v>
      </c>
      <c r="C27" s="5"/>
      <c r="D27" s="5">
        <v>9.2583037616575589E-2</v>
      </c>
      <c r="E27" s="5"/>
      <c r="F27" s="9"/>
      <c r="G27" s="5"/>
      <c r="H27" s="5">
        <v>0.4629151880828779</v>
      </c>
      <c r="I27" s="5"/>
      <c r="J27" s="1" t="s">
        <v>527</v>
      </c>
      <c r="K27" s="1" t="s">
        <v>525</v>
      </c>
      <c r="L27" s="1" t="s">
        <v>522</v>
      </c>
      <c r="M27" s="1" t="s">
        <v>523</v>
      </c>
    </row>
    <row r="28" spans="1:13" ht="15" customHeight="1" x14ac:dyDescent="0.25">
      <c r="A28" s="1" t="s">
        <v>182</v>
      </c>
      <c r="B28" s="1" t="s">
        <v>232</v>
      </c>
      <c r="C28" s="5">
        <v>0.83392628904820376</v>
      </c>
      <c r="D28" s="5">
        <v>0.79553916017280302</v>
      </c>
      <c r="E28" s="5">
        <v>-3.8387128875400744E-2</v>
      </c>
      <c r="F28" s="9">
        <v>-4.6031800867212906</v>
      </c>
      <c r="G28" s="5">
        <v>0.91696314452410188</v>
      </c>
      <c r="H28" s="5">
        <v>0.89776958008640151</v>
      </c>
      <c r="I28" s="5">
        <v>-1.9193564437700372E-2</v>
      </c>
      <c r="J28" s="1" t="s">
        <v>524</v>
      </c>
      <c r="K28" s="1" t="s">
        <v>524</v>
      </c>
      <c r="L28" s="1" t="s">
        <v>522</v>
      </c>
      <c r="M28" s="1" t="s">
        <v>523</v>
      </c>
    </row>
    <row r="29" spans="1:13" ht="15" customHeight="1" x14ac:dyDescent="0.25">
      <c r="A29" s="1" t="s">
        <v>238</v>
      </c>
      <c r="B29" s="1" t="s">
        <v>239</v>
      </c>
      <c r="C29" s="5">
        <v>437.32938427799206</v>
      </c>
      <c r="D29" s="5">
        <v>464.97093722007764</v>
      </c>
      <c r="E29" s="5">
        <v>27.641552942085582</v>
      </c>
      <c r="F29" s="9">
        <v>6.3205341181728141</v>
      </c>
      <c r="G29" s="5">
        <v>0.65667653930501979</v>
      </c>
      <c r="H29" s="5">
        <v>0.58757265694980587</v>
      </c>
      <c r="I29" s="5">
        <v>-6.9103882355213919E-2</v>
      </c>
      <c r="J29" s="1" t="s">
        <v>521</v>
      </c>
      <c r="K29" s="1" t="s">
        <v>521</v>
      </c>
      <c r="L29" s="1" t="s">
        <v>522</v>
      </c>
      <c r="M29" s="1" t="s">
        <v>523</v>
      </c>
    </row>
    <row r="30" spans="1:13" ht="15" customHeight="1" x14ac:dyDescent="0.25">
      <c r="A30" s="1" t="s">
        <v>238</v>
      </c>
      <c r="B30" s="1" t="s">
        <v>246</v>
      </c>
      <c r="C30" s="5">
        <v>0.3536283216824217</v>
      </c>
      <c r="D30" s="5">
        <v>0.33790559048153035</v>
      </c>
      <c r="E30" s="5">
        <v>-1.5722731200891349E-2</v>
      </c>
      <c r="F30" s="9">
        <v>-4.4461176429786224</v>
      </c>
      <c r="G30" s="5">
        <v>0.49092919579394567</v>
      </c>
      <c r="H30" s="5">
        <v>0.53023602379617407</v>
      </c>
      <c r="I30" s="5">
        <v>3.93068280022284E-2</v>
      </c>
      <c r="J30" s="1" t="s">
        <v>525</v>
      </c>
      <c r="K30" s="1" t="s">
        <v>521</v>
      </c>
      <c r="L30" s="1" t="s">
        <v>522</v>
      </c>
      <c r="M30" s="1" t="s">
        <v>523</v>
      </c>
    </row>
    <row r="31" spans="1:13" ht="15" customHeight="1" x14ac:dyDescent="0.25">
      <c r="A31" s="1" t="s">
        <v>238</v>
      </c>
      <c r="B31" s="1" t="s">
        <v>251</v>
      </c>
      <c r="C31" s="5">
        <v>0.76336211454843961</v>
      </c>
      <c r="D31" s="5">
        <v>0.77555841204121001</v>
      </c>
      <c r="E31" s="5">
        <v>1.2196297492770403E-2</v>
      </c>
      <c r="F31" s="9">
        <v>1.5977079894756132</v>
      </c>
      <c r="G31" s="5">
        <v>0.81681057274219793</v>
      </c>
      <c r="H31" s="5">
        <v>0.87779206020604994</v>
      </c>
      <c r="I31" s="5">
        <v>6.0981487463852013E-2</v>
      </c>
      <c r="J31" s="1" t="s">
        <v>524</v>
      </c>
      <c r="K31" s="1" t="s">
        <v>524</v>
      </c>
      <c r="L31" s="1" t="s">
        <v>522</v>
      </c>
      <c r="M31" s="1" t="s">
        <v>523</v>
      </c>
    </row>
    <row r="32" spans="1:13" ht="15" customHeight="1" x14ac:dyDescent="0.25">
      <c r="A32" s="1" t="s">
        <v>238</v>
      </c>
      <c r="B32" s="1" t="s">
        <v>256</v>
      </c>
      <c r="C32" s="5">
        <v>1.0024390360141162</v>
      </c>
      <c r="D32" s="5">
        <v>1.0031620642009731</v>
      </c>
      <c r="E32" s="5">
        <v>7.2302818685687775E-4</v>
      </c>
      <c r="F32" s="9">
        <v>7.2126898582458646E-2</v>
      </c>
      <c r="G32" s="5">
        <v>0.53963413665490323</v>
      </c>
      <c r="H32" s="5">
        <v>0.53903161316585579</v>
      </c>
      <c r="I32" s="5">
        <v>-6.0252348904743513E-4</v>
      </c>
      <c r="J32" s="1" t="s">
        <v>521</v>
      </c>
      <c r="K32" s="1" t="s">
        <v>521</v>
      </c>
      <c r="L32" s="1" t="s">
        <v>522</v>
      </c>
      <c r="M32" s="1" t="s">
        <v>523</v>
      </c>
    </row>
    <row r="33" spans="1:13" ht="15" customHeight="1" x14ac:dyDescent="0.25">
      <c r="A33" s="1" t="s">
        <v>238</v>
      </c>
      <c r="B33" s="1" t="s">
        <v>264</v>
      </c>
      <c r="C33" s="5">
        <v>0.55599723365663856</v>
      </c>
      <c r="D33" s="5">
        <v>0.58306003994011824</v>
      </c>
      <c r="E33" s="5">
        <v>2.7062806283479679E-2</v>
      </c>
      <c r="F33" s="9">
        <v>4.867435419686382</v>
      </c>
      <c r="G33" s="5">
        <v>0.55599723365663856</v>
      </c>
      <c r="H33" s="5">
        <v>0.58306003994011824</v>
      </c>
      <c r="I33" s="5">
        <v>2.7062806283479679E-2</v>
      </c>
      <c r="J33" s="1" t="s">
        <v>521</v>
      </c>
      <c r="K33" s="1" t="s">
        <v>521</v>
      </c>
      <c r="L33" s="1" t="s">
        <v>522</v>
      </c>
      <c r="M33" s="1" t="s">
        <v>523</v>
      </c>
    </row>
    <row r="34" spans="1:13" ht="15" customHeight="1" x14ac:dyDescent="0.25">
      <c r="A34" s="1" t="s">
        <v>238</v>
      </c>
      <c r="B34" s="1" t="s">
        <v>269</v>
      </c>
      <c r="C34" s="5">
        <v>0.5545780305213116</v>
      </c>
      <c r="D34" s="5">
        <v>0.54016682376153202</v>
      </c>
      <c r="E34" s="5">
        <v>-1.4411206759779582E-2</v>
      </c>
      <c r="F34" s="9">
        <v>-2.5985895521740798</v>
      </c>
      <c r="G34" s="5">
        <v>1</v>
      </c>
      <c r="H34" s="5">
        <v>1</v>
      </c>
      <c r="I34" s="5">
        <v>0</v>
      </c>
      <c r="J34" s="1" t="s">
        <v>524</v>
      </c>
      <c r="K34" s="1" t="s">
        <v>524</v>
      </c>
      <c r="L34" s="1" t="s">
        <v>522</v>
      </c>
      <c r="M34" s="1" t="s">
        <v>523</v>
      </c>
    </row>
    <row r="35" spans="1:13" ht="15" customHeight="1" x14ac:dyDescent="0.25">
      <c r="A35" s="1" t="s">
        <v>238</v>
      </c>
      <c r="B35" s="1" t="s">
        <v>275</v>
      </c>
      <c r="C35" s="5">
        <v>0.18966784287532121</v>
      </c>
      <c r="D35" s="5">
        <v>0.22626133139681073</v>
      </c>
      <c r="E35" s="5">
        <v>3.6593488521489526E-2</v>
      </c>
      <c r="F35" s="9">
        <v>19.293459537863981</v>
      </c>
      <c r="G35" s="5">
        <v>1</v>
      </c>
      <c r="H35" s="5">
        <v>0.93434667150797313</v>
      </c>
      <c r="I35" s="5">
        <v>-6.5653328492026874E-2</v>
      </c>
      <c r="J35" s="1" t="s">
        <v>524</v>
      </c>
      <c r="K35" s="1" t="s">
        <v>524</v>
      </c>
      <c r="L35" s="1" t="s">
        <v>522</v>
      </c>
      <c r="M35" s="1" t="s">
        <v>523</v>
      </c>
    </row>
    <row r="36" spans="1:13" ht="15" customHeight="1" x14ac:dyDescent="0.25">
      <c r="A36" s="1" t="s">
        <v>238</v>
      </c>
      <c r="B36" s="1" t="s">
        <v>280</v>
      </c>
      <c r="C36" s="5">
        <v>80.816664956721979</v>
      </c>
      <c r="D36" s="5">
        <v>78.002775360137647</v>
      </c>
      <c r="E36" s="5">
        <v>-2.8138895965843318</v>
      </c>
      <c r="F36" s="9">
        <v>-3.4818185062340716</v>
      </c>
      <c r="G36" s="5">
        <v>0.76020831195902472</v>
      </c>
      <c r="H36" s="5">
        <v>0.72503469200172055</v>
      </c>
      <c r="I36" s="5">
        <v>-3.517361995730417E-2</v>
      </c>
      <c r="J36" s="1" t="s">
        <v>524</v>
      </c>
      <c r="K36" s="1" t="s">
        <v>521</v>
      </c>
      <c r="L36" s="1" t="s">
        <v>522</v>
      </c>
      <c r="M36" s="1" t="s">
        <v>523</v>
      </c>
    </row>
    <row r="37" spans="1:13" ht="15" customHeight="1" x14ac:dyDescent="0.25">
      <c r="A37" s="1" t="s">
        <v>238</v>
      </c>
      <c r="B37" s="1" t="s">
        <v>287</v>
      </c>
      <c r="C37" s="5">
        <v>0.41686880937942189</v>
      </c>
      <c r="D37" s="5">
        <v>0.41686880937942189</v>
      </c>
      <c r="E37" s="5">
        <v>0</v>
      </c>
      <c r="F37" s="9">
        <v>0</v>
      </c>
      <c r="G37" s="5">
        <v>0.41686880937942189</v>
      </c>
      <c r="H37" s="5">
        <v>0.41686880937942189</v>
      </c>
      <c r="I37" s="5">
        <v>0</v>
      </c>
      <c r="J37" s="1" t="s">
        <v>525</v>
      </c>
      <c r="K37" s="1" t="s">
        <v>525</v>
      </c>
      <c r="L37" s="1" t="s">
        <v>522</v>
      </c>
      <c r="M37" s="1" t="s">
        <v>523</v>
      </c>
    </row>
    <row r="38" spans="1:13" ht="15" customHeight="1" x14ac:dyDescent="0.25">
      <c r="A38" s="1" t="s">
        <v>238</v>
      </c>
      <c r="B38" s="1" t="s">
        <v>294</v>
      </c>
      <c r="C38" s="5">
        <v>0.96964381425270552</v>
      </c>
      <c r="D38" s="5">
        <v>0.96096170956374261</v>
      </c>
      <c r="E38" s="5">
        <v>-8.6821046889629105E-3</v>
      </c>
      <c r="F38" s="9">
        <v>-0.89539112830355327</v>
      </c>
      <c r="G38" s="5">
        <v>0.84821907126352769</v>
      </c>
      <c r="H38" s="5">
        <v>0.80480854781871325</v>
      </c>
      <c r="I38" s="5">
        <v>-4.3410523444814442E-2</v>
      </c>
      <c r="J38" s="1" t="s">
        <v>524</v>
      </c>
      <c r="K38" s="1" t="s">
        <v>524</v>
      </c>
      <c r="L38" s="1" t="s">
        <v>522</v>
      </c>
      <c r="M38" s="1" t="s">
        <v>523</v>
      </c>
    </row>
    <row r="41" spans="1:13" x14ac:dyDescent="0.25">
      <c r="A41" s="14" t="s">
        <v>528</v>
      </c>
      <c r="B41" s="14"/>
      <c r="C41" s="14"/>
      <c r="D41" s="14"/>
      <c r="E41" s="14"/>
      <c r="F41" s="14"/>
      <c r="G41" s="14"/>
      <c r="H41" s="14"/>
    </row>
    <row r="42" spans="1:13" ht="30" customHeight="1" x14ac:dyDescent="0.25">
      <c r="A42" s="3" t="s">
        <v>50</v>
      </c>
      <c r="B42" s="3" t="s">
        <v>529</v>
      </c>
      <c r="C42" s="3" t="s">
        <v>530</v>
      </c>
      <c r="D42" s="3" t="s">
        <v>514</v>
      </c>
      <c r="E42" s="3" t="s">
        <v>499</v>
      </c>
    </row>
    <row r="43" spans="1:13" ht="15" customHeight="1" x14ac:dyDescent="0.25">
      <c r="A43" s="1" t="s">
        <v>68</v>
      </c>
      <c r="B43" s="8">
        <v>0.54549112675872458</v>
      </c>
      <c r="C43" s="8">
        <v>0.66591123281376496</v>
      </c>
      <c r="D43" s="8">
        <v>0.12042010605504039</v>
      </c>
      <c r="E43" s="1" t="s">
        <v>531</v>
      </c>
    </row>
    <row r="44" spans="1:13" ht="15" customHeight="1" x14ac:dyDescent="0.25">
      <c r="A44" s="1" t="s">
        <v>119</v>
      </c>
      <c r="B44" s="8">
        <v>1</v>
      </c>
      <c r="C44" s="8">
        <v>0.96878420990811198</v>
      </c>
      <c r="D44" s="8">
        <v>-3.1215790091888018E-2</v>
      </c>
      <c r="E44" s="1" t="s">
        <v>531</v>
      </c>
    </row>
    <row r="45" spans="1:13" ht="15" customHeight="1" x14ac:dyDescent="0.25">
      <c r="A45" s="1" t="s">
        <v>151</v>
      </c>
      <c r="B45" s="8">
        <v>0.65990809288222518</v>
      </c>
      <c r="C45" s="8">
        <v>0.92006834242690405</v>
      </c>
      <c r="D45" s="8">
        <v>0.26016024954467887</v>
      </c>
      <c r="E45" s="1" t="s">
        <v>531</v>
      </c>
    </row>
    <row r="46" spans="1:13" ht="15" customHeight="1" x14ac:dyDescent="0.25">
      <c r="A46" s="1" t="s">
        <v>182</v>
      </c>
      <c r="B46" s="8">
        <v>0.67882207357694579</v>
      </c>
      <c r="C46" s="8">
        <v>0.67991056758214818</v>
      </c>
      <c r="D46" s="8">
        <v>1.0884940052023895E-3</v>
      </c>
      <c r="E46" s="1" t="s">
        <v>531</v>
      </c>
    </row>
    <row r="47" spans="1:13" ht="15" customHeight="1" x14ac:dyDescent="0.25">
      <c r="A47" s="1" t="s">
        <v>238</v>
      </c>
      <c r="B47" s="8">
        <v>0.70853438707546801</v>
      </c>
      <c r="C47" s="8">
        <v>0.69987511147658332</v>
      </c>
      <c r="D47" s="8">
        <v>-8.6592755988846859E-3</v>
      </c>
      <c r="E47" s="1" t="s">
        <v>531</v>
      </c>
    </row>
    <row r="48" spans="1:13" ht="15" customHeight="1" x14ac:dyDescent="0.25">
      <c r="A48" s="1" t="s">
        <v>532</v>
      </c>
      <c r="B48" s="8">
        <v>0.71855113605867271</v>
      </c>
      <c r="C48" s="8">
        <v>0.78690989284150248</v>
      </c>
      <c r="D48" s="8">
        <v>6.8358756782829766E-2</v>
      </c>
      <c r="E48" s="1" t="s">
        <v>533</v>
      </c>
    </row>
  </sheetData>
  <mergeCells count="3">
    <mergeCell ref="A1:M1"/>
    <mergeCell ref="B2:M2"/>
    <mergeCell ref="A41:H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9"/>
  <sheetViews>
    <sheetView topLeftCell="A8" workbookViewId="0">
      <selection activeCell="L36" sqref="L36"/>
    </sheetView>
  </sheetViews>
  <sheetFormatPr defaultRowHeight="15" x14ac:dyDescent="0.25"/>
  <cols>
    <col min="1" max="1" width="14" customWidth="1"/>
    <col min="2" max="14" width="11" customWidth="1"/>
  </cols>
  <sheetData>
    <row r="1" spans="1:14" ht="30" customHeight="1" x14ac:dyDescent="0.25">
      <c r="A1" s="12" t="s">
        <v>534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6" t="s">
        <v>448</v>
      </c>
      <c r="B2" s="16" t="s">
        <v>535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x14ac:dyDescent="0.25">
      <c r="A4" s="7" t="s">
        <v>536</v>
      </c>
    </row>
    <row r="5" spans="1:14" ht="30" customHeight="1" x14ac:dyDescent="0.25">
      <c r="A5" s="3"/>
      <c r="B5" s="3" t="s">
        <v>69</v>
      </c>
      <c r="C5" s="3" t="s">
        <v>81</v>
      </c>
      <c r="D5" s="3" t="s">
        <v>86</v>
      </c>
    </row>
    <row r="6" spans="1:14" x14ac:dyDescent="0.25">
      <c r="A6" s="1" t="s">
        <v>69</v>
      </c>
      <c r="B6" s="10">
        <v>1</v>
      </c>
      <c r="C6" s="10">
        <v>0.94704509393053105</v>
      </c>
      <c r="D6" s="10">
        <v>-0.90462376480178541</v>
      </c>
    </row>
    <row r="7" spans="1:14" x14ac:dyDescent="0.25">
      <c r="A7" s="1" t="s">
        <v>81</v>
      </c>
      <c r="B7" s="10">
        <v>0.94704509393053105</v>
      </c>
      <c r="C7" s="10">
        <v>1</v>
      </c>
      <c r="D7" s="10">
        <v>-0.97801929384365149</v>
      </c>
    </row>
    <row r="8" spans="1:14" x14ac:dyDescent="0.25">
      <c r="A8" s="1" t="s">
        <v>86</v>
      </c>
      <c r="B8" s="10">
        <v>-0.90462376480178541</v>
      </c>
      <c r="C8" s="10">
        <v>-0.97801929384365149</v>
      </c>
      <c r="D8" s="10">
        <v>1</v>
      </c>
    </row>
    <row r="11" spans="1:14" x14ac:dyDescent="0.25">
      <c r="A11" s="7" t="s">
        <v>537</v>
      </c>
    </row>
    <row r="12" spans="1:14" ht="30" customHeight="1" x14ac:dyDescent="0.25">
      <c r="A12" s="3"/>
      <c r="B12" s="3" t="s">
        <v>120</v>
      </c>
      <c r="C12" s="3" t="s">
        <v>128</v>
      </c>
      <c r="D12" s="3" t="s">
        <v>133</v>
      </c>
      <c r="E12" s="3" t="s">
        <v>139</v>
      </c>
    </row>
    <row r="13" spans="1:14" x14ac:dyDescent="0.25">
      <c r="A13" s="1" t="s">
        <v>120</v>
      </c>
      <c r="B13" s="10">
        <v>1</v>
      </c>
      <c r="C13" s="10">
        <v>1</v>
      </c>
      <c r="D13" s="10">
        <v>1</v>
      </c>
      <c r="E13" s="10">
        <v>1</v>
      </c>
    </row>
    <row r="14" spans="1:14" x14ac:dyDescent="0.25">
      <c r="A14" s="1" t="s">
        <v>128</v>
      </c>
      <c r="B14" s="10">
        <v>1</v>
      </c>
      <c r="C14" s="10">
        <v>1</v>
      </c>
      <c r="D14" s="10">
        <v>1</v>
      </c>
      <c r="E14" s="10">
        <v>1</v>
      </c>
    </row>
    <row r="15" spans="1:14" x14ac:dyDescent="0.25">
      <c r="A15" s="1" t="s">
        <v>133</v>
      </c>
      <c r="B15" s="10">
        <v>1</v>
      </c>
      <c r="C15" s="10">
        <v>1</v>
      </c>
      <c r="D15" s="10">
        <v>1</v>
      </c>
      <c r="E15" s="10">
        <v>1</v>
      </c>
    </row>
    <row r="16" spans="1:14" x14ac:dyDescent="0.25">
      <c r="A16" s="1" t="s">
        <v>139</v>
      </c>
      <c r="B16" s="10">
        <v>1</v>
      </c>
      <c r="C16" s="10">
        <v>1</v>
      </c>
      <c r="D16" s="10">
        <v>1</v>
      </c>
      <c r="E16" s="10">
        <v>1</v>
      </c>
    </row>
    <row r="19" spans="1:8" x14ac:dyDescent="0.25">
      <c r="A19" s="7" t="s">
        <v>538</v>
      </c>
    </row>
    <row r="20" spans="1:8" ht="30" customHeight="1" x14ac:dyDescent="0.25">
      <c r="A20" s="3"/>
      <c r="B20" s="3" t="s">
        <v>152</v>
      </c>
      <c r="C20" s="3" t="s">
        <v>160</v>
      </c>
      <c r="D20" s="3" t="s">
        <v>165</v>
      </c>
      <c r="E20" s="3" t="s">
        <v>172</v>
      </c>
      <c r="F20" s="3" t="s">
        <v>177</v>
      </c>
    </row>
    <row r="21" spans="1:8" x14ac:dyDescent="0.25">
      <c r="A21" s="1" t="s">
        <v>152</v>
      </c>
      <c r="B21" s="10">
        <v>1</v>
      </c>
      <c r="C21" s="10">
        <v>-0.61049772057323348</v>
      </c>
      <c r="D21" s="10">
        <v>-0.98787878787878791</v>
      </c>
      <c r="E21" s="10">
        <v>-0.81818181818181823</v>
      </c>
      <c r="F21" s="10">
        <v>-0.74545454545454548</v>
      </c>
    </row>
    <row r="22" spans="1:8" x14ac:dyDescent="0.25">
      <c r="A22" s="1" t="s">
        <v>160</v>
      </c>
      <c r="B22" s="10">
        <v>-0.61049772057323348</v>
      </c>
      <c r="C22" s="10">
        <v>1</v>
      </c>
      <c r="D22" s="10">
        <v>0.66084804804319086</v>
      </c>
      <c r="E22" s="10">
        <v>0.62937909337446751</v>
      </c>
      <c r="F22" s="10">
        <v>0.78043007578433965</v>
      </c>
    </row>
    <row r="23" spans="1:8" x14ac:dyDescent="0.25">
      <c r="A23" s="1" t="s">
        <v>165</v>
      </c>
      <c r="B23" s="10">
        <v>-0.98787878787878791</v>
      </c>
      <c r="C23" s="10">
        <v>0.66084804804319086</v>
      </c>
      <c r="D23" s="10">
        <v>1</v>
      </c>
      <c r="E23" s="10">
        <v>0.84242424242424241</v>
      </c>
      <c r="F23" s="10">
        <v>0.75757575757575757</v>
      </c>
    </row>
    <row r="24" spans="1:8" x14ac:dyDescent="0.25">
      <c r="A24" s="1" t="s">
        <v>172</v>
      </c>
      <c r="B24" s="10">
        <v>-0.81818181818181823</v>
      </c>
      <c r="C24" s="10">
        <v>0.62937909337446751</v>
      </c>
      <c r="D24" s="10">
        <v>0.84242424242424241</v>
      </c>
      <c r="E24" s="10">
        <v>1</v>
      </c>
      <c r="F24" s="10">
        <v>0.72121212121212119</v>
      </c>
    </row>
    <row r="25" spans="1:8" x14ac:dyDescent="0.25">
      <c r="A25" s="1" t="s">
        <v>177</v>
      </c>
      <c r="B25" s="10">
        <v>-0.74545454545454548</v>
      </c>
      <c r="C25" s="10">
        <v>0.78043007578433965</v>
      </c>
      <c r="D25" s="10">
        <v>0.75757575757575757</v>
      </c>
      <c r="E25" s="10">
        <v>0.72121212121212119</v>
      </c>
      <c r="F25" s="10">
        <v>1</v>
      </c>
    </row>
    <row r="28" spans="1:8" x14ac:dyDescent="0.25">
      <c r="A28" s="7" t="s">
        <v>539</v>
      </c>
    </row>
    <row r="29" spans="1:8" ht="30" customHeight="1" x14ac:dyDescent="0.25">
      <c r="A29" s="3"/>
      <c r="B29" s="3" t="s">
        <v>183</v>
      </c>
      <c r="C29" s="3" t="s">
        <v>192</v>
      </c>
      <c r="D29" s="3" t="s">
        <v>198</v>
      </c>
      <c r="E29" s="3" t="s">
        <v>204</v>
      </c>
      <c r="F29" s="3" t="s">
        <v>212</v>
      </c>
      <c r="G29" s="3" t="s">
        <v>218</v>
      </c>
      <c r="H29" s="3" t="s">
        <v>232</v>
      </c>
    </row>
    <row r="30" spans="1:8" x14ac:dyDescent="0.25">
      <c r="A30" s="1" t="s">
        <v>183</v>
      </c>
      <c r="B30" s="10">
        <v>1</v>
      </c>
      <c r="C30" s="10">
        <v>0.80952380952380953</v>
      </c>
      <c r="D30" s="10">
        <v>0.80952380952380953</v>
      </c>
      <c r="E30" s="10">
        <v>0.42857142857142855</v>
      </c>
      <c r="F30" s="10">
        <v>0.47619047619047616</v>
      </c>
      <c r="G30" s="10">
        <v>0.47619047619047616</v>
      </c>
      <c r="H30" s="10">
        <v>-0.45238095238095238</v>
      </c>
    </row>
    <row r="31" spans="1:8" x14ac:dyDescent="0.25">
      <c r="A31" s="1" t="s">
        <v>192</v>
      </c>
      <c r="B31" s="10">
        <v>0.80952380952380953</v>
      </c>
      <c r="C31" s="10">
        <v>1</v>
      </c>
      <c r="D31" s="10">
        <v>1</v>
      </c>
      <c r="E31" s="10">
        <v>2.3809523809523808E-2</v>
      </c>
      <c r="F31" s="10">
        <v>0.2857142857142857</v>
      </c>
      <c r="G31" s="10">
        <v>0.2857142857142857</v>
      </c>
      <c r="H31" s="10">
        <v>-0.5</v>
      </c>
    </row>
    <row r="32" spans="1:8" x14ac:dyDescent="0.25">
      <c r="A32" s="1" t="s">
        <v>198</v>
      </c>
      <c r="B32" s="10">
        <v>0.80952380952380953</v>
      </c>
      <c r="C32" s="10">
        <v>1</v>
      </c>
      <c r="D32" s="10">
        <v>1</v>
      </c>
      <c r="E32" s="10">
        <v>2.3809523809523808E-2</v>
      </c>
      <c r="F32" s="10">
        <v>0.2857142857142857</v>
      </c>
      <c r="G32" s="10">
        <v>0.2857142857142857</v>
      </c>
      <c r="H32" s="10">
        <v>-0.5</v>
      </c>
    </row>
    <row r="33" spans="1:10" x14ac:dyDescent="0.25">
      <c r="A33" s="1" t="s">
        <v>204</v>
      </c>
      <c r="B33" s="10">
        <v>0.42857142857142855</v>
      </c>
      <c r="C33" s="10">
        <v>2.3809523809523808E-2</v>
      </c>
      <c r="D33" s="10">
        <v>2.3809523809523808E-2</v>
      </c>
      <c r="E33" s="10">
        <v>1</v>
      </c>
      <c r="F33" s="10">
        <v>0.80606060606060603</v>
      </c>
      <c r="G33" s="10">
        <v>0.80606060606060603</v>
      </c>
      <c r="H33" s="10">
        <v>0.18787878787878787</v>
      </c>
    </row>
    <row r="34" spans="1:10" x14ac:dyDescent="0.25">
      <c r="A34" s="1" t="s">
        <v>212</v>
      </c>
      <c r="B34" s="10">
        <v>0.47619047619047616</v>
      </c>
      <c r="C34" s="10">
        <v>0.2857142857142857</v>
      </c>
      <c r="D34" s="10">
        <v>0.2857142857142857</v>
      </c>
      <c r="E34" s="10">
        <v>0.80606060606060603</v>
      </c>
      <c r="F34" s="10">
        <v>1</v>
      </c>
      <c r="G34" s="10">
        <v>1</v>
      </c>
      <c r="H34" s="10">
        <v>0.30909090909090908</v>
      </c>
    </row>
    <row r="35" spans="1:10" x14ac:dyDescent="0.25">
      <c r="A35" s="1" t="s">
        <v>218</v>
      </c>
      <c r="B35" s="10">
        <v>0.47619047619047616</v>
      </c>
      <c r="C35" s="10">
        <v>0.2857142857142857</v>
      </c>
      <c r="D35" s="10">
        <v>0.2857142857142857</v>
      </c>
      <c r="E35" s="10">
        <v>0.80606060606060603</v>
      </c>
      <c r="F35" s="10">
        <v>1</v>
      </c>
      <c r="G35" s="10">
        <v>1</v>
      </c>
      <c r="H35" s="10">
        <v>0.30909090909090908</v>
      </c>
    </row>
    <row r="36" spans="1:10" x14ac:dyDescent="0.25">
      <c r="A36" s="1" t="s">
        <v>232</v>
      </c>
      <c r="B36" s="10">
        <v>-0.45238095238095238</v>
      </c>
      <c r="C36" s="10">
        <v>-0.5</v>
      </c>
      <c r="D36" s="10">
        <v>-0.5</v>
      </c>
      <c r="E36" s="10">
        <v>0.18787878787878787</v>
      </c>
      <c r="F36" s="10">
        <v>0.30909090909090908</v>
      </c>
      <c r="G36" s="10">
        <v>0.30909090909090908</v>
      </c>
      <c r="H36" s="10">
        <v>1</v>
      </c>
    </row>
    <row r="39" spans="1:10" x14ac:dyDescent="0.25">
      <c r="A39" s="7" t="s">
        <v>540</v>
      </c>
    </row>
    <row r="40" spans="1:10" ht="30" customHeight="1" x14ac:dyDescent="0.25">
      <c r="A40" s="3"/>
      <c r="B40" s="3" t="s">
        <v>239</v>
      </c>
      <c r="C40" s="3" t="s">
        <v>246</v>
      </c>
      <c r="D40" s="3" t="s">
        <v>251</v>
      </c>
      <c r="E40" s="3" t="s">
        <v>256</v>
      </c>
      <c r="F40" s="3" t="s">
        <v>264</v>
      </c>
      <c r="G40" s="3" t="s">
        <v>269</v>
      </c>
      <c r="H40" s="3" t="s">
        <v>275</v>
      </c>
      <c r="I40" s="3" t="s">
        <v>280</v>
      </c>
      <c r="J40" s="3" t="s">
        <v>294</v>
      </c>
    </row>
    <row r="41" spans="1:10" x14ac:dyDescent="0.25">
      <c r="A41" s="1" t="s">
        <v>239</v>
      </c>
      <c r="B41" s="10">
        <v>1</v>
      </c>
      <c r="C41" s="10">
        <v>-0.76969696969696966</v>
      </c>
      <c r="D41" s="10">
        <v>-0.18787878787878787</v>
      </c>
      <c r="E41" s="10">
        <v>-0.28484848484848485</v>
      </c>
      <c r="F41" s="10">
        <v>3.0677155956992441E-2</v>
      </c>
      <c r="G41" s="10">
        <v>-0.21212121212121213</v>
      </c>
      <c r="H41" s="10">
        <v>1.846372364689991E-2</v>
      </c>
      <c r="I41" s="10">
        <v>-9.0909090909090912E-2</v>
      </c>
      <c r="J41" s="10">
        <v>0.23928181646454105</v>
      </c>
    </row>
    <row r="42" spans="1:10" x14ac:dyDescent="0.25">
      <c r="A42" s="1" t="s">
        <v>246</v>
      </c>
      <c r="B42" s="10">
        <v>-0.76969696969696966</v>
      </c>
      <c r="C42" s="10">
        <v>1</v>
      </c>
      <c r="D42" s="10">
        <v>-6.6666666666666666E-2</v>
      </c>
      <c r="E42" s="10">
        <v>0.63636363636363635</v>
      </c>
      <c r="F42" s="10">
        <v>-0.16565664216775919</v>
      </c>
      <c r="G42" s="10">
        <v>6.0606060606060606E-3</v>
      </c>
      <c r="H42" s="10">
        <v>-0.39389277113386473</v>
      </c>
      <c r="I42" s="10">
        <v>7.8787878787878782E-2</v>
      </c>
      <c r="J42" s="10">
        <v>-0.20246922931615011</v>
      </c>
    </row>
    <row r="43" spans="1:10" x14ac:dyDescent="0.25">
      <c r="A43" s="1" t="s">
        <v>251</v>
      </c>
      <c r="B43" s="10">
        <v>-0.18787878787878787</v>
      </c>
      <c r="C43" s="10">
        <v>-6.6666666666666666E-2</v>
      </c>
      <c r="D43" s="10">
        <v>1</v>
      </c>
      <c r="E43" s="10">
        <v>-0.63636363636363635</v>
      </c>
      <c r="F43" s="10">
        <v>0.26382354123013502</v>
      </c>
      <c r="G43" s="10">
        <v>-3.0303030303030304E-2</v>
      </c>
      <c r="H43" s="10">
        <v>0.5539117094069973</v>
      </c>
      <c r="I43" s="10">
        <v>-7.8787878787878782E-2</v>
      </c>
      <c r="J43" s="10">
        <v>-0.55832423841726242</v>
      </c>
    </row>
    <row r="44" spans="1:10" x14ac:dyDescent="0.25">
      <c r="A44" s="1" t="s">
        <v>256</v>
      </c>
      <c r="B44" s="10">
        <v>-0.28484848484848485</v>
      </c>
      <c r="C44" s="10">
        <v>0.63636363636363635</v>
      </c>
      <c r="D44" s="10">
        <v>-0.63636363636363635</v>
      </c>
      <c r="E44" s="10">
        <v>1</v>
      </c>
      <c r="F44" s="10">
        <v>-0.49696992650327754</v>
      </c>
      <c r="G44" s="10">
        <v>0.17575757575757575</v>
      </c>
      <c r="H44" s="10">
        <v>-0.84933128775739586</v>
      </c>
      <c r="I44" s="10">
        <v>-0.11515151515151516</v>
      </c>
      <c r="J44" s="10">
        <v>7.9760605488180342E-2</v>
      </c>
    </row>
    <row r="45" spans="1:10" x14ac:dyDescent="0.25">
      <c r="A45" s="1" t="s">
        <v>264</v>
      </c>
      <c r="B45" s="10">
        <v>3.0677155956992441E-2</v>
      </c>
      <c r="C45" s="10">
        <v>-0.16565664216775919</v>
      </c>
      <c r="D45" s="10">
        <v>0.26382354123013502</v>
      </c>
      <c r="E45" s="10">
        <v>-0.49696992650327754</v>
      </c>
      <c r="F45" s="10">
        <v>1</v>
      </c>
      <c r="G45" s="10">
        <v>-0.76692889892481109</v>
      </c>
      <c r="H45" s="10">
        <v>0.72274494010487889</v>
      </c>
      <c r="I45" s="10">
        <v>-0.14111491740216522</v>
      </c>
      <c r="J45" s="10">
        <v>-0.10559006211180125</v>
      </c>
    </row>
    <row r="46" spans="1:10" x14ac:dyDescent="0.25">
      <c r="A46" s="1" t="s">
        <v>269</v>
      </c>
      <c r="B46" s="10">
        <v>-0.21212121212121213</v>
      </c>
      <c r="C46" s="10">
        <v>6.0606060606060606E-3</v>
      </c>
      <c r="D46" s="10">
        <v>-3.0303030303030304E-2</v>
      </c>
      <c r="E46" s="10">
        <v>0.17575757575757575</v>
      </c>
      <c r="F46" s="10">
        <v>-0.76692889892481109</v>
      </c>
      <c r="G46" s="10">
        <v>1</v>
      </c>
      <c r="H46" s="10">
        <v>-0.47390224027043099</v>
      </c>
      <c r="I46" s="10">
        <v>0.22424242424242424</v>
      </c>
      <c r="J46" s="10">
        <v>0.12884405501936824</v>
      </c>
    </row>
    <row r="47" spans="1:10" x14ac:dyDescent="0.25">
      <c r="A47" s="1" t="s">
        <v>275</v>
      </c>
      <c r="B47" s="10">
        <v>1.846372364689991E-2</v>
      </c>
      <c r="C47" s="10">
        <v>-0.39389277113386473</v>
      </c>
      <c r="D47" s="10">
        <v>0.5539117094069973</v>
      </c>
      <c r="E47" s="10">
        <v>-0.84933128775739586</v>
      </c>
      <c r="F47" s="10">
        <v>0.72274494010487889</v>
      </c>
      <c r="G47" s="10">
        <v>-0.47390224027043099</v>
      </c>
      <c r="H47" s="10">
        <v>1</v>
      </c>
      <c r="I47" s="10">
        <v>4.9236596391733091E-2</v>
      </c>
      <c r="J47" s="10">
        <v>-7.4766717941884026E-2</v>
      </c>
    </row>
    <row r="48" spans="1:10" x14ac:dyDescent="0.25">
      <c r="A48" s="1" t="s">
        <v>280</v>
      </c>
      <c r="B48" s="10">
        <v>-9.0909090909090912E-2</v>
      </c>
      <c r="C48" s="10">
        <v>7.8787878787878782E-2</v>
      </c>
      <c r="D48" s="10">
        <v>-7.8787878787878782E-2</v>
      </c>
      <c r="E48" s="10">
        <v>-0.11515151515151516</v>
      </c>
      <c r="F48" s="10">
        <v>-0.14111491740216522</v>
      </c>
      <c r="G48" s="10">
        <v>0.22424242424242424</v>
      </c>
      <c r="H48" s="10">
        <v>4.9236596391733091E-2</v>
      </c>
      <c r="I48" s="10">
        <v>1</v>
      </c>
      <c r="J48" s="10">
        <v>-0.11657319263657127</v>
      </c>
    </row>
    <row r="49" spans="1:10" x14ac:dyDescent="0.25">
      <c r="A49" s="1" t="s">
        <v>294</v>
      </c>
      <c r="B49" s="10">
        <v>0.23928181646454105</v>
      </c>
      <c r="C49" s="10">
        <v>-0.20246922931615011</v>
      </c>
      <c r="D49" s="10">
        <v>-0.55832423841726242</v>
      </c>
      <c r="E49" s="10">
        <v>7.9760605488180342E-2</v>
      </c>
      <c r="F49" s="10">
        <v>-0.10559006211180125</v>
      </c>
      <c r="G49" s="10">
        <v>0.12884405501936824</v>
      </c>
      <c r="H49" s="10">
        <v>-7.4766717941884026E-2</v>
      </c>
      <c r="I49" s="10">
        <v>-0.11657319263657127</v>
      </c>
      <c r="J49" s="10">
        <v>1</v>
      </c>
    </row>
  </sheetData>
  <mergeCells count="2">
    <mergeCell ref="A1:N1"/>
    <mergeCell ref="B2:N2"/>
  </mergeCells>
  <conditionalFormatting sqref="B6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F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H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1:J4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8"/>
  <sheetViews>
    <sheetView workbookViewId="0">
      <selection activeCell="A16" sqref="A16:XFD16"/>
    </sheetView>
  </sheetViews>
  <sheetFormatPr defaultRowHeight="15" x14ac:dyDescent="0.25"/>
  <cols>
    <col min="1" max="1" width="10" customWidth="1"/>
    <col min="2" max="3" width="12" customWidth="1"/>
    <col min="4" max="4" width="11" customWidth="1"/>
    <col min="5" max="5" width="8" customWidth="1"/>
    <col min="6" max="6" width="52" customWidth="1"/>
    <col min="7" max="8" width="58" customWidth="1"/>
    <col min="9" max="9" width="18" customWidth="1"/>
  </cols>
  <sheetData>
    <row r="1" spans="1:9" ht="30" customHeight="1" x14ac:dyDescent="0.25">
      <c r="A1" s="12" t="s">
        <v>541</v>
      </c>
      <c r="B1" s="13"/>
      <c r="C1" s="13"/>
      <c r="D1" s="13"/>
      <c r="E1" s="13"/>
      <c r="F1" s="13"/>
      <c r="G1" s="13"/>
      <c r="H1" s="13"/>
      <c r="I1" s="13"/>
    </row>
    <row r="3" spans="1:9" ht="30" customHeight="1" x14ac:dyDescent="0.25">
      <c r="A3" s="3" t="s">
        <v>50</v>
      </c>
      <c r="B3" s="3" t="s">
        <v>542</v>
      </c>
      <c r="C3" s="3" t="s">
        <v>543</v>
      </c>
      <c r="D3" s="3" t="s">
        <v>544</v>
      </c>
      <c r="E3" s="3" t="s">
        <v>545</v>
      </c>
      <c r="F3" s="3" t="s">
        <v>499</v>
      </c>
      <c r="G3" s="3" t="s">
        <v>546</v>
      </c>
      <c r="H3" s="3" t="s">
        <v>547</v>
      </c>
      <c r="I3" s="3" t="s">
        <v>548</v>
      </c>
    </row>
    <row r="4" spans="1:9" ht="15" customHeight="1" x14ac:dyDescent="0.25">
      <c r="A4" s="1" t="s">
        <v>119</v>
      </c>
      <c r="B4" s="1" t="s">
        <v>120</v>
      </c>
      <c r="C4" s="1" t="s">
        <v>128</v>
      </c>
      <c r="D4" s="8">
        <v>1</v>
      </c>
      <c r="E4" s="1">
        <v>10</v>
      </c>
      <c r="F4" s="1" t="s">
        <v>549</v>
      </c>
      <c r="G4" s="1" t="s">
        <v>550</v>
      </c>
      <c r="H4" s="1" t="s">
        <v>551</v>
      </c>
      <c r="I4" s="1" t="s">
        <v>552</v>
      </c>
    </row>
    <row r="5" spans="1:9" ht="15" customHeight="1" x14ac:dyDescent="0.25">
      <c r="A5" s="1" t="s">
        <v>119</v>
      </c>
      <c r="B5" s="1" t="s">
        <v>120</v>
      </c>
      <c r="C5" s="1" t="s">
        <v>133</v>
      </c>
      <c r="D5" s="8">
        <v>1</v>
      </c>
      <c r="E5" s="1">
        <v>10</v>
      </c>
      <c r="F5" s="1" t="s">
        <v>553</v>
      </c>
      <c r="G5" s="1" t="s">
        <v>554</v>
      </c>
      <c r="H5" s="1" t="s">
        <v>551</v>
      </c>
      <c r="I5" s="1" t="s">
        <v>552</v>
      </c>
    </row>
    <row r="6" spans="1:9" ht="15" customHeight="1" x14ac:dyDescent="0.25">
      <c r="A6" s="1" t="s">
        <v>119</v>
      </c>
      <c r="B6" s="1" t="s">
        <v>120</v>
      </c>
      <c r="C6" s="1" t="s">
        <v>139</v>
      </c>
      <c r="D6" s="8">
        <v>1</v>
      </c>
      <c r="E6" s="1">
        <v>10</v>
      </c>
      <c r="F6" s="1" t="s">
        <v>555</v>
      </c>
      <c r="G6" s="1" t="s">
        <v>556</v>
      </c>
      <c r="H6" s="1" t="s">
        <v>551</v>
      </c>
      <c r="I6" s="1" t="s">
        <v>552</v>
      </c>
    </row>
    <row r="7" spans="1:9" ht="15" customHeight="1" x14ac:dyDescent="0.25">
      <c r="A7" s="1" t="s">
        <v>119</v>
      </c>
      <c r="B7" s="1" t="s">
        <v>128</v>
      </c>
      <c r="C7" s="1" t="s">
        <v>133</v>
      </c>
      <c r="D7" s="8">
        <v>1</v>
      </c>
      <c r="E7" s="1">
        <v>10</v>
      </c>
      <c r="F7" s="1" t="s">
        <v>557</v>
      </c>
      <c r="G7" s="1" t="s">
        <v>558</v>
      </c>
      <c r="H7" s="1" t="s">
        <v>551</v>
      </c>
      <c r="I7" s="1" t="s">
        <v>552</v>
      </c>
    </row>
    <row r="8" spans="1:9" ht="15" customHeight="1" x14ac:dyDescent="0.25">
      <c r="A8" s="1" t="s">
        <v>119</v>
      </c>
      <c r="B8" s="1" t="s">
        <v>128</v>
      </c>
      <c r="C8" s="1" t="s">
        <v>139</v>
      </c>
      <c r="D8" s="8">
        <v>1</v>
      </c>
      <c r="E8" s="1">
        <v>10</v>
      </c>
      <c r="F8" s="1" t="s">
        <v>559</v>
      </c>
      <c r="G8" s="1" t="s">
        <v>560</v>
      </c>
      <c r="H8" s="1" t="s">
        <v>551</v>
      </c>
      <c r="I8" s="1" t="s">
        <v>552</v>
      </c>
    </row>
    <row r="9" spans="1:9" ht="15" customHeight="1" x14ac:dyDescent="0.25">
      <c r="A9" s="1" t="s">
        <v>119</v>
      </c>
      <c r="B9" s="1" t="s">
        <v>133</v>
      </c>
      <c r="C9" s="1" t="s">
        <v>139</v>
      </c>
      <c r="D9" s="8">
        <v>1</v>
      </c>
      <c r="E9" s="1">
        <v>10</v>
      </c>
      <c r="F9" s="1" t="s">
        <v>561</v>
      </c>
      <c r="G9" s="1" t="s">
        <v>562</v>
      </c>
      <c r="H9" s="1" t="s">
        <v>551</v>
      </c>
      <c r="I9" s="1" t="s">
        <v>552</v>
      </c>
    </row>
    <row r="10" spans="1:9" ht="15" customHeight="1" x14ac:dyDescent="0.25">
      <c r="A10" s="1" t="s">
        <v>182</v>
      </c>
      <c r="B10" s="1" t="s">
        <v>192</v>
      </c>
      <c r="C10" s="1" t="s">
        <v>198</v>
      </c>
      <c r="D10" s="8">
        <v>1</v>
      </c>
      <c r="E10" s="1">
        <v>8</v>
      </c>
      <c r="F10" s="1" t="s">
        <v>563</v>
      </c>
      <c r="G10" s="1" t="s">
        <v>564</v>
      </c>
      <c r="H10" s="1" t="s">
        <v>551</v>
      </c>
      <c r="I10" s="1" t="s">
        <v>552</v>
      </c>
    </row>
    <row r="11" spans="1:9" ht="15" customHeight="1" x14ac:dyDescent="0.25">
      <c r="A11" s="1" t="s">
        <v>182</v>
      </c>
      <c r="B11" s="1" t="s">
        <v>212</v>
      </c>
      <c r="C11" s="1" t="s">
        <v>218</v>
      </c>
      <c r="D11" s="8">
        <v>1</v>
      </c>
      <c r="E11" s="1">
        <v>10</v>
      </c>
      <c r="F11" s="1" t="s">
        <v>565</v>
      </c>
      <c r="G11" s="1" t="s">
        <v>566</v>
      </c>
      <c r="H11" s="1" t="s">
        <v>551</v>
      </c>
      <c r="I11" s="1" t="s">
        <v>552</v>
      </c>
    </row>
    <row r="12" spans="1:9" ht="15" customHeight="1" x14ac:dyDescent="0.25">
      <c r="A12" s="1" t="s">
        <v>151</v>
      </c>
      <c r="B12" s="1" t="s">
        <v>152</v>
      </c>
      <c r="C12" s="1" t="s">
        <v>165</v>
      </c>
      <c r="D12" s="8">
        <v>-0.98787878787878791</v>
      </c>
      <c r="E12" s="1">
        <v>10</v>
      </c>
      <c r="F12" s="1" t="s">
        <v>567</v>
      </c>
      <c r="G12" s="1" t="s">
        <v>568</v>
      </c>
      <c r="H12" s="1" t="s">
        <v>551</v>
      </c>
      <c r="I12" s="1" t="s">
        <v>552</v>
      </c>
    </row>
    <row r="13" spans="1:9" ht="15" customHeight="1" x14ac:dyDescent="0.25">
      <c r="A13" s="1" t="s">
        <v>68</v>
      </c>
      <c r="B13" s="1" t="s">
        <v>81</v>
      </c>
      <c r="C13" s="1" t="s">
        <v>86</v>
      </c>
      <c r="D13" s="8">
        <v>-0.97801929384365149</v>
      </c>
      <c r="E13" s="1">
        <v>10</v>
      </c>
      <c r="F13" s="1" t="s">
        <v>569</v>
      </c>
      <c r="G13" s="1" t="s">
        <v>570</v>
      </c>
      <c r="H13" s="1" t="s">
        <v>551</v>
      </c>
      <c r="I13" s="1" t="s">
        <v>552</v>
      </c>
    </row>
    <row r="14" spans="1:9" ht="15" customHeight="1" x14ac:dyDescent="0.25">
      <c r="A14" s="1" t="s">
        <v>68</v>
      </c>
      <c r="B14" s="1" t="s">
        <v>69</v>
      </c>
      <c r="C14" s="1" t="s">
        <v>81</v>
      </c>
      <c r="D14" s="8">
        <v>0.94704509393053105</v>
      </c>
      <c r="E14" s="1">
        <v>10</v>
      </c>
      <c r="F14" s="1" t="s">
        <v>571</v>
      </c>
      <c r="G14" s="1" t="s">
        <v>572</v>
      </c>
      <c r="H14" s="1" t="s">
        <v>551</v>
      </c>
      <c r="I14" s="1" t="s">
        <v>552</v>
      </c>
    </row>
    <row r="15" spans="1:9" ht="15" customHeight="1" x14ac:dyDescent="0.25">
      <c r="A15" s="1" t="s">
        <v>68</v>
      </c>
      <c r="B15" s="1" t="s">
        <v>69</v>
      </c>
      <c r="C15" s="1" t="s">
        <v>86</v>
      </c>
      <c r="D15" s="8">
        <v>-0.90462376480178541</v>
      </c>
      <c r="E15" s="1">
        <v>10</v>
      </c>
      <c r="F15" s="1" t="s">
        <v>573</v>
      </c>
      <c r="G15" s="1" t="s">
        <v>574</v>
      </c>
      <c r="H15" s="1" t="s">
        <v>551</v>
      </c>
      <c r="I15" s="1" t="s">
        <v>552</v>
      </c>
    </row>
    <row r="16" spans="1:9" ht="15" customHeight="1" x14ac:dyDescent="0.25">
      <c r="A16" s="1" t="s">
        <v>238</v>
      </c>
      <c r="B16" s="1" t="s">
        <v>256</v>
      </c>
      <c r="C16" s="1" t="s">
        <v>275</v>
      </c>
      <c r="D16" s="8">
        <v>-0.84933128775739586</v>
      </c>
      <c r="E16" s="1">
        <v>10</v>
      </c>
      <c r="F16" s="1" t="s">
        <v>575</v>
      </c>
      <c r="G16" s="1" t="s">
        <v>576</v>
      </c>
      <c r="H16" s="1" t="s">
        <v>551</v>
      </c>
      <c r="I16" s="1" t="s">
        <v>552</v>
      </c>
    </row>
    <row r="17" spans="1:9" ht="15" customHeight="1" x14ac:dyDescent="0.25">
      <c r="A17" s="1" t="s">
        <v>151</v>
      </c>
      <c r="B17" s="1" t="s">
        <v>165</v>
      </c>
      <c r="C17" s="1" t="s">
        <v>172</v>
      </c>
      <c r="D17" s="8">
        <v>0.84242424242424241</v>
      </c>
      <c r="E17" s="1">
        <v>10</v>
      </c>
      <c r="F17" s="1" t="s">
        <v>577</v>
      </c>
      <c r="G17" s="1" t="s">
        <v>578</v>
      </c>
      <c r="H17" s="1" t="s">
        <v>551</v>
      </c>
      <c r="I17" s="1" t="s">
        <v>552</v>
      </c>
    </row>
    <row r="18" spans="1:9" ht="15" customHeight="1" x14ac:dyDescent="0.25">
      <c r="A18" s="1" t="s">
        <v>151</v>
      </c>
      <c r="B18" s="1" t="s">
        <v>152</v>
      </c>
      <c r="C18" s="1" t="s">
        <v>172</v>
      </c>
      <c r="D18" s="8">
        <v>-0.81818181818181823</v>
      </c>
      <c r="E18" s="1">
        <v>10</v>
      </c>
      <c r="F18" s="1" t="s">
        <v>579</v>
      </c>
      <c r="G18" s="1" t="s">
        <v>580</v>
      </c>
      <c r="H18" s="1" t="s">
        <v>551</v>
      </c>
      <c r="I18" s="1" t="s">
        <v>552</v>
      </c>
    </row>
    <row r="19" spans="1:9" ht="15" customHeight="1" x14ac:dyDescent="0.25">
      <c r="A19" s="1" t="s">
        <v>182</v>
      </c>
      <c r="B19" s="1" t="s">
        <v>183</v>
      </c>
      <c r="C19" s="1" t="s">
        <v>192</v>
      </c>
      <c r="D19" s="8">
        <v>0.80952380952380953</v>
      </c>
      <c r="E19" s="1">
        <v>8</v>
      </c>
      <c r="F19" s="1" t="s">
        <v>581</v>
      </c>
      <c r="G19" s="1" t="s">
        <v>582</v>
      </c>
      <c r="H19" s="1" t="s">
        <v>551</v>
      </c>
      <c r="I19" s="1" t="s">
        <v>552</v>
      </c>
    </row>
    <row r="20" spans="1:9" ht="15" customHeight="1" x14ac:dyDescent="0.25">
      <c r="A20" s="1" t="s">
        <v>182</v>
      </c>
      <c r="B20" s="1" t="s">
        <v>183</v>
      </c>
      <c r="C20" s="1" t="s">
        <v>198</v>
      </c>
      <c r="D20" s="8">
        <v>0.80952380952380953</v>
      </c>
      <c r="E20" s="1">
        <v>8</v>
      </c>
      <c r="F20" s="1" t="s">
        <v>583</v>
      </c>
      <c r="G20" s="1" t="s">
        <v>584</v>
      </c>
      <c r="H20" s="1" t="s">
        <v>551</v>
      </c>
      <c r="I20" s="1" t="s">
        <v>552</v>
      </c>
    </row>
    <row r="21" spans="1:9" ht="15" customHeight="1" x14ac:dyDescent="0.25">
      <c r="A21" s="1" t="s">
        <v>182</v>
      </c>
      <c r="B21" s="1" t="s">
        <v>204</v>
      </c>
      <c r="C21" s="1" t="s">
        <v>212</v>
      </c>
      <c r="D21" s="8">
        <v>0.80606060606060603</v>
      </c>
      <c r="E21" s="1">
        <v>10</v>
      </c>
      <c r="F21" s="1" t="s">
        <v>585</v>
      </c>
      <c r="G21" s="1" t="s">
        <v>586</v>
      </c>
      <c r="H21" s="1" t="s">
        <v>551</v>
      </c>
      <c r="I21" s="1" t="s">
        <v>552</v>
      </c>
    </row>
    <row r="22" spans="1:9" ht="15" customHeight="1" x14ac:dyDescent="0.25">
      <c r="A22" s="1" t="s">
        <v>182</v>
      </c>
      <c r="B22" s="1" t="s">
        <v>204</v>
      </c>
      <c r="C22" s="1" t="s">
        <v>218</v>
      </c>
      <c r="D22" s="8">
        <v>0.80606060606060603</v>
      </c>
      <c r="E22" s="1">
        <v>10</v>
      </c>
      <c r="F22" s="1" t="s">
        <v>587</v>
      </c>
      <c r="G22" s="1" t="s">
        <v>588</v>
      </c>
      <c r="H22" s="1" t="s">
        <v>551</v>
      </c>
      <c r="I22" s="1" t="s">
        <v>552</v>
      </c>
    </row>
    <row r="23" spans="1:9" ht="15" customHeight="1" x14ac:dyDescent="0.25">
      <c r="A23" s="1" t="s">
        <v>151</v>
      </c>
      <c r="B23" s="1" t="s">
        <v>160</v>
      </c>
      <c r="C23" s="1" t="s">
        <v>177</v>
      </c>
      <c r="D23" s="8">
        <v>0.78043007578433965</v>
      </c>
      <c r="E23" s="1">
        <v>10</v>
      </c>
      <c r="F23" s="1" t="s">
        <v>589</v>
      </c>
      <c r="G23" s="1" t="s">
        <v>590</v>
      </c>
      <c r="H23" s="1" t="s">
        <v>551</v>
      </c>
      <c r="I23" s="1" t="s">
        <v>552</v>
      </c>
    </row>
    <row r="24" spans="1:9" ht="15" customHeight="1" x14ac:dyDescent="0.25">
      <c r="A24" s="1" t="s">
        <v>238</v>
      </c>
      <c r="B24" s="1" t="s">
        <v>239</v>
      </c>
      <c r="C24" s="1" t="s">
        <v>246</v>
      </c>
      <c r="D24" s="8">
        <v>-0.76969696969696966</v>
      </c>
      <c r="E24" s="1">
        <v>10</v>
      </c>
      <c r="F24" s="1" t="s">
        <v>589</v>
      </c>
      <c r="G24" s="1" t="s">
        <v>590</v>
      </c>
      <c r="H24" s="1" t="s">
        <v>551</v>
      </c>
      <c r="I24" s="1" t="s">
        <v>552</v>
      </c>
    </row>
    <row r="25" spans="1:9" ht="15" customHeight="1" x14ac:dyDescent="0.25">
      <c r="A25" s="1" t="s">
        <v>238</v>
      </c>
      <c r="B25" s="1" t="s">
        <v>264</v>
      </c>
      <c r="C25" s="1" t="s">
        <v>269</v>
      </c>
      <c r="D25" s="8">
        <v>-0.76692889892481109</v>
      </c>
      <c r="E25" s="1">
        <v>10</v>
      </c>
      <c r="F25" s="1" t="s">
        <v>589</v>
      </c>
      <c r="G25" s="1" t="s">
        <v>590</v>
      </c>
      <c r="H25" s="1" t="s">
        <v>551</v>
      </c>
      <c r="I25" s="1" t="s">
        <v>552</v>
      </c>
    </row>
    <row r="26" spans="1:9" ht="15" customHeight="1" x14ac:dyDescent="0.25">
      <c r="A26" s="1" t="s">
        <v>151</v>
      </c>
      <c r="B26" s="1" t="s">
        <v>165</v>
      </c>
      <c r="C26" s="1" t="s">
        <v>177</v>
      </c>
      <c r="D26" s="8">
        <v>0.75757575757575757</v>
      </c>
      <c r="E26" s="1">
        <v>10</v>
      </c>
      <c r="F26" s="1" t="s">
        <v>589</v>
      </c>
      <c r="G26" s="1" t="s">
        <v>590</v>
      </c>
      <c r="H26" s="1" t="s">
        <v>551</v>
      </c>
      <c r="I26" s="1" t="s">
        <v>552</v>
      </c>
    </row>
    <row r="27" spans="1:9" ht="15" customHeight="1" x14ac:dyDescent="0.25">
      <c r="A27" s="1" t="s">
        <v>151</v>
      </c>
      <c r="B27" s="1" t="s">
        <v>152</v>
      </c>
      <c r="C27" s="1" t="s">
        <v>177</v>
      </c>
      <c r="D27" s="8">
        <v>-0.74545454545454548</v>
      </c>
      <c r="E27" s="1">
        <v>10</v>
      </c>
      <c r="F27" s="1" t="s">
        <v>589</v>
      </c>
      <c r="G27" s="1" t="s">
        <v>590</v>
      </c>
      <c r="H27" s="1" t="s">
        <v>551</v>
      </c>
      <c r="I27" s="1" t="s">
        <v>552</v>
      </c>
    </row>
    <row r="28" spans="1:9" ht="15" customHeight="1" x14ac:dyDescent="0.25">
      <c r="A28" s="1" t="s">
        <v>238</v>
      </c>
      <c r="B28" s="1" t="s">
        <v>264</v>
      </c>
      <c r="C28" s="1" t="s">
        <v>275</v>
      </c>
      <c r="D28" s="8">
        <v>0.72274494010487889</v>
      </c>
      <c r="E28" s="1">
        <v>10</v>
      </c>
      <c r="F28" s="1" t="s">
        <v>589</v>
      </c>
      <c r="G28" s="1" t="s">
        <v>590</v>
      </c>
      <c r="H28" s="1" t="s">
        <v>551</v>
      </c>
      <c r="I28" s="1" t="s">
        <v>552</v>
      </c>
    </row>
    <row r="29" spans="1:9" ht="15" customHeight="1" x14ac:dyDescent="0.25">
      <c r="A29" s="1" t="s">
        <v>151</v>
      </c>
      <c r="B29" s="1" t="s">
        <v>172</v>
      </c>
      <c r="C29" s="1" t="s">
        <v>177</v>
      </c>
      <c r="D29" s="8">
        <v>0.72121212121212119</v>
      </c>
      <c r="E29" s="1">
        <v>10</v>
      </c>
      <c r="F29" s="1" t="s">
        <v>589</v>
      </c>
      <c r="G29" s="1" t="s">
        <v>590</v>
      </c>
      <c r="H29" s="1" t="s">
        <v>551</v>
      </c>
      <c r="I29" s="1" t="s">
        <v>552</v>
      </c>
    </row>
    <row r="32" spans="1:9" x14ac:dyDescent="0.25">
      <c r="A32" s="14" t="s">
        <v>591</v>
      </c>
      <c r="B32" s="14"/>
      <c r="C32" s="14"/>
      <c r="D32" s="14"/>
      <c r="E32" s="14"/>
      <c r="F32" s="14"/>
      <c r="G32" s="14"/>
      <c r="H32" s="14"/>
      <c r="I32" s="14"/>
    </row>
    <row r="33" spans="1:9" ht="30" customHeight="1" x14ac:dyDescent="0.25">
      <c r="A33" s="3" t="s">
        <v>592</v>
      </c>
      <c r="B33" s="3" t="s">
        <v>593</v>
      </c>
      <c r="C33" s="3" t="s">
        <v>68</v>
      </c>
      <c r="D33" s="3" t="s">
        <v>119</v>
      </c>
      <c r="E33" s="3" t="s">
        <v>151</v>
      </c>
      <c r="F33" s="3" t="s">
        <v>182</v>
      </c>
      <c r="G33" s="3" t="s">
        <v>238</v>
      </c>
      <c r="H33" s="3" t="s">
        <v>299</v>
      </c>
      <c r="I33" s="3" t="s">
        <v>594</v>
      </c>
    </row>
    <row r="34" spans="1:9" ht="15" customHeight="1" x14ac:dyDescent="0.25">
      <c r="A34" s="1" t="s">
        <v>595</v>
      </c>
      <c r="B34" s="1"/>
      <c r="C34" s="8">
        <v>0.59980884489797592</v>
      </c>
      <c r="D34" s="8">
        <v>0.8578087490579297</v>
      </c>
      <c r="E34" s="8">
        <v>0.78797961524213567</v>
      </c>
      <c r="F34" s="8">
        <v>0.67098652506316636</v>
      </c>
      <c r="G34" s="8">
        <v>0.68151860488024085</v>
      </c>
      <c r="H34" s="8">
        <v>0.59375</v>
      </c>
      <c r="I34" s="8">
        <v>0.69864205652357469</v>
      </c>
    </row>
    <row r="35" spans="1:9" ht="15" customHeight="1" x14ac:dyDescent="0.25">
      <c r="A35" s="1" t="s">
        <v>596</v>
      </c>
      <c r="B35" s="1" t="s">
        <v>597</v>
      </c>
      <c r="C35" s="8">
        <v>0.59980884489797592</v>
      </c>
      <c r="D35" s="8">
        <v>0.8578087490579297</v>
      </c>
      <c r="E35" s="8">
        <v>0.78797961524213567</v>
      </c>
      <c r="F35" s="8">
        <v>0.67762990177113869</v>
      </c>
      <c r="G35" s="8">
        <v>0.68151860488024085</v>
      </c>
      <c r="H35" s="8">
        <v>0.59375</v>
      </c>
      <c r="I35" s="8">
        <v>0.69974928597490349</v>
      </c>
    </row>
    <row r="36" spans="1:9" ht="15" customHeight="1" x14ac:dyDescent="0.25">
      <c r="A36" s="1" t="s">
        <v>598</v>
      </c>
      <c r="B36" s="1" t="s">
        <v>113</v>
      </c>
      <c r="C36" s="8">
        <v>0.6537405314578344</v>
      </c>
      <c r="D36" s="8">
        <v>0.8578087490579297</v>
      </c>
      <c r="E36" s="8">
        <v>0.78797961524213567</v>
      </c>
      <c r="F36" s="8">
        <v>0.67098652506316636</v>
      </c>
      <c r="G36" s="8">
        <v>0.68151860488024085</v>
      </c>
      <c r="H36" s="8">
        <v>0.59375</v>
      </c>
      <c r="I36" s="8">
        <v>0.70763067095021792</v>
      </c>
    </row>
    <row r="37" spans="1:9" ht="15" customHeight="1" x14ac:dyDescent="0.25">
      <c r="A37" s="1" t="s">
        <v>599</v>
      </c>
      <c r="B37" s="1" t="s">
        <v>600</v>
      </c>
      <c r="C37" s="8">
        <v>0.6537405314578344</v>
      </c>
      <c r="D37" s="8">
        <v>0.8578087490579297</v>
      </c>
      <c r="E37" s="8">
        <v>0.78797961524213567</v>
      </c>
      <c r="F37" s="8">
        <v>0.67762990177113869</v>
      </c>
      <c r="G37" s="8">
        <v>0.68151860488024085</v>
      </c>
      <c r="H37" s="8">
        <v>0.59375</v>
      </c>
      <c r="I37" s="8">
        <v>0.70873790040154649</v>
      </c>
    </row>
    <row r="38" spans="1:9" ht="15" customHeight="1" x14ac:dyDescent="0.25">
      <c r="A38" s="1" t="s">
        <v>601</v>
      </c>
      <c r="B38" s="1" t="s">
        <v>177</v>
      </c>
      <c r="C38" s="8">
        <v>0.59980884489797592</v>
      </c>
      <c r="D38" s="8">
        <v>0.8578087490579297</v>
      </c>
      <c r="E38" s="8">
        <v>0.80079839055559299</v>
      </c>
      <c r="F38" s="8">
        <v>0.67098652506316636</v>
      </c>
      <c r="G38" s="8">
        <v>0.68151860488024085</v>
      </c>
      <c r="H38" s="8">
        <v>0.59375</v>
      </c>
      <c r="I38" s="8">
        <v>0.70077851907581756</v>
      </c>
    </row>
  </sheetData>
  <mergeCells count="2">
    <mergeCell ref="A1:I1"/>
    <mergeCell ref="A32:I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2"/>
  <sheetViews>
    <sheetView workbookViewId="0">
      <selection activeCell="M26" sqref="M26"/>
    </sheetView>
  </sheetViews>
  <sheetFormatPr defaultRowHeight="15" x14ac:dyDescent="0.25"/>
  <cols>
    <col min="1" max="1" width="36" customWidth="1"/>
    <col min="2" max="9" width="13" customWidth="1"/>
    <col min="10" max="10" width="15" customWidth="1"/>
  </cols>
  <sheetData>
    <row r="1" spans="1:10" ht="30" customHeight="1" x14ac:dyDescent="0.25">
      <c r="A1" s="12" t="s">
        <v>602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25">
      <c r="A3" s="14" t="s">
        <v>603</v>
      </c>
      <c r="B3" s="14"/>
      <c r="C3" s="14"/>
      <c r="D3" s="14"/>
      <c r="E3" s="14"/>
      <c r="F3" s="14"/>
      <c r="G3" s="14"/>
      <c r="H3" s="14"/>
    </row>
    <row r="4" spans="1:10" ht="30" customHeight="1" x14ac:dyDescent="0.25">
      <c r="A4" s="3" t="s">
        <v>604</v>
      </c>
      <c r="B4" s="3" t="s">
        <v>68</v>
      </c>
      <c r="C4" s="3" t="s">
        <v>119</v>
      </c>
      <c r="D4" s="3" t="s">
        <v>151</v>
      </c>
      <c r="E4" s="3" t="s">
        <v>182</v>
      </c>
      <c r="F4" s="3" t="s">
        <v>238</v>
      </c>
      <c r="G4" s="3" t="s">
        <v>299</v>
      </c>
      <c r="H4" s="3" t="s">
        <v>594</v>
      </c>
    </row>
    <row r="5" spans="1:10" x14ac:dyDescent="0.25">
      <c r="A5" s="1" t="s">
        <v>605</v>
      </c>
      <c r="B5" s="8">
        <v>0.60981447207677852</v>
      </c>
      <c r="C5" s="8">
        <v>0.88427374090298339</v>
      </c>
      <c r="D5" s="8">
        <v>0.7574868154702159</v>
      </c>
      <c r="E5" s="8">
        <v>0.66498611813235564</v>
      </c>
      <c r="F5" s="8">
        <v>0.70466671504645562</v>
      </c>
      <c r="G5" s="8">
        <v>0.59375</v>
      </c>
      <c r="H5" s="8">
        <v>0.70249631027146486</v>
      </c>
    </row>
    <row r="6" spans="1:10" x14ac:dyDescent="0.25">
      <c r="A6" s="1" t="s">
        <v>606</v>
      </c>
      <c r="B6" s="8">
        <v>0.59980884489797592</v>
      </c>
      <c r="C6" s="8">
        <v>0.8578087490579297</v>
      </c>
      <c r="D6" s="8">
        <v>0.78797961524213567</v>
      </c>
      <c r="E6" s="8">
        <v>0.67098652506316636</v>
      </c>
      <c r="F6" s="8">
        <v>0.68151860488024085</v>
      </c>
      <c r="G6" s="8">
        <v>0.59375</v>
      </c>
      <c r="H6" s="8">
        <v>0.69864205652357469</v>
      </c>
    </row>
    <row r="7" spans="1:10" x14ac:dyDescent="0.25">
      <c r="A7" s="1" t="s">
        <v>607</v>
      </c>
      <c r="B7" s="8">
        <v>0.60628516866595317</v>
      </c>
      <c r="C7" s="8">
        <v>0.88427374090298339</v>
      </c>
      <c r="D7" s="8">
        <v>0.75748681547021579</v>
      </c>
      <c r="E7" s="8">
        <v>0.66474683433143822</v>
      </c>
      <c r="F7" s="8">
        <v>0.68502637358485263</v>
      </c>
      <c r="G7" s="8">
        <v>0.59375</v>
      </c>
      <c r="H7" s="8">
        <v>0.69859482215924051</v>
      </c>
    </row>
    <row r="8" spans="1:10" x14ac:dyDescent="0.25">
      <c r="A8" s="1" t="s">
        <v>608</v>
      </c>
      <c r="B8" s="8">
        <v>0.62148365668653593</v>
      </c>
      <c r="C8" s="8">
        <v>0.88427374090298339</v>
      </c>
      <c r="D8" s="8">
        <v>0.7574868154702159</v>
      </c>
      <c r="E8" s="8">
        <v>0.6669862537759591</v>
      </c>
      <c r="F8" s="8">
        <v>0.70547621596707766</v>
      </c>
      <c r="G8" s="8">
        <v>0.59375</v>
      </c>
      <c r="H8" s="8">
        <v>0.70490944713379522</v>
      </c>
    </row>
    <row r="11" spans="1:10" x14ac:dyDescent="0.25">
      <c r="A11" s="14" t="s">
        <v>609</v>
      </c>
      <c r="B11" s="14"/>
      <c r="C11" s="14"/>
      <c r="D11" s="14"/>
      <c r="E11" s="14"/>
    </row>
    <row r="12" spans="1:10" ht="30" customHeight="1" x14ac:dyDescent="0.25">
      <c r="A12" s="3" t="s">
        <v>50</v>
      </c>
      <c r="B12" s="3" t="s">
        <v>610</v>
      </c>
      <c r="C12" s="3" t="s">
        <v>594</v>
      </c>
      <c r="D12" s="3" t="s">
        <v>611</v>
      </c>
      <c r="E12" s="3" t="s">
        <v>476</v>
      </c>
    </row>
    <row r="13" spans="1:10" x14ac:dyDescent="0.25">
      <c r="A13" s="1" t="s">
        <v>68</v>
      </c>
      <c r="B13" s="8">
        <v>-0.1</v>
      </c>
      <c r="C13" s="8">
        <v>0.70031719570366957</v>
      </c>
      <c r="D13" s="8">
        <v>1.6751391800948756E-3</v>
      </c>
      <c r="E13" s="1" t="s">
        <v>521</v>
      </c>
    </row>
    <row r="14" spans="1:10" x14ac:dyDescent="0.25">
      <c r="A14" s="1" t="s">
        <v>68</v>
      </c>
      <c r="B14" s="8">
        <v>0.1</v>
      </c>
      <c r="C14" s="8">
        <v>0.69702183993954847</v>
      </c>
      <c r="D14" s="8">
        <v>-1.6202165840262239E-3</v>
      </c>
      <c r="E14" s="1" t="s">
        <v>521</v>
      </c>
    </row>
    <row r="15" spans="1:10" x14ac:dyDescent="0.25">
      <c r="A15" s="1" t="s">
        <v>119</v>
      </c>
      <c r="B15" s="8">
        <v>-0.1</v>
      </c>
      <c r="C15" s="8">
        <v>0.69594431597214501</v>
      </c>
      <c r="D15" s="8">
        <v>-2.6977405514296837E-3</v>
      </c>
      <c r="E15" s="1" t="s">
        <v>521</v>
      </c>
    </row>
    <row r="16" spans="1:10" x14ac:dyDescent="0.25">
      <c r="A16" s="1" t="s">
        <v>119</v>
      </c>
      <c r="B16" s="8">
        <v>0.1</v>
      </c>
      <c r="C16" s="8">
        <v>0.70125134656512156</v>
      </c>
      <c r="D16" s="8">
        <v>2.6092900415468634E-3</v>
      </c>
      <c r="E16" s="1" t="s">
        <v>521</v>
      </c>
    </row>
    <row r="17" spans="1:5" x14ac:dyDescent="0.25">
      <c r="A17" s="1" t="s">
        <v>151</v>
      </c>
      <c r="B17" s="8">
        <v>-0.1</v>
      </c>
      <c r="C17" s="8">
        <v>0.69712786061309062</v>
      </c>
      <c r="D17" s="8">
        <v>-1.514195910484073E-3</v>
      </c>
      <c r="E17" s="1" t="s">
        <v>521</v>
      </c>
    </row>
    <row r="18" spans="1:5" x14ac:dyDescent="0.25">
      <c r="A18" s="1" t="s">
        <v>151</v>
      </c>
      <c r="B18" s="8">
        <v>0.1</v>
      </c>
      <c r="C18" s="8">
        <v>0.70010660666650193</v>
      </c>
      <c r="D18" s="8">
        <v>1.4645501429272345E-3</v>
      </c>
      <c r="E18" s="1" t="s">
        <v>521</v>
      </c>
    </row>
    <row r="19" spans="1:5" x14ac:dyDescent="0.25">
      <c r="A19" s="1" t="s">
        <v>182</v>
      </c>
      <c r="B19" s="8">
        <v>-0.1</v>
      </c>
      <c r="C19" s="8">
        <v>0.6991107943449375</v>
      </c>
      <c r="D19" s="8">
        <v>4.6873782136280795E-4</v>
      </c>
      <c r="E19" s="1" t="s">
        <v>521</v>
      </c>
    </row>
    <row r="20" spans="1:5" x14ac:dyDescent="0.25">
      <c r="A20" s="1" t="s">
        <v>182</v>
      </c>
      <c r="B20" s="8">
        <v>0.1</v>
      </c>
      <c r="C20" s="8">
        <v>0.6981886871553713</v>
      </c>
      <c r="D20" s="8">
        <v>-4.5336936820339346E-4</v>
      </c>
      <c r="E20" s="1" t="s">
        <v>521</v>
      </c>
    </row>
    <row r="21" spans="1:5" x14ac:dyDescent="0.25">
      <c r="A21" s="1" t="s">
        <v>238</v>
      </c>
      <c r="B21" s="8">
        <v>-0.1</v>
      </c>
      <c r="C21" s="8">
        <v>0.69893228451752953</v>
      </c>
      <c r="D21" s="8">
        <v>2.9022799395483911E-4</v>
      </c>
      <c r="E21" s="1" t="s">
        <v>521</v>
      </c>
    </row>
    <row r="22" spans="1:5" x14ac:dyDescent="0.25">
      <c r="A22" s="1" t="s">
        <v>238</v>
      </c>
      <c r="B22" s="8">
        <v>0.1</v>
      </c>
      <c r="C22" s="8">
        <v>0.69836134420155282</v>
      </c>
      <c r="D22" s="8">
        <v>-2.8071232202186991E-4</v>
      </c>
      <c r="E22" s="1" t="s">
        <v>521</v>
      </c>
    </row>
    <row r="23" spans="1:5" x14ac:dyDescent="0.25">
      <c r="A23" s="1" t="s">
        <v>299</v>
      </c>
      <c r="B23" s="8">
        <v>-0.1</v>
      </c>
      <c r="C23" s="8">
        <v>0.70041988799007593</v>
      </c>
      <c r="D23" s="8">
        <v>1.777831466501234E-3</v>
      </c>
      <c r="E23" s="1" t="s">
        <v>521</v>
      </c>
    </row>
    <row r="24" spans="1:5" x14ac:dyDescent="0.25">
      <c r="A24" s="1" t="s">
        <v>299</v>
      </c>
      <c r="B24" s="8">
        <v>0.1</v>
      </c>
      <c r="C24" s="8">
        <v>0.6969225146133522</v>
      </c>
      <c r="D24" s="8">
        <v>-1.7195419102224996E-3</v>
      </c>
      <c r="E24" s="1" t="s">
        <v>521</v>
      </c>
    </row>
    <row r="27" spans="1:5" x14ac:dyDescent="0.25">
      <c r="A27" s="14" t="s">
        <v>612</v>
      </c>
      <c r="B27" s="14"/>
      <c r="C27" s="14"/>
      <c r="D27" s="14"/>
      <c r="E27" s="14"/>
    </row>
    <row r="28" spans="1:5" ht="30" customHeight="1" x14ac:dyDescent="0.25">
      <c r="A28" s="3" t="s">
        <v>613</v>
      </c>
      <c r="B28" s="3" t="s">
        <v>594</v>
      </c>
      <c r="C28" s="3" t="s">
        <v>611</v>
      </c>
      <c r="D28" s="3" t="s">
        <v>476</v>
      </c>
      <c r="E28" s="3" t="s">
        <v>499</v>
      </c>
    </row>
    <row r="29" spans="1:5" ht="15" customHeight="1" x14ac:dyDescent="0.25">
      <c r="A29" s="1" t="s">
        <v>68</v>
      </c>
      <c r="B29" s="8">
        <v>0.71840869884869452</v>
      </c>
      <c r="C29" s="8">
        <v>1.9766642325119821E-2</v>
      </c>
      <c r="D29" s="1" t="s">
        <v>521</v>
      </c>
      <c r="E29" s="1" t="s">
        <v>614</v>
      </c>
    </row>
    <row r="30" spans="1:5" ht="15" customHeight="1" x14ac:dyDescent="0.25">
      <c r="A30" s="1" t="s">
        <v>119</v>
      </c>
      <c r="B30" s="8">
        <v>0.66680871801670372</v>
      </c>
      <c r="C30" s="8">
        <v>-3.1833338506870978E-2</v>
      </c>
      <c r="D30" s="1" t="s">
        <v>521</v>
      </c>
      <c r="E30" s="1" t="s">
        <v>614</v>
      </c>
    </row>
    <row r="31" spans="1:5" ht="15" customHeight="1" x14ac:dyDescent="0.25">
      <c r="A31" s="1" t="s">
        <v>151</v>
      </c>
      <c r="B31" s="8">
        <v>0.68077454477986254</v>
      </c>
      <c r="C31" s="8">
        <v>-1.786751174371215E-2</v>
      </c>
      <c r="D31" s="1" t="s">
        <v>521</v>
      </c>
      <c r="E31" s="1" t="s">
        <v>614</v>
      </c>
    </row>
    <row r="32" spans="1:5" ht="15" customHeight="1" x14ac:dyDescent="0.25">
      <c r="A32" s="1" t="s">
        <v>182</v>
      </c>
      <c r="B32" s="8">
        <v>0.70417316281565645</v>
      </c>
      <c r="C32" s="8">
        <v>5.5311062920817555E-3</v>
      </c>
      <c r="D32" s="1" t="s">
        <v>521</v>
      </c>
      <c r="E32" s="1" t="s">
        <v>614</v>
      </c>
    </row>
    <row r="33" spans="1:10" ht="15" customHeight="1" x14ac:dyDescent="0.25">
      <c r="A33" s="1" t="s">
        <v>238</v>
      </c>
      <c r="B33" s="8">
        <v>0.70206674685224146</v>
      </c>
      <c r="C33" s="8">
        <v>3.4246903286667685E-3</v>
      </c>
      <c r="D33" s="1" t="s">
        <v>521</v>
      </c>
      <c r="E33" s="1" t="s">
        <v>614</v>
      </c>
    </row>
    <row r="34" spans="1:10" ht="15" customHeight="1" x14ac:dyDescent="0.25">
      <c r="A34" s="1" t="s">
        <v>299</v>
      </c>
      <c r="B34" s="8">
        <v>0.7196204678282897</v>
      </c>
      <c r="C34" s="8">
        <v>2.0978411304715006E-2</v>
      </c>
      <c r="D34" s="1" t="s">
        <v>521</v>
      </c>
      <c r="E34" s="1" t="s">
        <v>614</v>
      </c>
    </row>
    <row r="37" spans="1:10" x14ac:dyDescent="0.25">
      <c r="A37" s="14" t="s">
        <v>615</v>
      </c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30" customHeight="1" x14ac:dyDescent="0.25">
      <c r="A38" s="3" t="s">
        <v>592</v>
      </c>
      <c r="B38" s="3" t="s">
        <v>616</v>
      </c>
      <c r="C38" s="3" t="s">
        <v>68</v>
      </c>
      <c r="D38" s="3" t="s">
        <v>119</v>
      </c>
      <c r="E38" s="3" t="s">
        <v>151</v>
      </c>
      <c r="F38" s="3" t="s">
        <v>182</v>
      </c>
      <c r="G38" s="3" t="s">
        <v>238</v>
      </c>
      <c r="H38" s="3" t="s">
        <v>299</v>
      </c>
      <c r="I38" s="3" t="s">
        <v>594</v>
      </c>
      <c r="J38" s="3" t="s">
        <v>617</v>
      </c>
    </row>
    <row r="39" spans="1:10" x14ac:dyDescent="0.25">
      <c r="A39" s="1" t="s">
        <v>618</v>
      </c>
      <c r="B39" s="1">
        <v>10</v>
      </c>
      <c r="C39" s="8">
        <v>0.65829059256169908</v>
      </c>
      <c r="D39" s="8">
        <v>0.93688203388531388</v>
      </c>
      <c r="E39" s="8">
        <v>0.84000709835569842</v>
      </c>
      <c r="F39" s="8">
        <v>0.71537703847265932</v>
      </c>
      <c r="G39" s="8">
        <v>0.68574723275272509</v>
      </c>
      <c r="H39" s="8">
        <v>0.65972222222222221</v>
      </c>
      <c r="I39" s="8">
        <v>0.74933770304171965</v>
      </c>
      <c r="J39" s="8">
        <v>5.0695646518144954E-2</v>
      </c>
    </row>
    <row r="40" spans="1:10" x14ac:dyDescent="0.25">
      <c r="A40" s="1" t="s">
        <v>619</v>
      </c>
      <c r="B40" s="1">
        <v>10</v>
      </c>
      <c r="C40" s="8">
        <v>0.49920694813682548</v>
      </c>
      <c r="D40" s="8">
        <v>0.75063067982491405</v>
      </c>
      <c r="E40" s="8">
        <v>0.72184532451794059</v>
      </c>
      <c r="F40" s="8">
        <v>0.6307258432646522</v>
      </c>
      <c r="G40" s="8">
        <v>0.54158145585157003</v>
      </c>
      <c r="H40" s="8">
        <v>0.53977272727272718</v>
      </c>
      <c r="I40" s="8">
        <v>0.61396049647810491</v>
      </c>
      <c r="J40" s="8">
        <v>-8.4681560045469784E-2</v>
      </c>
    </row>
    <row r="41" spans="1:10" x14ac:dyDescent="0.25">
      <c r="A41" s="1" t="s">
        <v>618</v>
      </c>
      <c r="B41" s="1">
        <v>20</v>
      </c>
      <c r="C41" s="8">
        <v>0.71494122716061925</v>
      </c>
      <c r="D41" s="8">
        <v>0.98888812145431149</v>
      </c>
      <c r="E41" s="8">
        <v>0.85800141825148746</v>
      </c>
      <c r="F41" s="8">
        <v>0.75489398891637127</v>
      </c>
      <c r="G41" s="8">
        <v>0.73269378072809177</v>
      </c>
      <c r="H41" s="8">
        <v>0.73828125</v>
      </c>
      <c r="I41" s="8">
        <v>0.79794996441848021</v>
      </c>
      <c r="J41" s="8">
        <v>9.9307907894905512E-2</v>
      </c>
    </row>
    <row r="42" spans="1:10" x14ac:dyDescent="0.25">
      <c r="A42" s="1" t="s">
        <v>619</v>
      </c>
      <c r="B42" s="1">
        <v>20</v>
      </c>
      <c r="C42" s="8">
        <v>0.42969148542096669</v>
      </c>
      <c r="D42" s="8">
        <v>0.66127824646510858</v>
      </c>
      <c r="E42" s="8">
        <v>0.59199990642429801</v>
      </c>
      <c r="F42" s="8">
        <v>0.5847836575703248</v>
      </c>
      <c r="G42" s="8">
        <v>0.47441969668716427</v>
      </c>
      <c r="H42" s="8">
        <v>0.49479166666666669</v>
      </c>
      <c r="I42" s="8">
        <v>0.53949410987242152</v>
      </c>
      <c r="J42" s="8">
        <v>-0.15914794665115317</v>
      </c>
    </row>
  </sheetData>
  <mergeCells count="5">
    <mergeCell ref="A1:J1"/>
    <mergeCell ref="A3:H3"/>
    <mergeCell ref="A11:E11"/>
    <mergeCell ref="A27:E27"/>
    <mergeCell ref="A37:J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6"/>
  <sheetViews>
    <sheetView workbookViewId="0">
      <selection activeCell="D42" sqref="D42"/>
    </sheetView>
  </sheetViews>
  <sheetFormatPr defaultRowHeight="15" x14ac:dyDescent="0.25"/>
  <cols>
    <col min="1" max="1" width="30" customWidth="1"/>
    <col min="2" max="2" width="26" customWidth="1"/>
    <col min="3" max="3" width="18" customWidth="1"/>
    <col min="4" max="4" width="48" customWidth="1"/>
    <col min="5" max="5" width="4" customWidth="1"/>
    <col min="6" max="14" width="14" customWidth="1"/>
  </cols>
  <sheetData>
    <row r="1" spans="1:14" ht="30" customHeight="1" x14ac:dyDescent="0.25">
      <c r="A1" s="12" t="s">
        <v>620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x14ac:dyDescent="0.25">
      <c r="A3" s="14" t="s">
        <v>621</v>
      </c>
      <c r="B3" s="14"/>
      <c r="C3" s="14"/>
      <c r="D3" s="14"/>
    </row>
    <row r="4" spans="1:14" ht="30" customHeight="1" x14ac:dyDescent="0.25">
      <c r="A4" s="3" t="s">
        <v>622</v>
      </c>
      <c r="B4" s="3" t="s">
        <v>25</v>
      </c>
      <c r="C4" s="3" t="s">
        <v>476</v>
      </c>
      <c r="D4" s="3" t="s">
        <v>623</v>
      </c>
    </row>
    <row r="5" spans="1:14" ht="15" customHeight="1" x14ac:dyDescent="0.25">
      <c r="A5" s="1" t="s">
        <v>624</v>
      </c>
      <c r="B5" s="8">
        <v>0.70249631027146486</v>
      </c>
      <c r="C5" s="1" t="s">
        <v>521</v>
      </c>
      <c r="D5" s="1" t="s">
        <v>625</v>
      </c>
    </row>
    <row r="6" spans="1:14" ht="15" customHeight="1" x14ac:dyDescent="0.25">
      <c r="A6" s="1" t="s">
        <v>626</v>
      </c>
      <c r="B6" s="8">
        <v>0.69864205652357469</v>
      </c>
      <c r="C6" s="1" t="s">
        <v>521</v>
      </c>
      <c r="D6" s="1" t="s">
        <v>627</v>
      </c>
    </row>
    <row r="7" spans="1:14" ht="15" customHeight="1" x14ac:dyDescent="0.25">
      <c r="A7" s="1" t="s">
        <v>628</v>
      </c>
      <c r="B7" s="8">
        <v>0.65116967663880532</v>
      </c>
      <c r="C7" s="1" t="s">
        <v>521</v>
      </c>
      <c r="D7" s="1" t="s">
        <v>629</v>
      </c>
    </row>
    <row r="8" spans="1:14" ht="15" customHeight="1" x14ac:dyDescent="0.25">
      <c r="A8" s="1" t="s">
        <v>630</v>
      </c>
      <c r="B8" s="8">
        <v>0.72581750554719127</v>
      </c>
      <c r="C8" s="1" t="s">
        <v>521</v>
      </c>
      <c r="D8" s="1" t="s">
        <v>631</v>
      </c>
    </row>
    <row r="9" spans="1:14" ht="15" customHeight="1" x14ac:dyDescent="0.25">
      <c r="A9" s="1" t="s">
        <v>632</v>
      </c>
      <c r="B9" s="8">
        <v>0.71855113605867271</v>
      </c>
      <c r="C9" s="1" t="s">
        <v>521</v>
      </c>
      <c r="D9" s="1" t="s">
        <v>633</v>
      </c>
    </row>
    <row r="10" spans="1:14" ht="15" customHeight="1" x14ac:dyDescent="0.25">
      <c r="A10" s="1" t="s">
        <v>634</v>
      </c>
      <c r="B10" s="8">
        <v>0.78690989284150248</v>
      </c>
      <c r="C10" s="1" t="s">
        <v>524</v>
      </c>
      <c r="D10" s="1" t="s">
        <v>635</v>
      </c>
    </row>
    <row r="13" spans="1:14" x14ac:dyDescent="0.25">
      <c r="A13" s="14" t="s">
        <v>636</v>
      </c>
      <c r="B13" s="14"/>
      <c r="C13" s="14"/>
      <c r="D13" s="14"/>
      <c r="E13" s="14"/>
      <c r="F13" s="14"/>
      <c r="G13" s="14"/>
      <c r="H13" s="14"/>
    </row>
    <row r="14" spans="1:14" ht="30" customHeight="1" x14ac:dyDescent="0.25">
      <c r="A14" s="3" t="s">
        <v>50</v>
      </c>
      <c r="B14" s="3" t="s">
        <v>481</v>
      </c>
      <c r="C14" s="3" t="s">
        <v>40</v>
      </c>
      <c r="D14" s="3" t="s">
        <v>514</v>
      </c>
    </row>
    <row r="15" spans="1:14" x14ac:dyDescent="0.25">
      <c r="A15" s="1" t="s">
        <v>68</v>
      </c>
      <c r="B15" s="8">
        <v>0.60981447207677852</v>
      </c>
      <c r="C15" s="8">
        <v>0.59980884489797592</v>
      </c>
      <c r="D15" s="8">
        <v>-1.0005627178802601E-2</v>
      </c>
    </row>
    <row r="16" spans="1:14" x14ac:dyDescent="0.25">
      <c r="A16" s="1" t="s">
        <v>119</v>
      </c>
      <c r="B16" s="8">
        <v>0.88427374090298339</v>
      </c>
      <c r="C16" s="8">
        <v>0.8578087490579297</v>
      </c>
      <c r="D16" s="8">
        <v>-2.6464991845053687E-2</v>
      </c>
    </row>
    <row r="17" spans="1:5" x14ac:dyDescent="0.25">
      <c r="A17" s="1" t="s">
        <v>151</v>
      </c>
      <c r="B17" s="8">
        <v>0.7574868154702159</v>
      </c>
      <c r="C17" s="8">
        <v>0.78797961524213567</v>
      </c>
      <c r="D17" s="8">
        <v>3.0492799771919765E-2</v>
      </c>
    </row>
    <row r="18" spans="1:5" x14ac:dyDescent="0.25">
      <c r="A18" s="1" t="s">
        <v>182</v>
      </c>
      <c r="B18" s="8">
        <v>0.66498611813235564</v>
      </c>
      <c r="C18" s="8">
        <v>0.67098652506316636</v>
      </c>
      <c r="D18" s="8">
        <v>6.00040693081072E-3</v>
      </c>
    </row>
    <row r="19" spans="1:5" x14ac:dyDescent="0.25">
      <c r="A19" s="1" t="s">
        <v>238</v>
      </c>
      <c r="B19" s="8">
        <v>0.70466671504645562</v>
      </c>
      <c r="C19" s="8">
        <v>0.68151860488024085</v>
      </c>
      <c r="D19" s="8">
        <v>-2.3148110166214764E-2</v>
      </c>
    </row>
    <row r="20" spans="1:5" x14ac:dyDescent="0.25">
      <c r="A20" s="1" t="s">
        <v>299</v>
      </c>
      <c r="B20" s="8">
        <v>0.59375</v>
      </c>
      <c r="C20" s="8">
        <v>0.59375</v>
      </c>
      <c r="D20" s="8">
        <v>0</v>
      </c>
    </row>
    <row r="23" spans="1:5" x14ac:dyDescent="0.25">
      <c r="A23" s="14" t="s">
        <v>637</v>
      </c>
      <c r="B23" s="14"/>
      <c r="C23" s="14"/>
      <c r="D23" s="14"/>
      <c r="E23" s="14"/>
    </row>
    <row r="24" spans="1:5" ht="30" customHeight="1" x14ac:dyDescent="0.25">
      <c r="A24" s="3" t="s">
        <v>450</v>
      </c>
      <c r="B24" s="3" t="s">
        <v>457</v>
      </c>
      <c r="C24" s="3" t="s">
        <v>470</v>
      </c>
    </row>
    <row r="25" spans="1:5" x14ac:dyDescent="0.25">
      <c r="A25" s="1" t="s">
        <v>461</v>
      </c>
      <c r="B25" s="8">
        <v>0.72007465211604549</v>
      </c>
      <c r="C25" s="8">
        <v>0.72169522416090925</v>
      </c>
    </row>
    <row r="26" spans="1:5" x14ac:dyDescent="0.25">
      <c r="A26" s="1" t="s">
        <v>463</v>
      </c>
      <c r="B26" s="8">
        <v>0.66409420131336361</v>
      </c>
      <c r="C26" s="8">
        <v>0.65116967663880532</v>
      </c>
    </row>
    <row r="27" spans="1:5" x14ac:dyDescent="0.25">
      <c r="A27" s="1" t="s">
        <v>464</v>
      </c>
      <c r="B27" s="8">
        <v>0.72245006497783881</v>
      </c>
      <c r="C27" s="8">
        <v>0.72374195543649222</v>
      </c>
    </row>
    <row r="28" spans="1:5" x14ac:dyDescent="0.25">
      <c r="A28" s="1" t="s">
        <v>465</v>
      </c>
      <c r="B28" s="8">
        <v>0.72630706154573421</v>
      </c>
      <c r="C28" s="8">
        <v>0.72581750554719127</v>
      </c>
    </row>
    <row r="31" spans="1:5" x14ac:dyDescent="0.25">
      <c r="A31" s="15" t="s">
        <v>638</v>
      </c>
      <c r="B31" s="15"/>
      <c r="C31" s="15"/>
      <c r="D31" s="15"/>
    </row>
    <row r="32" spans="1:5" ht="15" customHeight="1" x14ac:dyDescent="0.25">
      <c r="A32" s="11" t="s">
        <v>639</v>
      </c>
      <c r="B32" s="1" t="s">
        <v>640</v>
      </c>
    </row>
    <row r="33" spans="1:2" ht="15" customHeight="1" x14ac:dyDescent="0.25">
      <c r="A33" s="11" t="s">
        <v>641</v>
      </c>
      <c r="B33" s="1" t="s">
        <v>642</v>
      </c>
    </row>
    <row r="34" spans="1:2" ht="15" customHeight="1" x14ac:dyDescent="0.25">
      <c r="A34" s="11" t="s">
        <v>643</v>
      </c>
      <c r="B34" s="1" t="s">
        <v>644</v>
      </c>
    </row>
    <row r="35" spans="1:2" ht="15" customHeight="1" x14ac:dyDescent="0.25">
      <c r="A35" s="11" t="s">
        <v>645</v>
      </c>
      <c r="B35" s="1" t="s">
        <v>646</v>
      </c>
    </row>
    <row r="36" spans="1:2" ht="15" customHeight="1" x14ac:dyDescent="0.25">
      <c r="A36" s="11" t="s">
        <v>647</v>
      </c>
      <c r="B36" s="1" t="s">
        <v>648</v>
      </c>
    </row>
  </sheetData>
  <mergeCells count="5">
    <mergeCell ref="A1:N1"/>
    <mergeCell ref="A3:D3"/>
    <mergeCell ref="A13:H13"/>
    <mergeCell ref="A23:E23"/>
    <mergeCell ref="A31:D3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>
      <selection activeCell="H34" sqref="H34"/>
    </sheetView>
  </sheetViews>
  <sheetFormatPr defaultRowHeight="15" x14ac:dyDescent="0.25"/>
  <cols>
    <col min="1" max="1" width="40" customWidth="1"/>
    <col min="2" max="3" width="24" customWidth="1"/>
    <col min="4" max="4" width="12" customWidth="1"/>
    <col min="5" max="5" width="55" customWidth="1"/>
    <col min="6" max="6" width="20" customWidth="1"/>
  </cols>
  <sheetData>
    <row r="1" spans="1:6" ht="30" customHeight="1" x14ac:dyDescent="0.25">
      <c r="A1" s="12" t="s">
        <v>649</v>
      </c>
      <c r="B1" s="13"/>
      <c r="C1" s="13"/>
      <c r="D1" s="13"/>
      <c r="E1" s="13"/>
      <c r="F1" s="13"/>
    </row>
    <row r="3" spans="1:6" ht="30" customHeight="1" x14ac:dyDescent="0.25">
      <c r="A3" s="3" t="s">
        <v>650</v>
      </c>
      <c r="B3" s="3" t="s">
        <v>651</v>
      </c>
      <c r="C3" s="3" t="s">
        <v>652</v>
      </c>
      <c r="D3" s="3" t="s">
        <v>548</v>
      </c>
      <c r="E3" s="3" t="s">
        <v>653</v>
      </c>
      <c r="F3" s="3" t="s">
        <v>654</v>
      </c>
    </row>
    <row r="4" spans="1:6" x14ac:dyDescent="0.25">
      <c r="A4" s="1" t="s">
        <v>655</v>
      </c>
      <c r="B4" s="1">
        <v>38</v>
      </c>
      <c r="C4" s="1">
        <v>38</v>
      </c>
      <c r="D4" s="1" t="s">
        <v>656</v>
      </c>
      <c r="E4" s="1" t="s">
        <v>657</v>
      </c>
      <c r="F4" s="1" t="s">
        <v>658</v>
      </c>
    </row>
    <row r="5" spans="1:6" x14ac:dyDescent="0.25">
      <c r="A5" s="1" t="s">
        <v>659</v>
      </c>
      <c r="B5" s="1">
        <v>4</v>
      </c>
      <c r="C5" s="1">
        <v>4</v>
      </c>
      <c r="D5" s="1" t="s">
        <v>656</v>
      </c>
      <c r="E5" s="1" t="s">
        <v>660</v>
      </c>
      <c r="F5" s="1" t="s">
        <v>661</v>
      </c>
    </row>
    <row r="6" spans="1:6" x14ac:dyDescent="0.25">
      <c r="A6" s="1" t="s">
        <v>35</v>
      </c>
      <c r="B6" s="1">
        <v>2021</v>
      </c>
      <c r="C6" s="1">
        <v>2021</v>
      </c>
      <c r="D6" s="1" t="s">
        <v>656</v>
      </c>
      <c r="E6" s="1" t="s">
        <v>662</v>
      </c>
      <c r="F6" s="1" t="s">
        <v>647</v>
      </c>
    </row>
    <row r="7" spans="1:6" x14ac:dyDescent="0.25">
      <c r="A7" s="1" t="s">
        <v>663</v>
      </c>
      <c r="B7" s="1">
        <v>0</v>
      </c>
      <c r="C7" s="1">
        <v>0</v>
      </c>
      <c r="D7" s="1" t="s">
        <v>656</v>
      </c>
      <c r="E7" s="1" t="s">
        <v>664</v>
      </c>
      <c r="F7" s="1" t="s">
        <v>665</v>
      </c>
    </row>
    <row r="8" spans="1:6" x14ac:dyDescent="0.25">
      <c r="A8" s="1" t="s">
        <v>666</v>
      </c>
      <c r="B8" s="1" t="s">
        <v>667</v>
      </c>
      <c r="C8" s="1" t="s">
        <v>667</v>
      </c>
      <c r="D8" s="1" t="s">
        <v>656</v>
      </c>
      <c r="E8" s="1" t="s">
        <v>668</v>
      </c>
      <c r="F8" s="1" t="s">
        <v>669</v>
      </c>
    </row>
    <row r="9" spans="1:6" x14ac:dyDescent="0.25">
      <c r="A9" s="1" t="s">
        <v>670</v>
      </c>
      <c r="B9" s="1" t="s">
        <v>231</v>
      </c>
      <c r="C9" s="1" t="s">
        <v>231</v>
      </c>
      <c r="D9" s="1" t="s">
        <v>656</v>
      </c>
      <c r="E9" s="1" t="s">
        <v>671</v>
      </c>
      <c r="F9" s="1" t="s">
        <v>669</v>
      </c>
    </row>
    <row r="10" spans="1:6" x14ac:dyDescent="0.25">
      <c r="A10" s="1" t="s">
        <v>672</v>
      </c>
      <c r="B10" s="1" t="s">
        <v>613</v>
      </c>
      <c r="C10" s="1" t="s">
        <v>613</v>
      </c>
      <c r="D10" s="1" t="s">
        <v>656</v>
      </c>
      <c r="E10" s="1" t="s">
        <v>673</v>
      </c>
      <c r="F10" s="1" t="s">
        <v>674</v>
      </c>
    </row>
    <row r="11" spans="1:6" x14ac:dyDescent="0.25">
      <c r="A11" s="1" t="s">
        <v>675</v>
      </c>
      <c r="B11" s="1" t="s">
        <v>676</v>
      </c>
      <c r="C11" s="1" t="s">
        <v>677</v>
      </c>
      <c r="D11" s="1" t="s">
        <v>656</v>
      </c>
      <c r="E11" s="1" t="s">
        <v>678</v>
      </c>
      <c r="F11" s="1" t="s">
        <v>679</v>
      </c>
    </row>
    <row r="12" spans="1:6" x14ac:dyDescent="0.25">
      <c r="A12" s="1" t="s">
        <v>680</v>
      </c>
      <c r="B12" s="1" t="s">
        <v>681</v>
      </c>
      <c r="C12" s="1">
        <v>0.70249631027146486</v>
      </c>
      <c r="D12" s="1" t="s">
        <v>656</v>
      </c>
      <c r="E12" s="1" t="s">
        <v>682</v>
      </c>
      <c r="F12" s="1" t="s">
        <v>683</v>
      </c>
    </row>
    <row r="13" spans="1:6" x14ac:dyDescent="0.25">
      <c r="A13" s="1" t="s">
        <v>684</v>
      </c>
      <c r="B13" s="1" t="s">
        <v>681</v>
      </c>
      <c r="C13" s="1">
        <v>0.69864205652357469</v>
      </c>
      <c r="D13" s="1" t="s">
        <v>656</v>
      </c>
      <c r="E13" s="1" t="s">
        <v>685</v>
      </c>
      <c r="F13" s="1" t="s">
        <v>683</v>
      </c>
    </row>
  </sheetData>
  <mergeCells count="1">
    <mergeCell ref="A1:F1"/>
  </mergeCells>
  <conditionalFormatting sqref="D4:D13">
    <cfRule type="expression" dxfId="1" priority="1">
      <formula>D4="PASS"</formula>
    </cfRule>
    <cfRule type="expression" dxfId="0" priority="2">
      <formula>D4="FAIL"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>
      <selection activeCell="F13" sqref="A3:F13"/>
    </sheetView>
  </sheetViews>
  <sheetFormatPr defaultRowHeight="15" x14ac:dyDescent="0.25"/>
  <cols>
    <col min="1" max="1" width="12" customWidth="1"/>
    <col min="2" max="2" width="18" customWidth="1"/>
    <col min="3" max="3" width="52" customWidth="1"/>
    <col min="4" max="4" width="58" customWidth="1"/>
    <col min="5" max="5" width="42" customWidth="1"/>
    <col min="6" max="6" width="48" customWidth="1"/>
  </cols>
  <sheetData>
    <row r="1" spans="1:6" ht="30" customHeight="1" x14ac:dyDescent="0.25">
      <c r="A1" s="12" t="s">
        <v>686</v>
      </c>
      <c r="B1" s="13"/>
      <c r="C1" s="13"/>
      <c r="D1" s="13"/>
      <c r="E1" s="13"/>
      <c r="F1" s="13"/>
    </row>
    <row r="3" spans="1:6" ht="30" customHeight="1" x14ac:dyDescent="0.25">
      <c r="A3" s="3" t="s">
        <v>687</v>
      </c>
      <c r="B3" s="3" t="s">
        <v>688</v>
      </c>
      <c r="C3" s="3" t="s">
        <v>689</v>
      </c>
      <c r="D3" s="3" t="s">
        <v>690</v>
      </c>
      <c r="E3" s="3" t="s">
        <v>691</v>
      </c>
      <c r="F3" s="3" t="s">
        <v>692</v>
      </c>
    </row>
    <row r="4" spans="1:6" ht="15" customHeight="1" x14ac:dyDescent="0.25">
      <c r="A4" s="1" t="s">
        <v>693</v>
      </c>
      <c r="B4" s="1" t="s">
        <v>694</v>
      </c>
      <c r="C4" s="1" t="s">
        <v>695</v>
      </c>
      <c r="D4" s="1" t="s">
        <v>696</v>
      </c>
      <c r="E4" s="1" t="s">
        <v>697</v>
      </c>
      <c r="F4" s="1" t="s">
        <v>698</v>
      </c>
    </row>
    <row r="5" spans="1:6" ht="15" customHeight="1" x14ac:dyDescent="0.25">
      <c r="A5" s="1" t="s">
        <v>699</v>
      </c>
      <c r="B5" s="1" t="s">
        <v>700</v>
      </c>
      <c r="C5" s="1" t="s">
        <v>701</v>
      </c>
      <c r="D5" s="1" t="s">
        <v>702</v>
      </c>
      <c r="E5" s="1" t="s">
        <v>703</v>
      </c>
      <c r="F5" s="1" t="s">
        <v>704</v>
      </c>
    </row>
    <row r="6" spans="1:6" ht="15" customHeight="1" x14ac:dyDescent="0.25">
      <c r="A6" s="1" t="s">
        <v>705</v>
      </c>
      <c r="B6" s="1" t="s">
        <v>537</v>
      </c>
      <c r="C6" s="1" t="s">
        <v>706</v>
      </c>
      <c r="D6" s="1" t="s">
        <v>707</v>
      </c>
      <c r="E6" s="1" t="s">
        <v>708</v>
      </c>
      <c r="F6" s="1" t="s">
        <v>709</v>
      </c>
    </row>
    <row r="7" spans="1:6" ht="15" customHeight="1" x14ac:dyDescent="0.25">
      <c r="A7" s="1" t="s">
        <v>710</v>
      </c>
      <c r="B7" s="1" t="s">
        <v>536</v>
      </c>
      <c r="C7" s="1" t="s">
        <v>711</v>
      </c>
      <c r="D7" s="1" t="s">
        <v>712</v>
      </c>
      <c r="E7" s="1" t="s">
        <v>713</v>
      </c>
      <c r="F7" s="1" t="s">
        <v>714</v>
      </c>
    </row>
    <row r="8" spans="1:6" ht="15" customHeight="1" x14ac:dyDescent="0.25">
      <c r="A8" s="1" t="s">
        <v>715</v>
      </c>
      <c r="B8" s="1" t="s">
        <v>716</v>
      </c>
      <c r="C8" s="1" t="s">
        <v>717</v>
      </c>
      <c r="D8" s="1" t="s">
        <v>718</v>
      </c>
      <c r="E8" s="1" t="s">
        <v>719</v>
      </c>
      <c r="F8" s="1" t="s">
        <v>720</v>
      </c>
    </row>
    <row r="9" spans="1:6" ht="15" customHeight="1" x14ac:dyDescent="0.25">
      <c r="A9" s="1" t="s">
        <v>721</v>
      </c>
      <c r="B9" s="1" t="s">
        <v>722</v>
      </c>
      <c r="C9" s="1" t="s">
        <v>723</v>
      </c>
      <c r="D9" s="1" t="s">
        <v>724</v>
      </c>
      <c r="E9" s="1" t="s">
        <v>725</v>
      </c>
      <c r="F9" s="1" t="s">
        <v>726</v>
      </c>
    </row>
    <row r="10" spans="1:6" ht="15" customHeight="1" x14ac:dyDescent="0.25">
      <c r="A10" s="1" t="s">
        <v>727</v>
      </c>
      <c r="B10" s="1" t="s">
        <v>728</v>
      </c>
      <c r="C10" s="1" t="s">
        <v>729</v>
      </c>
      <c r="D10" s="1" t="s">
        <v>730</v>
      </c>
      <c r="E10" s="1" t="s">
        <v>731</v>
      </c>
      <c r="F10" s="1" t="s">
        <v>732</v>
      </c>
    </row>
    <row r="11" spans="1:6" ht="15" customHeight="1" x14ac:dyDescent="0.25">
      <c r="A11" s="1" t="s">
        <v>733</v>
      </c>
      <c r="B11" s="1" t="s">
        <v>734</v>
      </c>
      <c r="C11" s="1" t="s">
        <v>735</v>
      </c>
      <c r="D11" s="1" t="s">
        <v>736</v>
      </c>
      <c r="E11" s="1" t="s">
        <v>737</v>
      </c>
      <c r="F11" s="1" t="s">
        <v>738</v>
      </c>
    </row>
    <row r="12" spans="1:6" ht="15" customHeight="1" x14ac:dyDescent="0.25">
      <c r="A12" s="1" t="s">
        <v>739</v>
      </c>
      <c r="B12" s="1" t="s">
        <v>740</v>
      </c>
      <c r="C12" s="1" t="s">
        <v>741</v>
      </c>
      <c r="D12" s="1" t="s">
        <v>742</v>
      </c>
      <c r="E12" s="1" t="s">
        <v>743</v>
      </c>
      <c r="F12" s="1" t="s">
        <v>744</v>
      </c>
    </row>
    <row r="13" spans="1:6" ht="15" customHeight="1" x14ac:dyDescent="0.25">
      <c r="A13" s="1" t="s">
        <v>745</v>
      </c>
      <c r="B13" s="1" t="s">
        <v>746</v>
      </c>
      <c r="C13" s="1" t="s">
        <v>747</v>
      </c>
      <c r="D13" s="1" t="s">
        <v>748</v>
      </c>
      <c r="E13" s="1" t="s">
        <v>749</v>
      </c>
      <c r="F13" s="1" t="s">
        <v>750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00_README</vt:lpstr>
      <vt:lpstr>01_CONTROL</vt:lpstr>
      <vt:lpstr>02_CATALOG</vt:lpstr>
      <vt:lpstr>03_THRESHOLDS</vt:lpstr>
      <vt:lpstr>04_ANNUAL_DATA</vt:lpstr>
      <vt:lpstr>05_ENSEMBLE</vt:lpstr>
      <vt:lpstr>06_BASELINE_RESULTS</vt:lpstr>
      <vt:lpstr>07_ANNUAL_SUMMARY</vt:lpstr>
      <vt:lpstr>08_PRE_POST</vt:lpstr>
      <vt:lpstr>09_CORRELATION</vt:lpstr>
      <vt:lpstr>10_REDUNDANCY</vt:lpstr>
      <vt:lpstr>11_SENSITIVITY</vt:lpstr>
      <vt:lpstr>12_DASHBOARD</vt:lpstr>
      <vt:lpstr>13_QC</vt:lpstr>
      <vt:lpstr>14_CHANGE_LOG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Antónia Fortes Duarte Ferreira</cp:lastModifiedBy>
  <dcterms:modified xsi:type="dcterms:W3CDTF">2026-07-22T18:01:29Z</dcterms:modified>
</cp:coreProperties>
</file>