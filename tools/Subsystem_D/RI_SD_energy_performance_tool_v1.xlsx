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Tool\Done\UPLOAD\"/>
    </mc:Choice>
  </mc:AlternateContent>
  <xr:revisionPtr revIDLastSave="0" documentId="13_ncr:1_{C95369E3-A83C-4D83-8749-1390626232FD}" xr6:coauthVersionLast="47" xr6:coauthVersionMax="47" xr10:uidLastSave="{00000000-0000-0000-0000-000000000000}"/>
  <bookViews>
    <workbookView xWindow="-120" yWindow="-120" windowWidth="38640" windowHeight="21120" xr2:uid="{D024D357-7731-4960-B420-B097EFC810F1}"/>
  </bookViews>
  <sheets>
    <sheet name="SD_SE_CALC_INDICATOR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4" i="1" l="1"/>
  <c r="Y4" i="1"/>
  <c r="Z4" i="1"/>
  <c r="AA4" i="1"/>
  <c r="AB4" i="1"/>
  <c r="AC4" i="1"/>
  <c r="AD4" i="1"/>
  <c r="AE4" i="1"/>
  <c r="AF4" i="1"/>
  <c r="AG4" i="1"/>
  <c r="X5" i="1"/>
  <c r="Y5" i="1"/>
  <c r="Z5" i="1"/>
  <c r="AA5" i="1"/>
  <c r="AB5" i="1"/>
  <c r="AC5" i="1"/>
  <c r="AD5" i="1"/>
  <c r="AE5" i="1"/>
  <c r="AF5" i="1"/>
  <c r="AG5" i="1"/>
  <c r="X6" i="1"/>
  <c r="Y6" i="1"/>
  <c r="Z6" i="1"/>
  <c r="AA6" i="1"/>
  <c r="AB6" i="1"/>
  <c r="AC6" i="1"/>
  <c r="AD6" i="1"/>
  <c r="AE6" i="1"/>
  <c r="AF6" i="1"/>
  <c r="AG6" i="1"/>
  <c r="X7" i="1"/>
  <c r="Y7" i="1"/>
  <c r="Z7" i="1"/>
  <c r="AA7" i="1"/>
  <c r="AB7" i="1"/>
  <c r="AC7" i="1"/>
  <c r="AD7" i="1"/>
  <c r="AE7" i="1"/>
  <c r="AF7" i="1"/>
  <c r="AG7" i="1"/>
  <c r="X8" i="1"/>
  <c r="Y8" i="1"/>
  <c r="Z8" i="1"/>
  <c r="AA8" i="1"/>
  <c r="AB8" i="1"/>
  <c r="AC8" i="1"/>
  <c r="AD8" i="1"/>
  <c r="AE8" i="1"/>
  <c r="AF8" i="1"/>
  <c r="AG8" i="1"/>
  <c r="X9" i="1"/>
  <c r="Y9" i="1"/>
  <c r="Z9" i="1"/>
  <c r="AA9" i="1"/>
  <c r="AB9" i="1"/>
  <c r="AC9" i="1"/>
  <c r="AD9" i="1"/>
  <c r="AE9" i="1"/>
  <c r="AF9" i="1"/>
  <c r="AG9" i="1"/>
  <c r="X10" i="1"/>
  <c r="Y10" i="1"/>
  <c r="Z10" i="1"/>
  <c r="AA10" i="1"/>
  <c r="AB10" i="1"/>
  <c r="AC10" i="1"/>
  <c r="AD10" i="1"/>
  <c r="AE10" i="1"/>
  <c r="AF10" i="1"/>
  <c r="AG10" i="1"/>
  <c r="X11" i="1"/>
  <c r="Y11" i="1"/>
  <c r="Z11" i="1"/>
  <c r="AA11" i="1"/>
  <c r="AB11" i="1"/>
  <c r="AC11" i="1"/>
  <c r="AD11" i="1"/>
  <c r="AE11" i="1"/>
  <c r="AF11" i="1"/>
  <c r="AG11" i="1"/>
  <c r="X12" i="1"/>
  <c r="Y12" i="1"/>
  <c r="Z12" i="1"/>
  <c r="AA12" i="1"/>
  <c r="AB12" i="1"/>
  <c r="AC12" i="1"/>
  <c r="AD12" i="1"/>
  <c r="AE12" i="1"/>
  <c r="AF12" i="1"/>
  <c r="AG12" i="1"/>
  <c r="X13" i="1"/>
  <c r="Y13" i="1"/>
  <c r="Z13" i="1"/>
  <c r="AA13" i="1"/>
  <c r="AB13" i="1"/>
  <c r="AC13" i="1"/>
  <c r="AD13" i="1"/>
  <c r="AE13" i="1"/>
  <c r="AF13" i="1"/>
  <c r="AG13" i="1"/>
  <c r="Z14" i="1"/>
  <c r="AA14" i="1"/>
  <c r="AB14" i="1"/>
  <c r="AC14" i="1"/>
  <c r="AD14" i="1"/>
  <c r="AE14" i="1"/>
  <c r="AF14" i="1"/>
  <c r="AG14" i="1"/>
  <c r="Z15" i="1"/>
  <c r="AA15" i="1"/>
  <c r="AB15" i="1"/>
  <c r="AC15" i="1"/>
  <c r="AD15" i="1"/>
  <c r="AE15" i="1"/>
  <c r="AF15" i="1"/>
  <c r="AG15" i="1"/>
  <c r="Z16" i="1"/>
  <c r="AA16" i="1"/>
  <c r="AB16" i="1"/>
  <c r="AC16" i="1"/>
  <c r="AD16" i="1"/>
  <c r="AE16" i="1"/>
  <c r="AF16" i="1"/>
  <c r="AG16" i="1"/>
  <c r="Z17" i="1"/>
  <c r="AA17" i="1"/>
  <c r="AB17" i="1"/>
  <c r="AC17" i="1"/>
  <c r="AD17" i="1"/>
  <c r="AE17" i="1"/>
  <c r="AF17" i="1"/>
  <c r="AG17" i="1"/>
  <c r="Z18" i="1"/>
  <c r="AA18" i="1"/>
  <c r="AB18" i="1"/>
  <c r="AC18" i="1"/>
  <c r="AD18" i="1"/>
  <c r="AE18" i="1"/>
  <c r="AF18" i="1"/>
  <c r="AG18" i="1"/>
  <c r="Z19" i="1"/>
  <c r="AA19" i="1"/>
  <c r="AB19" i="1"/>
  <c r="AC19" i="1"/>
  <c r="AD19" i="1"/>
  <c r="AE19" i="1"/>
  <c r="AF19" i="1"/>
  <c r="AG19" i="1"/>
  <c r="Z20" i="1"/>
  <c r="AA20" i="1"/>
  <c r="AB20" i="1"/>
  <c r="AC20" i="1"/>
  <c r="AD20" i="1"/>
  <c r="AE20" i="1"/>
  <c r="AF20" i="1"/>
  <c r="AG20" i="1"/>
  <c r="Z21" i="1"/>
  <c r="AA21" i="1"/>
  <c r="AB21" i="1"/>
  <c r="AC21" i="1"/>
  <c r="AD21" i="1"/>
  <c r="AE21" i="1"/>
  <c r="AF21" i="1"/>
  <c r="AG21" i="1"/>
  <c r="Z22" i="1"/>
  <c r="AA22" i="1"/>
  <c r="AB22" i="1"/>
  <c r="AC22" i="1"/>
  <c r="AD22" i="1"/>
  <c r="AE22" i="1"/>
  <c r="AF22" i="1"/>
  <c r="AG22" i="1"/>
  <c r="Z23" i="1"/>
  <c r="AA23" i="1"/>
  <c r="AB23" i="1"/>
  <c r="AC23" i="1"/>
  <c r="AD23" i="1"/>
  <c r="AE23" i="1"/>
  <c r="AF23" i="1"/>
  <c r="AG23" i="1"/>
  <c r="Z24" i="1"/>
  <c r="AA24" i="1"/>
  <c r="AB24" i="1"/>
  <c r="AC24" i="1"/>
  <c r="AD24" i="1"/>
  <c r="AE24" i="1"/>
  <c r="AF24" i="1"/>
  <c r="AG24" i="1"/>
  <c r="Z25" i="1"/>
  <c r="AA25" i="1"/>
  <c r="AB25" i="1"/>
  <c r="AC25" i="1"/>
  <c r="AD25" i="1"/>
  <c r="AE25" i="1"/>
  <c r="AF25" i="1"/>
  <c r="AG25" i="1"/>
  <c r="Z26" i="1"/>
  <c r="AA26" i="1"/>
  <c r="AB26" i="1"/>
  <c r="AC26" i="1"/>
  <c r="AD26" i="1"/>
  <c r="AE26" i="1"/>
  <c r="AF26" i="1"/>
  <c r="AG26" i="1"/>
  <c r="Z27" i="1"/>
  <c r="AA27" i="1"/>
  <c r="AB27" i="1"/>
  <c r="AC27" i="1"/>
  <c r="AD27" i="1"/>
  <c r="AE27" i="1"/>
  <c r="AF27" i="1"/>
  <c r="AG27" i="1"/>
  <c r="Z28" i="1"/>
  <c r="AA28" i="1"/>
  <c r="AB28" i="1"/>
  <c r="AC28" i="1"/>
  <c r="AD28" i="1"/>
  <c r="AE28" i="1"/>
  <c r="AF28" i="1"/>
  <c r="AG28" i="1"/>
  <c r="Z29" i="1"/>
  <c r="AA29" i="1"/>
  <c r="AB29" i="1"/>
  <c r="AC29" i="1"/>
  <c r="AD29" i="1"/>
  <c r="AE29" i="1"/>
  <c r="AF29" i="1"/>
  <c r="AG29" i="1"/>
  <c r="Z30" i="1"/>
  <c r="AA30" i="1"/>
  <c r="AB30" i="1"/>
  <c r="AC30" i="1"/>
  <c r="AD30" i="1"/>
  <c r="AE30" i="1"/>
  <c r="AF30" i="1"/>
  <c r="AG30" i="1"/>
  <c r="Z31" i="1"/>
  <c r="AA31" i="1"/>
  <c r="AB31" i="1"/>
  <c r="AC31" i="1"/>
  <c r="AD31" i="1"/>
  <c r="AE31" i="1"/>
  <c r="AF31" i="1"/>
  <c r="AG31" i="1"/>
  <c r="Z32" i="1"/>
  <c r="AA32" i="1"/>
  <c r="AB32" i="1"/>
  <c r="AC32" i="1"/>
  <c r="AD32" i="1"/>
  <c r="AE32" i="1"/>
  <c r="AF32" i="1"/>
  <c r="AG32" i="1"/>
  <c r="Z33" i="1"/>
  <c r="AA33" i="1"/>
  <c r="AB33" i="1"/>
  <c r="AC33" i="1"/>
  <c r="AD33" i="1"/>
  <c r="AE33" i="1"/>
  <c r="AF33" i="1"/>
  <c r="AG33" i="1"/>
  <c r="A7" i="1" l="1"/>
  <c r="A15" i="1" l="1"/>
  <c r="A5" i="1"/>
  <c r="A20" i="1"/>
  <c r="A4" i="1"/>
  <c r="A12" i="1"/>
  <c r="A25" i="1"/>
  <c r="A10" i="1"/>
  <c r="A13" i="1"/>
  <c r="A24" i="1"/>
  <c r="A14" i="1"/>
  <c r="A31" i="1"/>
  <c r="A6" i="1"/>
  <c r="A21" i="1"/>
  <c r="A28" i="1"/>
  <c r="A30" i="1"/>
  <c r="A8" i="1"/>
  <c r="A19" i="1"/>
  <c r="A33" i="1"/>
  <c r="A17" i="1"/>
  <c r="A32" i="1"/>
  <c r="A27" i="1"/>
  <c r="A18" i="1"/>
  <c r="A29" i="1"/>
  <c r="A9" i="1"/>
  <c r="A26" i="1"/>
  <c r="A22" i="1"/>
  <c r="A23" i="1"/>
  <c r="A16" i="1"/>
  <c r="A11" i="1"/>
</calcChain>
</file>

<file path=xl/sharedStrings.xml><?xml version="1.0" encoding="utf-8"?>
<sst xmlns="http://schemas.openxmlformats.org/spreadsheetml/2006/main" count="35" uniqueCount="34">
  <si>
    <t>Notes</t>
  </si>
  <si>
    <t>Year</t>
  </si>
  <si>
    <t>D8</t>
  </si>
  <si>
    <t>D7</t>
  </si>
  <si>
    <t>D6</t>
  </si>
  <si>
    <t>D5</t>
  </si>
  <si>
    <t>D4</t>
  </si>
  <si>
    <t>D3</t>
  </si>
  <si>
    <t>D2</t>
  </si>
  <si>
    <t>D1</t>
  </si>
  <si>
    <t>TAW_CIS</t>
  </si>
  <si>
    <t>Area permanent crop</t>
  </si>
  <si>
    <t xml:space="preserve">TC Drip </t>
  </si>
  <si>
    <t>TC Sprinkler</t>
  </si>
  <si>
    <t>Hypothetical coincident peak</t>
  </si>
  <si>
    <t>PD90%ISW_EF_L</t>
  </si>
  <si>
    <t>PD90%ISW_EF_H</t>
  </si>
  <si>
    <t>PD50%ISW_EF_L</t>
  </si>
  <si>
    <t>PD50%ISW_EF_H</t>
  </si>
  <si>
    <t>GIR90%ISW_EF_L</t>
  </si>
  <si>
    <t>GIR90%ISW_EF_H</t>
  </si>
  <si>
    <t>GIR50%ISW_EF_L</t>
  </si>
  <si>
    <t>GIR50%ISW_EF_H</t>
  </si>
  <si>
    <t>Irrigated area</t>
  </si>
  <si>
    <t>Total area</t>
  </si>
  <si>
    <t>Required pumping capacity</t>
  </si>
  <si>
    <t>Installed pumping capacity</t>
  </si>
  <si>
    <t>Renewable energy</t>
  </si>
  <si>
    <t>Energy cost</t>
  </si>
  <si>
    <t>Consumed energy</t>
  </si>
  <si>
    <t>Source withdrawals</t>
  </si>
  <si>
    <t>Hydrant-supplied volume</t>
  </si>
  <si>
    <t>Pumped volume</t>
  </si>
  <si>
    <t>Inputs D–E: pumping, energy and farm-level adaptive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</si>
</sst>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2" fontId="0" fillId="2" borderId="1" xfId="0" applyNumberFormat="1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CIS_integrated_resilience_framework_tool_v1.xlsx" TargetMode="External"/><Relationship Id="rId1" Type="http://schemas.openxmlformats.org/officeDocument/2006/relationships/externalLinkPath" Target="CIS_integrated_resilience_framework_tool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RI_SE_on_farm_performance_tool_v1.xlsx" TargetMode="External"/><Relationship Id="rId1" Type="http://schemas.openxmlformats.org/officeDocument/2006/relationships/externalLinkPath" Target="RI_SE_on_farm_performance_tool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TROL_YEARS"/>
      <sheetName val="THRESHOLDS_WEIGHTS"/>
      <sheetName val="CALC_NORMALISATION"/>
      <sheetName val="DASHBOARD_EXPORTS"/>
      <sheetName val="INPUT_A_TO_C"/>
      <sheetName val="INPUT_D_E"/>
      <sheetName val="INPUT_F"/>
      <sheetName val="QUALITY_GUIDE"/>
      <sheetName val="00_SHEET_MAP"/>
    </sheetNames>
    <sheetDataSet>
      <sheetData sheetId="0"/>
      <sheetData sheetId="1">
        <row r="14">
          <cell r="A14">
            <v>2016</v>
          </cell>
        </row>
        <row r="15">
          <cell r="A15">
            <v>2017</v>
          </cell>
        </row>
        <row r="16">
          <cell r="A16">
            <v>2018</v>
          </cell>
        </row>
        <row r="17">
          <cell r="A17">
            <v>2019</v>
          </cell>
        </row>
        <row r="18">
          <cell r="A18">
            <v>2020</v>
          </cell>
        </row>
        <row r="19">
          <cell r="A19">
            <v>2021</v>
          </cell>
        </row>
        <row r="20">
          <cell r="A20">
            <v>2022</v>
          </cell>
        </row>
        <row r="21">
          <cell r="A21">
            <v>2023</v>
          </cell>
        </row>
        <row r="22">
          <cell r="A22">
            <v>2024</v>
          </cell>
        </row>
        <row r="23">
          <cell r="A23">
            <v>2025</v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D_SE_CALC_INDICATORS"/>
      <sheetName val="E4_ISF"/>
      <sheetName val="E8_SWBC"/>
      <sheetName val="E_10_CAI"/>
      <sheetName val="E_9_ALAS"/>
    </sheetNames>
    <sheetDataSet>
      <sheetData sheetId="0"/>
      <sheetData sheetId="1">
        <row r="4">
          <cell r="X4">
            <v>1.0898318707349934</v>
          </cell>
        </row>
      </sheetData>
      <sheetData sheetId="2">
        <row r="4">
          <cell r="AF4">
            <v>103804.36577032231</v>
          </cell>
        </row>
        <row r="5">
          <cell r="AF5">
            <v>104376.24176957001</v>
          </cell>
        </row>
        <row r="6">
          <cell r="AF6">
            <v>104246.77545639416</v>
          </cell>
        </row>
        <row r="7">
          <cell r="AF7">
            <v>104816.3588627162</v>
          </cell>
        </row>
        <row r="8">
          <cell r="AF8">
            <v>107220.46914983245</v>
          </cell>
        </row>
        <row r="9">
          <cell r="AF9">
            <v>100568.81234686336</v>
          </cell>
        </row>
        <row r="10">
          <cell r="AF10">
            <v>113675.69269075853</v>
          </cell>
        </row>
        <row r="11">
          <cell r="AF11">
            <v>119317.91053887921</v>
          </cell>
        </row>
        <row r="12">
          <cell r="AF12">
            <v>120519.97333483949</v>
          </cell>
        </row>
        <row r="13">
          <cell r="AF13">
            <v>121535.65568481896</v>
          </cell>
        </row>
      </sheetData>
      <sheetData sheetId="3">
        <row r="10">
          <cell r="N10">
            <v>287.99553776547407</v>
          </cell>
        </row>
        <row r="11">
          <cell r="N11">
            <v>292.51975410124493</v>
          </cell>
        </row>
        <row r="12">
          <cell r="N12">
            <v>292.51975410124493</v>
          </cell>
        </row>
        <row r="13">
          <cell r="N13">
            <v>316.69939200142653</v>
          </cell>
        </row>
        <row r="14">
          <cell r="N14">
            <v>292.51975410124493</v>
          </cell>
        </row>
        <row r="15">
          <cell r="N15">
            <v>189.18405084374993</v>
          </cell>
        </row>
        <row r="16">
          <cell r="N16">
            <v>355.71492810770428</v>
          </cell>
        </row>
        <row r="17">
          <cell r="N17">
            <v>480.35597286397439</v>
          </cell>
        </row>
        <row r="18">
          <cell r="N18">
            <v>477.41639465017874</v>
          </cell>
        </row>
        <row r="19">
          <cell r="N19">
            <v>477.41639465017874</v>
          </cell>
        </row>
      </sheetData>
      <sheetData sheetId="4">
        <row r="7">
          <cell r="G7">
            <v>0.41686880937942189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4A0C-767B-400F-9A88-1BFBE9A495A8}">
  <sheetPr>
    <tabColor theme="8" tint="0.39997558519241921"/>
  </sheetPr>
  <dimension ref="A1:AH33"/>
  <sheetViews>
    <sheetView tabSelected="1" topLeftCell="Y1" workbookViewId="0">
      <pane ySplit="3" topLeftCell="A4" activePane="bottomLeft" state="frozen"/>
      <selection activeCell="V21" sqref="V21"/>
      <selection pane="bottomLeft" activeCell="AR13" sqref="AR13"/>
    </sheetView>
  </sheetViews>
  <sheetFormatPr defaultRowHeight="15" x14ac:dyDescent="0.25"/>
  <cols>
    <col min="1" max="1" width="23.140625" customWidth="1"/>
    <col min="2" max="23" width="15" customWidth="1"/>
    <col min="24" max="24" width="16.5703125" customWidth="1"/>
    <col min="25" max="35" width="15" customWidth="1"/>
  </cols>
  <sheetData>
    <row r="1" spans="1:34" ht="105" customHeight="1" x14ac:dyDescent="0.25">
      <c r="A1" s="6" t="s">
        <v>33</v>
      </c>
    </row>
    <row r="3" spans="1:34" ht="45" x14ac:dyDescent="0.25">
      <c r="A3" s="5" t="s">
        <v>1</v>
      </c>
      <c r="B3" s="5" t="s">
        <v>32</v>
      </c>
      <c r="C3" s="5" t="s">
        <v>31</v>
      </c>
      <c r="D3" s="5" t="s">
        <v>30</v>
      </c>
      <c r="E3" s="5" t="s">
        <v>23</v>
      </c>
      <c r="F3" s="5" t="s">
        <v>29</v>
      </c>
      <c r="G3" s="5" t="s">
        <v>28</v>
      </c>
      <c r="H3" s="5" t="s">
        <v>27</v>
      </c>
      <c r="I3" s="5" t="s">
        <v>26</v>
      </c>
      <c r="J3" s="5" t="s">
        <v>25</v>
      </c>
      <c r="K3" s="5" t="s">
        <v>24</v>
      </c>
      <c r="L3" s="5" t="s">
        <v>23</v>
      </c>
      <c r="M3" s="5" t="s">
        <v>22</v>
      </c>
      <c r="N3" s="5" t="s">
        <v>21</v>
      </c>
      <c r="O3" s="5" t="s">
        <v>20</v>
      </c>
      <c r="P3" s="5" t="s">
        <v>19</v>
      </c>
      <c r="Q3" s="5" t="s">
        <v>18</v>
      </c>
      <c r="R3" s="5" t="s">
        <v>17</v>
      </c>
      <c r="S3" s="5" t="s">
        <v>16</v>
      </c>
      <c r="T3" s="5" t="s">
        <v>15</v>
      </c>
      <c r="U3" s="5" t="s">
        <v>14</v>
      </c>
      <c r="V3" s="5" t="s">
        <v>13</v>
      </c>
      <c r="W3" s="5" t="s">
        <v>12</v>
      </c>
      <c r="X3" s="5" t="s">
        <v>11</v>
      </c>
      <c r="Y3" s="5" t="s">
        <v>10</v>
      </c>
      <c r="Z3" s="5" t="s">
        <v>9</v>
      </c>
      <c r="AA3" s="5" t="s">
        <v>8</v>
      </c>
      <c r="AB3" s="5" t="s">
        <v>7</v>
      </c>
      <c r="AC3" s="5" t="s">
        <v>6</v>
      </c>
      <c r="AD3" s="5" t="s">
        <v>5</v>
      </c>
      <c r="AE3" s="5" t="s">
        <v>4</v>
      </c>
      <c r="AF3" s="5" t="s">
        <v>3</v>
      </c>
      <c r="AG3" s="5" t="s">
        <v>2</v>
      </c>
      <c r="AH3" s="5" t="s">
        <v>0</v>
      </c>
    </row>
    <row r="4" spans="1:34" x14ac:dyDescent="0.25">
      <c r="A4" s="2">
        <f>[1]CONTROL_YEARS!A14</f>
        <v>2016</v>
      </c>
      <c r="B4" s="3">
        <v>6110817.9110827493</v>
      </c>
      <c r="C4" s="3">
        <v>5745391</v>
      </c>
      <c r="D4" s="3">
        <v>6110817.9110827493</v>
      </c>
      <c r="E4" s="3">
        <v>1334.2036782997391</v>
      </c>
      <c r="F4" s="3"/>
      <c r="G4" s="3">
        <v>144011.24</v>
      </c>
      <c r="H4" s="3">
        <v>0</v>
      </c>
      <c r="I4" s="3">
        <v>2600</v>
      </c>
      <c r="J4" s="3">
        <v>1382</v>
      </c>
      <c r="K4" s="3">
        <v>1563</v>
      </c>
      <c r="L4" s="3">
        <v>1334.2036782997391</v>
      </c>
      <c r="M4" s="3">
        <v>535885.67057008063</v>
      </c>
      <c r="N4" s="3">
        <v>648575.1890074258</v>
      </c>
      <c r="O4" s="3">
        <v>497605.92699601001</v>
      </c>
      <c r="P4" s="3">
        <v>602129.52884276374</v>
      </c>
      <c r="Q4" s="3">
        <v>184241.54745354599</v>
      </c>
      <c r="R4" s="3">
        <v>223073.48937611014</v>
      </c>
      <c r="S4" s="3">
        <v>180553.70078519185</v>
      </c>
      <c r="T4" s="3">
        <v>218595.38985025193</v>
      </c>
      <c r="U4" s="3">
        <v>2480119.9479359202</v>
      </c>
      <c r="V4" s="3">
        <v>0.3706998278211393</v>
      </c>
      <c r="W4" s="3">
        <v>0.18385803866797212</v>
      </c>
      <c r="X4" s="3">
        <f>[2]E_10_CAI!N10</f>
        <v>287.99553776547407</v>
      </c>
      <c r="Y4" s="3">
        <f>[2]E8_SWBC!AF4</f>
        <v>103804.36577032231</v>
      </c>
      <c r="Z4" s="4">
        <f t="shared" ref="Z4:Z33" si="0">IFERROR(F4/E4,"")</f>
        <v>0</v>
      </c>
      <c r="AA4" s="4">
        <f t="shared" ref="AA4:AA33" si="1">IFERROR(F4/C4,"")</f>
        <v>0</v>
      </c>
      <c r="AB4" s="4">
        <f t="shared" ref="AB4:AB33" si="2">IFERROR(F4/D4,"")</f>
        <v>0</v>
      </c>
      <c r="AC4" s="4">
        <f t="shared" ref="AC4:AC33" si="3">IFERROR(G4/E4,"")</f>
        <v>107.93797254668246</v>
      </c>
      <c r="AD4" s="4">
        <f t="shared" ref="AD4:AD33" si="4">IFERROR(G4/C4,"")</f>
        <v>2.5065524696230419E-2</v>
      </c>
      <c r="AE4" s="4">
        <f t="shared" ref="AE4:AE33" si="5">IFERROR(G4/D4,"")</f>
        <v>2.3566606319395837E-2</v>
      </c>
      <c r="AF4" s="4" t="str">
        <f t="shared" ref="AF4:AF33" si="6">IFERROR(H4/F4,"")</f>
        <v/>
      </c>
      <c r="AG4" s="4">
        <f t="shared" ref="AG4:AG33" si="7">IFERROR((I4-J4)/J4,"")</f>
        <v>0.88133140376266283</v>
      </c>
      <c r="AH4" s="1"/>
    </row>
    <row r="5" spans="1:34" x14ac:dyDescent="0.25">
      <c r="A5" s="2">
        <f>[1]CONTROL_YEARS!A15</f>
        <v>2017</v>
      </c>
      <c r="B5" s="3">
        <v>7059537.3324824516</v>
      </c>
      <c r="C5" s="3">
        <v>6637377</v>
      </c>
      <c r="D5" s="3">
        <v>7059537.3324824516</v>
      </c>
      <c r="E5" s="3">
        <v>1268.2826929347732</v>
      </c>
      <c r="F5" s="3"/>
      <c r="G5" s="3">
        <v>171448.05</v>
      </c>
      <c r="H5" s="3">
        <v>0</v>
      </c>
      <c r="I5" s="3">
        <v>2600</v>
      </c>
      <c r="J5" s="3">
        <v>1496</v>
      </c>
      <c r="K5" s="3">
        <v>1563</v>
      </c>
      <c r="L5" s="3">
        <v>1268.2826929347732</v>
      </c>
      <c r="M5" s="3">
        <v>583140.12163152487</v>
      </c>
      <c r="N5" s="3">
        <v>705810.26667603827</v>
      </c>
      <c r="O5" s="3">
        <v>524626.61371430208</v>
      </c>
      <c r="P5" s="3">
        <v>634826.15987971856</v>
      </c>
      <c r="Q5" s="3">
        <v>188890.03302553401</v>
      </c>
      <c r="R5" s="3">
        <v>228635.66378328673</v>
      </c>
      <c r="S5" s="3">
        <v>183925.77434280523</v>
      </c>
      <c r="T5" s="3">
        <v>222612.53837899893</v>
      </c>
      <c r="U5" s="3">
        <v>2707543.233366847</v>
      </c>
      <c r="V5" s="3">
        <v>0.36955415776066286</v>
      </c>
      <c r="W5" s="3">
        <v>0.1856077343689114</v>
      </c>
      <c r="X5" s="3">
        <f>[2]E_10_CAI!N11</f>
        <v>292.51975410124493</v>
      </c>
      <c r="Y5" s="3">
        <f>[2]E8_SWBC!AF5</f>
        <v>104376.24176957001</v>
      </c>
      <c r="Z5" s="4">
        <f t="shared" si="0"/>
        <v>0</v>
      </c>
      <c r="AA5" s="4">
        <f t="shared" si="1"/>
        <v>0</v>
      </c>
      <c r="AB5" s="4">
        <f t="shared" si="2"/>
        <v>0</v>
      </c>
      <c r="AC5" s="4">
        <f t="shared" si="3"/>
        <v>135.18125805475879</v>
      </c>
      <c r="AD5" s="4">
        <f t="shared" si="4"/>
        <v>2.5830693359741353E-2</v>
      </c>
      <c r="AE5" s="4">
        <f t="shared" si="5"/>
        <v>2.4286017896828816E-2</v>
      </c>
      <c r="AF5" s="4" t="str">
        <f t="shared" si="6"/>
        <v/>
      </c>
      <c r="AG5" s="4">
        <f t="shared" si="7"/>
        <v>0.73796791443850263</v>
      </c>
      <c r="AH5" s="1"/>
    </row>
    <row r="6" spans="1:34" x14ac:dyDescent="0.25">
      <c r="A6" s="2">
        <f>[1]CONTROL_YEARS!A16</f>
        <v>2018</v>
      </c>
      <c r="B6" s="3">
        <v>5630773.2397362264</v>
      </c>
      <c r="C6" s="3">
        <v>5294053</v>
      </c>
      <c r="D6" s="3">
        <v>5630773.2397362264</v>
      </c>
      <c r="E6" s="3">
        <v>1308.1205405677213</v>
      </c>
      <c r="F6" s="3">
        <v>1247571.75</v>
      </c>
      <c r="G6" s="3">
        <v>144161.73000000001</v>
      </c>
      <c r="H6" s="3">
        <v>0</v>
      </c>
      <c r="I6" s="3">
        <v>2600</v>
      </c>
      <c r="J6" s="3">
        <v>1400</v>
      </c>
      <c r="K6" s="3">
        <v>1563</v>
      </c>
      <c r="L6" s="3">
        <v>1308.1205405677213</v>
      </c>
      <c r="M6" s="3">
        <v>493345.78136234527</v>
      </c>
      <c r="N6" s="3">
        <v>596941.67047665443</v>
      </c>
      <c r="O6" s="3">
        <v>455815.14118574519</v>
      </c>
      <c r="P6" s="3">
        <v>551461.64264114678</v>
      </c>
      <c r="Q6" s="3">
        <v>186783.84135959827</v>
      </c>
      <c r="R6" s="3">
        <v>226159.35556052128</v>
      </c>
      <c r="S6" s="3">
        <v>180174.58544639946</v>
      </c>
      <c r="T6" s="3">
        <v>218135.74609723399</v>
      </c>
      <c r="U6" s="3">
        <v>2623079.0437978404</v>
      </c>
      <c r="V6" s="3">
        <v>0.36955415776066286</v>
      </c>
      <c r="W6" s="3">
        <v>0.1856077343689114</v>
      </c>
      <c r="X6" s="3">
        <f>[2]E_10_CAI!N12</f>
        <v>292.51975410124493</v>
      </c>
      <c r="Y6" s="3">
        <f>[2]E8_SWBC!AF6</f>
        <v>104246.77545639416</v>
      </c>
      <c r="Z6" s="4">
        <f t="shared" si="0"/>
        <v>953.71314134288934</v>
      </c>
      <c r="AA6" s="4">
        <f t="shared" si="1"/>
        <v>0.23565531927995431</v>
      </c>
      <c r="AB6" s="4">
        <f t="shared" si="2"/>
        <v>0.22156313118701304</v>
      </c>
      <c r="AC6" s="4">
        <f t="shared" si="3"/>
        <v>110.20523379094266</v>
      </c>
      <c r="AD6" s="4">
        <f t="shared" si="4"/>
        <v>2.7230881519319888E-2</v>
      </c>
      <c r="AE6" s="4">
        <f t="shared" si="5"/>
        <v>2.5602474804464558E-2</v>
      </c>
      <c r="AF6" s="4">
        <f t="shared" si="6"/>
        <v>0</v>
      </c>
      <c r="AG6" s="4">
        <f t="shared" si="7"/>
        <v>0.8571428571428571</v>
      </c>
      <c r="AH6" s="1"/>
    </row>
    <row r="7" spans="1:34" x14ac:dyDescent="0.25">
      <c r="A7" s="2">
        <f>[1]CONTROL_YEARS!A17</f>
        <v>2019</v>
      </c>
      <c r="B7" s="3">
        <v>6644251.2231440125</v>
      </c>
      <c r="C7" s="3">
        <v>6246925</v>
      </c>
      <c r="D7" s="3">
        <v>6644251.2231440125</v>
      </c>
      <c r="E7" s="3">
        <v>1300.2074765503171</v>
      </c>
      <c r="F7" s="3">
        <v>1522770</v>
      </c>
      <c r="G7" s="3">
        <v>195057.4</v>
      </c>
      <c r="H7" s="3">
        <v>0</v>
      </c>
      <c r="I7" s="3">
        <v>2600</v>
      </c>
      <c r="J7" s="3">
        <v>1410</v>
      </c>
      <c r="K7" s="3">
        <v>1563</v>
      </c>
      <c r="L7" s="3">
        <v>1300.2074765503171</v>
      </c>
      <c r="M7" s="3">
        <v>571298.62942957249</v>
      </c>
      <c r="N7" s="3">
        <v>690816.69652376731</v>
      </c>
      <c r="O7" s="3">
        <v>523147.98855291383</v>
      </c>
      <c r="P7" s="3">
        <v>632557.97390924639</v>
      </c>
      <c r="Q7" s="3">
        <v>182394.9403612841</v>
      </c>
      <c r="R7" s="3">
        <v>220586.08176634478</v>
      </c>
      <c r="S7" s="3">
        <v>176054.38763856664</v>
      </c>
      <c r="T7" s="3">
        <v>212896.55158264961</v>
      </c>
      <c r="U7" s="3">
        <v>2717956.881770337</v>
      </c>
      <c r="V7" s="3">
        <v>0.36955415776066286</v>
      </c>
      <c r="W7" s="3">
        <v>0.1856077343689114</v>
      </c>
      <c r="X7" s="3">
        <f>[2]E_10_CAI!N13</f>
        <v>316.69939200142653</v>
      </c>
      <c r="Y7" s="3">
        <f>[2]E8_SWBC!AF7</f>
        <v>104816.3588627162</v>
      </c>
      <c r="Z7" s="4">
        <f t="shared" si="0"/>
        <v>1171.1746220996829</v>
      </c>
      <c r="AA7" s="4">
        <f t="shared" si="1"/>
        <v>0.24376313146067866</v>
      </c>
      <c r="AB7" s="4">
        <f t="shared" si="2"/>
        <v>0.22918609619933006</v>
      </c>
      <c r="AC7" s="4">
        <f t="shared" si="3"/>
        <v>150.02021101856926</v>
      </c>
      <c r="AD7" s="4">
        <f t="shared" si="4"/>
        <v>3.1224546476866618E-2</v>
      </c>
      <c r="AE7" s="4">
        <f t="shared" si="5"/>
        <v>2.9357318597549992E-2</v>
      </c>
      <c r="AF7" s="4">
        <f t="shared" si="6"/>
        <v>0</v>
      </c>
      <c r="AG7" s="4">
        <f t="shared" si="7"/>
        <v>0.84397163120567376</v>
      </c>
      <c r="AH7" s="1"/>
    </row>
    <row r="8" spans="1:34" x14ac:dyDescent="0.25">
      <c r="A8" s="2">
        <f>[1]CONTROL_YEARS!A18</f>
        <v>2020</v>
      </c>
      <c r="B8" s="3">
        <v>6331532.6526271012</v>
      </c>
      <c r="C8" s="3">
        <v>5952907</v>
      </c>
      <c r="D8" s="3">
        <v>6331532.6526271012</v>
      </c>
      <c r="E8" s="3">
        <v>1281.370354750235</v>
      </c>
      <c r="F8" s="3">
        <v>1501399</v>
      </c>
      <c r="G8" s="3">
        <v>171821.71</v>
      </c>
      <c r="H8" s="3">
        <v>0</v>
      </c>
      <c r="I8" s="3">
        <v>2600</v>
      </c>
      <c r="J8" s="3">
        <v>1406</v>
      </c>
      <c r="K8" s="3">
        <v>1563</v>
      </c>
      <c r="L8" s="3">
        <v>1281.370354750235</v>
      </c>
      <c r="M8" s="3">
        <v>517466.69055657601</v>
      </c>
      <c r="N8" s="3">
        <v>625434.90870099037</v>
      </c>
      <c r="O8" s="3">
        <v>483609.46731880278</v>
      </c>
      <c r="P8" s="3">
        <v>584458.5114371439</v>
      </c>
      <c r="Q8" s="3">
        <v>185606.59836724633</v>
      </c>
      <c r="R8" s="3">
        <v>224336.02956562719</v>
      </c>
      <c r="S8" s="3">
        <v>177116.82300138072</v>
      </c>
      <c r="T8" s="3">
        <v>214052.64341773855</v>
      </c>
      <c r="U8" s="3">
        <v>2701452.7545138407</v>
      </c>
      <c r="V8" s="3">
        <v>0.36048642517733354</v>
      </c>
      <c r="W8" s="3">
        <v>0.19945620022802496</v>
      </c>
      <c r="X8" s="3">
        <f>[2]E_10_CAI!N14</f>
        <v>292.51975410124493</v>
      </c>
      <c r="Y8" s="3">
        <f>[2]E8_SWBC!AF8</f>
        <v>107220.46914983245</v>
      </c>
      <c r="Z8" s="4">
        <f t="shared" si="0"/>
        <v>1171.7135443582608</v>
      </c>
      <c r="AA8" s="4">
        <f t="shared" si="1"/>
        <v>0.25221274244667352</v>
      </c>
      <c r="AB8" s="4">
        <f t="shared" si="2"/>
        <v>0.23713042044836244</v>
      </c>
      <c r="AC8" s="4">
        <f t="shared" si="3"/>
        <v>134.09215326625181</v>
      </c>
      <c r="AD8" s="4">
        <f t="shared" si="4"/>
        <v>2.8863496439638651E-2</v>
      </c>
      <c r="AE8" s="4">
        <f t="shared" si="5"/>
        <v>2.7137459352548257E-2</v>
      </c>
      <c r="AF8" s="4">
        <f t="shared" si="6"/>
        <v>0</v>
      </c>
      <c r="AG8" s="4">
        <f t="shared" si="7"/>
        <v>0.84921763869132294</v>
      </c>
      <c r="AH8" s="1"/>
    </row>
    <row r="9" spans="1:34" x14ac:dyDescent="0.25">
      <c r="A9" s="2">
        <f>[1]CONTROL_YEARS!A19</f>
        <v>2021</v>
      </c>
      <c r="B9" s="3">
        <v>6070613.6992129339</v>
      </c>
      <c r="C9" s="3">
        <v>5707591</v>
      </c>
      <c r="D9" s="3">
        <v>6070613.6992129339</v>
      </c>
      <c r="E9" s="3">
        <v>1267.9013202162944</v>
      </c>
      <c r="F9" s="3">
        <v>1370300.75</v>
      </c>
      <c r="G9" s="3">
        <v>160490.29</v>
      </c>
      <c r="H9" s="3">
        <v>0</v>
      </c>
      <c r="I9" s="3">
        <v>2600</v>
      </c>
      <c r="J9" s="3">
        <v>1521</v>
      </c>
      <c r="K9" s="3">
        <v>1563</v>
      </c>
      <c r="L9" s="3">
        <v>1267.9013202162944</v>
      </c>
      <c r="M9" s="3">
        <v>581074.75749890483</v>
      </c>
      <c r="N9" s="3">
        <v>702431.36455780256</v>
      </c>
      <c r="O9" s="3">
        <v>523703.72306462622</v>
      </c>
      <c r="P9" s="3">
        <v>632995.0073284622</v>
      </c>
      <c r="Q9" s="3">
        <v>192882.9457879719</v>
      </c>
      <c r="R9" s="3">
        <v>233285.00991702976</v>
      </c>
      <c r="S9" s="3">
        <v>188686.5405430659</v>
      </c>
      <c r="T9" s="3">
        <v>228206.11468269982</v>
      </c>
      <c r="U9" s="3">
        <v>2955003.0200547399</v>
      </c>
      <c r="V9" s="3">
        <v>0.37808621632463907</v>
      </c>
      <c r="W9" s="3">
        <v>0.17257736314375971</v>
      </c>
      <c r="X9" s="3">
        <f>[2]E_10_CAI!N15</f>
        <v>189.18405084374993</v>
      </c>
      <c r="Y9" s="3">
        <f>[2]E8_SWBC!AF9</f>
        <v>100568.81234686336</v>
      </c>
      <c r="Z9" s="4">
        <f t="shared" si="0"/>
        <v>1080.7629333221587</v>
      </c>
      <c r="AA9" s="4">
        <f t="shared" si="1"/>
        <v>0.24008390755399256</v>
      </c>
      <c r="AB9" s="4">
        <f t="shared" si="2"/>
        <v>0.2257268898822638</v>
      </c>
      <c r="AC9" s="4">
        <f t="shared" si="3"/>
        <v>126.57948015435585</v>
      </c>
      <c r="AD9" s="4">
        <f t="shared" si="4"/>
        <v>2.8118743967463684E-2</v>
      </c>
      <c r="AE9" s="4">
        <f t="shared" si="5"/>
        <v>2.6437243078209351E-2</v>
      </c>
      <c r="AF9" s="4">
        <f t="shared" si="6"/>
        <v>0</v>
      </c>
      <c r="AG9" s="4">
        <f t="shared" si="7"/>
        <v>0.70940170940170943</v>
      </c>
      <c r="AH9" s="1"/>
    </row>
    <row r="10" spans="1:34" x14ac:dyDescent="0.25">
      <c r="A10" s="2">
        <f>[1]CONTROL_YEARS!A20</f>
        <v>2022</v>
      </c>
      <c r="B10" s="3">
        <v>7065031.9081046591</v>
      </c>
      <c r="C10" s="3">
        <v>6642543</v>
      </c>
      <c r="D10" s="3">
        <v>7065031.9081046591</v>
      </c>
      <c r="E10" s="3">
        <v>1495.446535021812</v>
      </c>
      <c r="F10" s="3">
        <v>1589106.5</v>
      </c>
      <c r="G10" s="3">
        <v>115521.7</v>
      </c>
      <c r="H10" s="3">
        <v>0</v>
      </c>
      <c r="I10" s="3">
        <v>2600</v>
      </c>
      <c r="J10" s="3">
        <v>1680</v>
      </c>
      <c r="K10" s="3">
        <v>1978.8</v>
      </c>
      <c r="L10" s="3">
        <v>1495.446535021812</v>
      </c>
      <c r="M10" s="3">
        <v>672842.37404730357</v>
      </c>
      <c r="N10" s="3">
        <v>810847.22226213512</v>
      </c>
      <c r="O10" s="3">
        <v>629299.93269836751</v>
      </c>
      <c r="P10" s="3">
        <v>758260.43771591689</v>
      </c>
      <c r="Q10" s="3">
        <v>230617.82466988571</v>
      </c>
      <c r="R10" s="3">
        <v>278024.38126694347</v>
      </c>
      <c r="S10" s="3">
        <v>223308.58036548586</v>
      </c>
      <c r="T10" s="3">
        <v>269204.38101558626</v>
      </c>
      <c r="U10" s="3">
        <v>3512919.887837586</v>
      </c>
      <c r="V10" s="3">
        <v>0.33556877992715933</v>
      </c>
      <c r="W10" s="3">
        <v>0.23286217642418855</v>
      </c>
      <c r="X10" s="3">
        <f>[2]E_10_CAI!N16</f>
        <v>355.71492810770428</v>
      </c>
      <c r="Y10" s="3">
        <f>[2]E8_SWBC!AF10</f>
        <v>113675.69269075853</v>
      </c>
      <c r="Z10" s="4">
        <f t="shared" si="0"/>
        <v>1062.6300992946042</v>
      </c>
      <c r="AA10" s="4">
        <f t="shared" si="1"/>
        <v>0.2392316466750761</v>
      </c>
      <c r="AB10" s="4">
        <f t="shared" si="2"/>
        <v>0.22492559420390654</v>
      </c>
      <c r="AC10" s="4">
        <f t="shared" si="3"/>
        <v>77.248966977154453</v>
      </c>
      <c r="AD10" s="4">
        <f t="shared" si="4"/>
        <v>1.7391185875650333E-2</v>
      </c>
      <c r="AE10" s="4">
        <f t="shared" si="5"/>
        <v>1.6351192960286445E-2</v>
      </c>
      <c r="AF10" s="4">
        <f t="shared" si="6"/>
        <v>0</v>
      </c>
      <c r="AG10" s="4">
        <f t="shared" si="7"/>
        <v>0.54761904761904767</v>
      </c>
      <c r="AH10" s="1"/>
    </row>
    <row r="11" spans="1:34" x14ac:dyDescent="0.25">
      <c r="A11" s="2">
        <f>[1]CONTROL_YEARS!A21</f>
        <v>2023</v>
      </c>
      <c r="B11" s="3">
        <v>8105353.1163582224</v>
      </c>
      <c r="C11" s="3">
        <v>7620653</v>
      </c>
      <c r="D11" s="3">
        <v>8105353.1163582224</v>
      </c>
      <c r="E11" s="3">
        <v>1552.8369694552773</v>
      </c>
      <c r="F11" s="3">
        <v>1787288.25</v>
      </c>
      <c r="G11" s="3">
        <v>212833.77</v>
      </c>
      <c r="H11" s="3">
        <v>0</v>
      </c>
      <c r="I11" s="3">
        <v>2600</v>
      </c>
      <c r="J11" s="3">
        <v>1480</v>
      </c>
      <c r="K11" s="3">
        <v>1978.8</v>
      </c>
      <c r="L11" s="3">
        <v>1552.8369694552773</v>
      </c>
      <c r="M11" s="3">
        <v>757045.92599762464</v>
      </c>
      <c r="N11" s="3">
        <v>912016.36034416524</v>
      </c>
      <c r="O11" s="3">
        <v>669408.27430275118</v>
      </c>
      <c r="P11" s="3">
        <v>805896.10648633097</v>
      </c>
      <c r="Q11" s="3">
        <v>229048.60374141042</v>
      </c>
      <c r="R11" s="3">
        <v>276006.02002827707</v>
      </c>
      <c r="S11" s="3">
        <v>220383.38414536649</v>
      </c>
      <c r="T11" s="3">
        <v>265545.18386236322</v>
      </c>
      <c r="U11" s="3">
        <v>3060818.5102995997</v>
      </c>
      <c r="V11" s="3">
        <v>0.3003801111556591</v>
      </c>
      <c r="W11" s="3">
        <v>0.28333860803499406</v>
      </c>
      <c r="X11" s="3">
        <f>[2]E_10_CAI!N17</f>
        <v>480.35597286397439</v>
      </c>
      <c r="Y11" s="3">
        <f>[2]E8_SWBC!AF11</f>
        <v>119317.91053887921</v>
      </c>
      <c r="Z11" s="4">
        <f t="shared" si="0"/>
        <v>1150.982546884472</v>
      </c>
      <c r="AA11" s="4">
        <f t="shared" si="1"/>
        <v>0.2345321654194201</v>
      </c>
      <c r="AB11" s="4">
        <f t="shared" si="2"/>
        <v>0.22050714192733875</v>
      </c>
      <c r="AC11" s="4">
        <f t="shared" si="3"/>
        <v>137.06124608474536</v>
      </c>
      <c r="AD11" s="4">
        <f t="shared" si="4"/>
        <v>2.7928547592968738E-2</v>
      </c>
      <c r="AE11" s="4">
        <f t="shared" si="5"/>
        <v>2.6258420446909205E-2</v>
      </c>
      <c r="AF11" s="4">
        <f t="shared" si="6"/>
        <v>0</v>
      </c>
      <c r="AG11" s="4">
        <f t="shared" si="7"/>
        <v>0.7567567567567568</v>
      </c>
      <c r="AH11" s="1"/>
    </row>
    <row r="12" spans="1:34" x14ac:dyDescent="0.25">
      <c r="A12" s="2">
        <f>[1]CONTROL_YEARS!A22</f>
        <v>2024</v>
      </c>
      <c r="B12" s="3">
        <v>7165430.7594128912</v>
      </c>
      <c r="C12" s="3">
        <v>6736938</v>
      </c>
      <c r="D12" s="3">
        <v>7165430.7594128912</v>
      </c>
      <c r="E12" s="3">
        <v>1560.0146730784852</v>
      </c>
      <c r="F12" s="3">
        <v>1521350.25</v>
      </c>
      <c r="G12" s="3">
        <v>236077.79</v>
      </c>
      <c r="H12" s="3">
        <v>0</v>
      </c>
      <c r="I12" s="3">
        <v>2600</v>
      </c>
      <c r="J12" s="3">
        <v>1335</v>
      </c>
      <c r="K12" s="3">
        <v>1978.8</v>
      </c>
      <c r="L12" s="3">
        <v>1560.0146730784852</v>
      </c>
      <c r="M12" s="3">
        <v>593376.1737456033</v>
      </c>
      <c r="N12" s="3">
        <v>713753.09458667727</v>
      </c>
      <c r="O12" s="3">
        <v>553546.86431436834</v>
      </c>
      <c r="P12" s="3">
        <v>665697.93483587704</v>
      </c>
      <c r="Q12" s="3">
        <v>206241.45789553272</v>
      </c>
      <c r="R12" s="3">
        <v>248459.29839326852</v>
      </c>
      <c r="S12" s="3">
        <v>200125.25103880456</v>
      </c>
      <c r="T12" s="3">
        <v>241071.83630604477</v>
      </c>
      <c r="U12" s="3">
        <v>2864548.8842164096</v>
      </c>
      <c r="V12" s="3">
        <v>0.28948530838281228</v>
      </c>
      <c r="W12" s="3">
        <v>0.29912147455247784</v>
      </c>
      <c r="X12" s="3">
        <f>[2]E_10_CAI!N18</f>
        <v>477.41639465017874</v>
      </c>
      <c r="Y12" s="3">
        <f>[2]E8_SWBC!AF12</f>
        <v>120519.97333483949</v>
      </c>
      <c r="Z12" s="4">
        <f t="shared" si="0"/>
        <v>975.21534653120534</v>
      </c>
      <c r="AA12" s="4">
        <f t="shared" si="1"/>
        <v>0.22582221329630761</v>
      </c>
      <c r="AB12" s="4">
        <f t="shared" si="2"/>
        <v>0.21231804494118842</v>
      </c>
      <c r="AC12" s="4">
        <f t="shared" si="3"/>
        <v>151.33049327935572</v>
      </c>
      <c r="AD12" s="4">
        <f t="shared" si="4"/>
        <v>3.50422981479123E-2</v>
      </c>
      <c r="AE12" s="4">
        <f t="shared" si="5"/>
        <v>3.2946768718667148E-2</v>
      </c>
      <c r="AF12" s="4">
        <f t="shared" si="6"/>
        <v>0</v>
      </c>
      <c r="AG12" s="4">
        <f t="shared" si="7"/>
        <v>0.94756554307116103</v>
      </c>
      <c r="AH12" s="1"/>
    </row>
    <row r="13" spans="1:34" x14ac:dyDescent="0.25">
      <c r="A13" s="2">
        <f>[1]CONTROL_YEARS!A23</f>
        <v>2025</v>
      </c>
      <c r="B13" s="3">
        <v>7321800.6807062337</v>
      </c>
      <c r="C13" s="3">
        <v>6883957</v>
      </c>
      <c r="D13" s="3">
        <v>7321800.6807062337</v>
      </c>
      <c r="E13" s="3">
        <v>1483.9114781177777</v>
      </c>
      <c r="F13" s="3">
        <v>1139604</v>
      </c>
      <c r="G13" s="3">
        <v>178991.02</v>
      </c>
      <c r="H13" s="3">
        <v>105508</v>
      </c>
      <c r="I13" s="3">
        <v>2600</v>
      </c>
      <c r="J13" s="3">
        <v>1347</v>
      </c>
      <c r="K13" s="3">
        <v>1978.8</v>
      </c>
      <c r="L13" s="3">
        <v>1483.9114781177777</v>
      </c>
      <c r="M13" s="3">
        <v>649854.0926389232</v>
      </c>
      <c r="N13" s="3">
        <v>782806.31462529546</v>
      </c>
      <c r="O13" s="3">
        <v>612408.70095733344</v>
      </c>
      <c r="P13" s="3">
        <v>737512.96846123505</v>
      </c>
      <c r="Q13" s="3">
        <v>212111.84398379619</v>
      </c>
      <c r="R13" s="3">
        <v>255862.11451878375</v>
      </c>
      <c r="S13" s="3">
        <v>206367.57111378328</v>
      </c>
      <c r="T13" s="3">
        <v>248904.71702140523</v>
      </c>
      <c r="U13" s="3">
        <v>2890713.8604460629</v>
      </c>
      <c r="V13" s="3">
        <v>0.29513880587942598</v>
      </c>
      <c r="W13" s="3">
        <v>0.29634489540375575</v>
      </c>
      <c r="X13" s="3">
        <f>[2]E_10_CAI!N19</f>
        <v>477.41639465017874</v>
      </c>
      <c r="Y13" s="3">
        <f>[2]E8_SWBC!AF13</f>
        <v>121535.65568481896</v>
      </c>
      <c r="Z13" s="4">
        <f t="shared" si="0"/>
        <v>767.9730339747058</v>
      </c>
      <c r="AA13" s="4">
        <f t="shared" si="1"/>
        <v>0.16554490389756937</v>
      </c>
      <c r="AB13" s="4">
        <f t="shared" si="2"/>
        <v>0.15564531864449471</v>
      </c>
      <c r="AC13" s="4">
        <f t="shared" si="3"/>
        <v>120.62109003094692</v>
      </c>
      <c r="AD13" s="4">
        <f t="shared" si="4"/>
        <v>2.6001182168918252E-2</v>
      </c>
      <c r="AE13" s="4">
        <f t="shared" si="5"/>
        <v>2.4446311475216937E-2</v>
      </c>
      <c r="AF13" s="4">
        <f t="shared" si="6"/>
        <v>9.2583037616575589E-2</v>
      </c>
      <c r="AG13" s="4">
        <f t="shared" si="7"/>
        <v>0.93021529324424646</v>
      </c>
      <c r="AH13" s="1"/>
    </row>
    <row r="14" spans="1:34" x14ac:dyDescent="0.25">
      <c r="A14" s="2" t="str">
        <f>[1]CONTROL_YEARS!A24</f>
        <v/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 t="str">
        <f t="shared" si="0"/>
        <v/>
      </c>
      <c r="AA14" s="2" t="str">
        <f t="shared" si="1"/>
        <v/>
      </c>
      <c r="AB14" s="2" t="str">
        <f t="shared" si="2"/>
        <v/>
      </c>
      <c r="AC14" s="2" t="str">
        <f t="shared" si="3"/>
        <v/>
      </c>
      <c r="AD14" s="2" t="str">
        <f t="shared" si="4"/>
        <v/>
      </c>
      <c r="AE14" s="2" t="str">
        <f t="shared" si="5"/>
        <v/>
      </c>
      <c r="AF14" s="2" t="str">
        <f t="shared" si="6"/>
        <v/>
      </c>
      <c r="AG14" s="2" t="str">
        <f t="shared" si="7"/>
        <v/>
      </c>
      <c r="AH14" s="1"/>
    </row>
    <row r="15" spans="1:34" x14ac:dyDescent="0.25">
      <c r="A15" s="2" t="str">
        <f>[1]CONTROL_YEARS!A25</f>
        <v/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 t="str">
        <f t="shared" si="0"/>
        <v/>
      </c>
      <c r="AA15" s="2" t="str">
        <f t="shared" si="1"/>
        <v/>
      </c>
      <c r="AB15" s="2" t="str">
        <f t="shared" si="2"/>
        <v/>
      </c>
      <c r="AC15" s="2" t="str">
        <f t="shared" si="3"/>
        <v/>
      </c>
      <c r="AD15" s="2" t="str">
        <f t="shared" si="4"/>
        <v/>
      </c>
      <c r="AE15" s="2" t="str">
        <f t="shared" si="5"/>
        <v/>
      </c>
      <c r="AF15" s="2" t="str">
        <f t="shared" si="6"/>
        <v/>
      </c>
      <c r="AG15" s="2" t="str">
        <f t="shared" si="7"/>
        <v/>
      </c>
      <c r="AH15" s="1"/>
    </row>
    <row r="16" spans="1:34" x14ac:dyDescent="0.25">
      <c r="A16" s="2" t="str">
        <f>[1]CONTROL_YEARS!A26</f>
        <v/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 t="str">
        <f t="shared" si="0"/>
        <v/>
      </c>
      <c r="AA16" s="2" t="str">
        <f t="shared" si="1"/>
        <v/>
      </c>
      <c r="AB16" s="2" t="str">
        <f t="shared" si="2"/>
        <v/>
      </c>
      <c r="AC16" s="2" t="str">
        <f t="shared" si="3"/>
        <v/>
      </c>
      <c r="AD16" s="2" t="str">
        <f t="shared" si="4"/>
        <v/>
      </c>
      <c r="AE16" s="2" t="str">
        <f t="shared" si="5"/>
        <v/>
      </c>
      <c r="AF16" s="2" t="str">
        <f t="shared" si="6"/>
        <v/>
      </c>
      <c r="AG16" s="2" t="str">
        <f t="shared" si="7"/>
        <v/>
      </c>
      <c r="AH16" s="1"/>
    </row>
    <row r="17" spans="1:34" x14ac:dyDescent="0.25">
      <c r="A17" s="2" t="str">
        <f>[1]CONTROL_YEARS!A27</f>
        <v/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 t="str">
        <f t="shared" si="0"/>
        <v/>
      </c>
      <c r="AA17" s="2" t="str">
        <f t="shared" si="1"/>
        <v/>
      </c>
      <c r="AB17" s="2" t="str">
        <f t="shared" si="2"/>
        <v/>
      </c>
      <c r="AC17" s="2" t="str">
        <f t="shared" si="3"/>
        <v/>
      </c>
      <c r="AD17" s="2" t="str">
        <f t="shared" si="4"/>
        <v/>
      </c>
      <c r="AE17" s="2" t="str">
        <f t="shared" si="5"/>
        <v/>
      </c>
      <c r="AF17" s="2" t="str">
        <f t="shared" si="6"/>
        <v/>
      </c>
      <c r="AG17" s="2" t="str">
        <f t="shared" si="7"/>
        <v/>
      </c>
      <c r="AH17" s="1"/>
    </row>
    <row r="18" spans="1:34" x14ac:dyDescent="0.25">
      <c r="A18" s="2" t="str">
        <f>[1]CONTROL_YEARS!A28</f>
        <v/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 t="str">
        <f t="shared" si="0"/>
        <v/>
      </c>
      <c r="AA18" s="2" t="str">
        <f t="shared" si="1"/>
        <v/>
      </c>
      <c r="AB18" s="2" t="str">
        <f t="shared" si="2"/>
        <v/>
      </c>
      <c r="AC18" s="2" t="str">
        <f t="shared" si="3"/>
        <v/>
      </c>
      <c r="AD18" s="2" t="str">
        <f t="shared" si="4"/>
        <v/>
      </c>
      <c r="AE18" s="2" t="str">
        <f t="shared" si="5"/>
        <v/>
      </c>
      <c r="AF18" s="2" t="str">
        <f t="shared" si="6"/>
        <v/>
      </c>
      <c r="AG18" s="2" t="str">
        <f t="shared" si="7"/>
        <v/>
      </c>
      <c r="AH18" s="1"/>
    </row>
    <row r="19" spans="1:34" x14ac:dyDescent="0.25">
      <c r="A19" s="2" t="str">
        <f>[1]CONTROL_YEARS!A29</f>
        <v/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 t="str">
        <f t="shared" si="0"/>
        <v/>
      </c>
      <c r="AA19" s="2" t="str">
        <f t="shared" si="1"/>
        <v/>
      </c>
      <c r="AB19" s="2" t="str">
        <f t="shared" si="2"/>
        <v/>
      </c>
      <c r="AC19" s="2" t="str">
        <f t="shared" si="3"/>
        <v/>
      </c>
      <c r="AD19" s="2" t="str">
        <f t="shared" si="4"/>
        <v/>
      </c>
      <c r="AE19" s="2" t="str">
        <f t="shared" si="5"/>
        <v/>
      </c>
      <c r="AF19" s="2" t="str">
        <f t="shared" si="6"/>
        <v/>
      </c>
      <c r="AG19" s="2" t="str">
        <f t="shared" si="7"/>
        <v/>
      </c>
      <c r="AH19" s="1"/>
    </row>
    <row r="20" spans="1:34" x14ac:dyDescent="0.25">
      <c r="A20" s="2" t="str">
        <f>[1]CONTROL_YEARS!A30</f>
        <v/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 t="str">
        <f t="shared" si="0"/>
        <v/>
      </c>
      <c r="AA20" s="2" t="str">
        <f t="shared" si="1"/>
        <v/>
      </c>
      <c r="AB20" s="2" t="str">
        <f t="shared" si="2"/>
        <v/>
      </c>
      <c r="AC20" s="2" t="str">
        <f t="shared" si="3"/>
        <v/>
      </c>
      <c r="AD20" s="2" t="str">
        <f t="shared" si="4"/>
        <v/>
      </c>
      <c r="AE20" s="2" t="str">
        <f t="shared" si="5"/>
        <v/>
      </c>
      <c r="AF20" s="2" t="str">
        <f t="shared" si="6"/>
        <v/>
      </c>
      <c r="AG20" s="2" t="str">
        <f t="shared" si="7"/>
        <v/>
      </c>
      <c r="AH20" s="1"/>
    </row>
    <row r="21" spans="1:34" x14ac:dyDescent="0.25">
      <c r="A21" s="2" t="str">
        <f>[1]CONTROL_YEARS!A31</f>
        <v/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 t="str">
        <f t="shared" si="0"/>
        <v/>
      </c>
      <c r="AA21" s="2" t="str">
        <f t="shared" si="1"/>
        <v/>
      </c>
      <c r="AB21" s="2" t="str">
        <f t="shared" si="2"/>
        <v/>
      </c>
      <c r="AC21" s="2" t="str">
        <f t="shared" si="3"/>
        <v/>
      </c>
      <c r="AD21" s="2" t="str">
        <f t="shared" si="4"/>
        <v/>
      </c>
      <c r="AE21" s="2" t="str">
        <f t="shared" si="5"/>
        <v/>
      </c>
      <c r="AF21" s="2" t="str">
        <f t="shared" si="6"/>
        <v/>
      </c>
      <c r="AG21" s="2" t="str">
        <f t="shared" si="7"/>
        <v/>
      </c>
      <c r="AH21" s="1"/>
    </row>
    <row r="22" spans="1:34" x14ac:dyDescent="0.25">
      <c r="A22" s="2" t="str">
        <f>[1]CONTROL_YEARS!A32</f>
        <v/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 t="str">
        <f t="shared" si="0"/>
        <v/>
      </c>
      <c r="AA22" s="2" t="str">
        <f t="shared" si="1"/>
        <v/>
      </c>
      <c r="AB22" s="2" t="str">
        <f t="shared" si="2"/>
        <v/>
      </c>
      <c r="AC22" s="2" t="str">
        <f t="shared" si="3"/>
        <v/>
      </c>
      <c r="AD22" s="2" t="str">
        <f t="shared" si="4"/>
        <v/>
      </c>
      <c r="AE22" s="2" t="str">
        <f t="shared" si="5"/>
        <v/>
      </c>
      <c r="AF22" s="2" t="str">
        <f t="shared" si="6"/>
        <v/>
      </c>
      <c r="AG22" s="2" t="str">
        <f t="shared" si="7"/>
        <v/>
      </c>
      <c r="AH22" s="1"/>
    </row>
    <row r="23" spans="1:34" x14ac:dyDescent="0.25">
      <c r="A23" s="2" t="str">
        <f>[1]CONTROL_YEARS!A33</f>
        <v/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 t="str">
        <f t="shared" si="0"/>
        <v/>
      </c>
      <c r="AA23" s="2" t="str">
        <f t="shared" si="1"/>
        <v/>
      </c>
      <c r="AB23" s="2" t="str">
        <f t="shared" si="2"/>
        <v/>
      </c>
      <c r="AC23" s="2" t="str">
        <f t="shared" si="3"/>
        <v/>
      </c>
      <c r="AD23" s="2" t="str">
        <f t="shared" si="4"/>
        <v/>
      </c>
      <c r="AE23" s="2" t="str">
        <f t="shared" si="5"/>
        <v/>
      </c>
      <c r="AF23" s="2" t="str">
        <f t="shared" si="6"/>
        <v/>
      </c>
      <c r="AG23" s="2" t="str">
        <f t="shared" si="7"/>
        <v/>
      </c>
      <c r="AH23" s="1"/>
    </row>
    <row r="24" spans="1:34" x14ac:dyDescent="0.25">
      <c r="A24" s="2" t="str">
        <f>[1]CONTROL_YEARS!A34</f>
        <v/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 t="str">
        <f t="shared" si="0"/>
        <v/>
      </c>
      <c r="AA24" s="2" t="str">
        <f t="shared" si="1"/>
        <v/>
      </c>
      <c r="AB24" s="2" t="str">
        <f t="shared" si="2"/>
        <v/>
      </c>
      <c r="AC24" s="2" t="str">
        <f t="shared" si="3"/>
        <v/>
      </c>
      <c r="AD24" s="2" t="str">
        <f t="shared" si="4"/>
        <v/>
      </c>
      <c r="AE24" s="2" t="str">
        <f t="shared" si="5"/>
        <v/>
      </c>
      <c r="AF24" s="2" t="str">
        <f t="shared" si="6"/>
        <v/>
      </c>
      <c r="AG24" s="2" t="str">
        <f t="shared" si="7"/>
        <v/>
      </c>
      <c r="AH24" s="1"/>
    </row>
    <row r="25" spans="1:34" x14ac:dyDescent="0.25">
      <c r="A25" s="2" t="str">
        <f>[1]CONTROL_YEARS!A35</f>
        <v/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 t="str">
        <f t="shared" si="0"/>
        <v/>
      </c>
      <c r="AA25" s="2" t="str">
        <f t="shared" si="1"/>
        <v/>
      </c>
      <c r="AB25" s="2" t="str">
        <f t="shared" si="2"/>
        <v/>
      </c>
      <c r="AC25" s="2" t="str">
        <f t="shared" si="3"/>
        <v/>
      </c>
      <c r="AD25" s="2" t="str">
        <f t="shared" si="4"/>
        <v/>
      </c>
      <c r="AE25" s="2" t="str">
        <f t="shared" si="5"/>
        <v/>
      </c>
      <c r="AF25" s="2" t="str">
        <f t="shared" si="6"/>
        <v/>
      </c>
      <c r="AG25" s="2" t="str">
        <f t="shared" si="7"/>
        <v/>
      </c>
      <c r="AH25" s="1"/>
    </row>
    <row r="26" spans="1:34" x14ac:dyDescent="0.25">
      <c r="A26" s="2" t="str">
        <f>[1]CONTROL_YEARS!A36</f>
        <v/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 t="str">
        <f t="shared" si="0"/>
        <v/>
      </c>
      <c r="AA26" s="2" t="str">
        <f t="shared" si="1"/>
        <v/>
      </c>
      <c r="AB26" s="2" t="str">
        <f t="shared" si="2"/>
        <v/>
      </c>
      <c r="AC26" s="2" t="str">
        <f t="shared" si="3"/>
        <v/>
      </c>
      <c r="AD26" s="2" t="str">
        <f t="shared" si="4"/>
        <v/>
      </c>
      <c r="AE26" s="2" t="str">
        <f t="shared" si="5"/>
        <v/>
      </c>
      <c r="AF26" s="2" t="str">
        <f t="shared" si="6"/>
        <v/>
      </c>
      <c r="AG26" s="2" t="str">
        <f t="shared" si="7"/>
        <v/>
      </c>
      <c r="AH26" s="1"/>
    </row>
    <row r="27" spans="1:34" x14ac:dyDescent="0.25">
      <c r="A27" s="2" t="str">
        <f>[1]CONTROL_YEARS!A37</f>
        <v/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 t="str">
        <f t="shared" si="0"/>
        <v/>
      </c>
      <c r="AA27" s="2" t="str">
        <f t="shared" si="1"/>
        <v/>
      </c>
      <c r="AB27" s="2" t="str">
        <f t="shared" si="2"/>
        <v/>
      </c>
      <c r="AC27" s="2" t="str">
        <f t="shared" si="3"/>
        <v/>
      </c>
      <c r="AD27" s="2" t="str">
        <f t="shared" si="4"/>
        <v/>
      </c>
      <c r="AE27" s="2" t="str">
        <f t="shared" si="5"/>
        <v/>
      </c>
      <c r="AF27" s="2" t="str">
        <f t="shared" si="6"/>
        <v/>
      </c>
      <c r="AG27" s="2" t="str">
        <f t="shared" si="7"/>
        <v/>
      </c>
      <c r="AH27" s="1"/>
    </row>
    <row r="28" spans="1:34" x14ac:dyDescent="0.25">
      <c r="A28" s="2" t="str">
        <f>[1]CONTROL_YEARS!A38</f>
        <v/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 t="str">
        <f t="shared" si="0"/>
        <v/>
      </c>
      <c r="AA28" s="2" t="str">
        <f t="shared" si="1"/>
        <v/>
      </c>
      <c r="AB28" s="2" t="str">
        <f t="shared" si="2"/>
        <v/>
      </c>
      <c r="AC28" s="2" t="str">
        <f t="shared" si="3"/>
        <v/>
      </c>
      <c r="AD28" s="2" t="str">
        <f t="shared" si="4"/>
        <v/>
      </c>
      <c r="AE28" s="2" t="str">
        <f t="shared" si="5"/>
        <v/>
      </c>
      <c r="AF28" s="2" t="str">
        <f t="shared" si="6"/>
        <v/>
      </c>
      <c r="AG28" s="2" t="str">
        <f t="shared" si="7"/>
        <v/>
      </c>
      <c r="AH28" s="1"/>
    </row>
    <row r="29" spans="1:34" x14ac:dyDescent="0.25">
      <c r="A29" s="2" t="str">
        <f>[1]CONTROL_YEARS!A39</f>
        <v/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 t="str">
        <f t="shared" si="0"/>
        <v/>
      </c>
      <c r="AA29" s="2" t="str">
        <f t="shared" si="1"/>
        <v/>
      </c>
      <c r="AB29" s="2" t="str">
        <f t="shared" si="2"/>
        <v/>
      </c>
      <c r="AC29" s="2" t="str">
        <f t="shared" si="3"/>
        <v/>
      </c>
      <c r="AD29" s="2" t="str">
        <f t="shared" si="4"/>
        <v/>
      </c>
      <c r="AE29" s="2" t="str">
        <f t="shared" si="5"/>
        <v/>
      </c>
      <c r="AF29" s="2" t="str">
        <f t="shared" si="6"/>
        <v/>
      </c>
      <c r="AG29" s="2" t="str">
        <f t="shared" si="7"/>
        <v/>
      </c>
      <c r="AH29" s="1"/>
    </row>
    <row r="30" spans="1:34" x14ac:dyDescent="0.25">
      <c r="A30" s="2" t="str">
        <f>[1]CONTROL_YEARS!A40</f>
        <v/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 t="str">
        <f t="shared" si="0"/>
        <v/>
      </c>
      <c r="AA30" s="2" t="str">
        <f t="shared" si="1"/>
        <v/>
      </c>
      <c r="AB30" s="2" t="str">
        <f t="shared" si="2"/>
        <v/>
      </c>
      <c r="AC30" s="2" t="str">
        <f t="shared" si="3"/>
        <v/>
      </c>
      <c r="AD30" s="2" t="str">
        <f t="shared" si="4"/>
        <v/>
      </c>
      <c r="AE30" s="2" t="str">
        <f t="shared" si="5"/>
        <v/>
      </c>
      <c r="AF30" s="2" t="str">
        <f t="shared" si="6"/>
        <v/>
      </c>
      <c r="AG30" s="2" t="str">
        <f t="shared" si="7"/>
        <v/>
      </c>
      <c r="AH30" s="1"/>
    </row>
    <row r="31" spans="1:34" x14ac:dyDescent="0.25">
      <c r="A31" s="2" t="str">
        <f>[1]CONTROL_YEARS!A41</f>
        <v/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 t="str">
        <f t="shared" si="0"/>
        <v/>
      </c>
      <c r="AA31" s="2" t="str">
        <f t="shared" si="1"/>
        <v/>
      </c>
      <c r="AB31" s="2" t="str">
        <f t="shared" si="2"/>
        <v/>
      </c>
      <c r="AC31" s="2" t="str">
        <f t="shared" si="3"/>
        <v/>
      </c>
      <c r="AD31" s="2" t="str">
        <f t="shared" si="4"/>
        <v/>
      </c>
      <c r="AE31" s="2" t="str">
        <f t="shared" si="5"/>
        <v/>
      </c>
      <c r="AF31" s="2" t="str">
        <f t="shared" si="6"/>
        <v/>
      </c>
      <c r="AG31" s="2" t="str">
        <f t="shared" si="7"/>
        <v/>
      </c>
      <c r="AH31" s="1"/>
    </row>
    <row r="32" spans="1:34" x14ac:dyDescent="0.25">
      <c r="A32" s="2" t="str">
        <f>[1]CONTROL_YEARS!A42</f>
        <v/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 t="str">
        <f t="shared" si="0"/>
        <v/>
      </c>
      <c r="AA32" s="2" t="str">
        <f t="shared" si="1"/>
        <v/>
      </c>
      <c r="AB32" s="2" t="str">
        <f t="shared" si="2"/>
        <v/>
      </c>
      <c r="AC32" s="2" t="str">
        <f t="shared" si="3"/>
        <v/>
      </c>
      <c r="AD32" s="2" t="str">
        <f t="shared" si="4"/>
        <v/>
      </c>
      <c r="AE32" s="2" t="str">
        <f t="shared" si="5"/>
        <v/>
      </c>
      <c r="AF32" s="2" t="str">
        <f t="shared" si="6"/>
        <v/>
      </c>
      <c r="AG32" s="2" t="str">
        <f t="shared" si="7"/>
        <v/>
      </c>
      <c r="AH32" s="1"/>
    </row>
    <row r="33" spans="1:34" x14ac:dyDescent="0.25">
      <c r="A33" s="2" t="str">
        <f>[1]CONTROL_YEARS!A43</f>
        <v/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 t="str">
        <f t="shared" si="0"/>
        <v/>
      </c>
      <c r="AA33" s="2" t="str">
        <f t="shared" si="1"/>
        <v/>
      </c>
      <c r="AB33" s="2" t="str">
        <f t="shared" si="2"/>
        <v/>
      </c>
      <c r="AC33" s="2" t="str">
        <f t="shared" si="3"/>
        <v/>
      </c>
      <c r="AD33" s="2" t="str">
        <f t="shared" si="4"/>
        <v/>
      </c>
      <c r="AE33" s="2" t="str">
        <f t="shared" si="5"/>
        <v/>
      </c>
      <c r="AF33" s="2" t="str">
        <f t="shared" si="6"/>
        <v/>
      </c>
      <c r="AG33" s="2" t="str">
        <f t="shared" si="7"/>
        <v/>
      </c>
      <c r="AH3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SD_SE_CALC_INDICATORS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Antónia Fortes Duarte Ferreira</dc:creator>
  <cp:lastModifiedBy>Antónia Fortes Duarte Ferreira</cp:lastModifiedBy>
  <dcterms:created xsi:type="dcterms:W3CDTF">2026-07-21T12:32:51Z</dcterms:created>
  <dcterms:modified xsi:type="dcterms:W3CDTF">2026-07-21T13:03:49Z</dcterms:modified>
</cp:coreProperties>
</file>