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Backup_words\Tool\Done\UPLOAD\"/>
    </mc:Choice>
  </mc:AlternateContent>
  <xr:revisionPtr revIDLastSave="0" documentId="13_ncr:1_{0CB24583-3C55-466B-A9EE-2BEDB6612FAC}" xr6:coauthVersionLast="47" xr6:coauthVersionMax="47" xr10:uidLastSave="{00000000-0000-0000-0000-000000000000}"/>
  <bookViews>
    <workbookView xWindow="-120" yWindow="-120" windowWidth="19440" windowHeight="11520" activeTab="4" xr2:uid="{9C1A54C4-26C6-40E6-B8E7-ECF710181242}"/>
  </bookViews>
  <sheets>
    <sheet name="SD_SE_CALC_INDICATORS" sheetId="6" r:id="rId1"/>
    <sheet name="GIR" sheetId="9" r:id="rId2"/>
    <sheet name="DPF" sheetId="10" r:id="rId3"/>
    <sheet name="PDS" sheetId="8" r:id="rId4"/>
    <sheet name="ISF" sheetId="2" r:id="rId5"/>
    <sheet name="SWBC" sheetId="3" r:id="rId6"/>
    <sheet name="ALAS" sheetId="5" r:id="rId7"/>
    <sheet name="CRI" sheetId="4" r:id="rId8"/>
  </sheets>
  <externalReferences>
    <externalReference r:id="rId9"/>
    <externalReference r:id="rId10"/>
  </externalReferences>
  <definedNames>
    <definedName name="_xlnm._FilterDatabase" localSheetId="2" hidden="1">DPF!$B$14:$AW$21</definedName>
    <definedName name="_xlnm._FilterDatabase" localSheetId="5" hidden="1">SWBC!$M$3:$S$317</definedName>
  </definedNames>
  <calcPr calcId="191029"/>
  <pivotCaches>
    <pivotCache cacheId="0" r:id="rId11"/>
    <pivotCache cacheId="1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6" i="10" l="1"/>
  <c r="P26" i="10"/>
  <c r="Q26" i="10"/>
  <c r="R26" i="10"/>
  <c r="S26" i="10"/>
  <c r="P27" i="10"/>
  <c r="Q27" i="10"/>
  <c r="R27" i="10"/>
  <c r="S27" i="10"/>
  <c r="P28" i="10"/>
  <c r="Q28" i="10"/>
  <c r="R28" i="10"/>
  <c r="S28" i="10"/>
  <c r="P29" i="10"/>
  <c r="Q29" i="10"/>
  <c r="R29" i="10"/>
  <c r="S29" i="10"/>
  <c r="P30" i="10"/>
  <c r="Q30" i="10"/>
  <c r="R30" i="10"/>
  <c r="S30" i="10"/>
  <c r="P31" i="10"/>
  <c r="Q31" i="10"/>
  <c r="R31" i="10"/>
  <c r="S31" i="10"/>
  <c r="P32" i="10"/>
  <c r="Q32" i="10"/>
  <c r="R32" i="10"/>
  <c r="S32" i="10"/>
  <c r="P33" i="10"/>
  <c r="Q33" i="10"/>
  <c r="R33" i="10"/>
  <c r="S33" i="10"/>
  <c r="P34" i="10"/>
  <c r="Q34" i="10"/>
  <c r="R34" i="10"/>
  <c r="S34" i="10"/>
  <c r="P35" i="10"/>
  <c r="Q35" i="10"/>
  <c r="R35" i="10"/>
  <c r="S35" i="10"/>
  <c r="G26" i="10"/>
  <c r="C7" i="9"/>
  <c r="C22" i="9"/>
  <c r="C24" i="9" s="1"/>
  <c r="C23" i="9"/>
  <c r="C25" i="9" s="1"/>
  <c r="G35" i="10"/>
  <c r="G34" i="10"/>
  <c r="G33" i="10"/>
  <c r="G32" i="10"/>
  <c r="G31" i="10"/>
  <c r="T31" i="10" s="1"/>
  <c r="G30" i="10"/>
  <c r="G29" i="10"/>
  <c r="G28" i="10"/>
  <c r="G27" i="10"/>
  <c r="AV21" i="10"/>
  <c r="AU21" i="10"/>
  <c r="AT21" i="10"/>
  <c r="AS21" i="10"/>
  <c r="AR21" i="10"/>
  <c r="AQ21" i="10"/>
  <c r="AP21" i="10"/>
  <c r="AO21" i="10"/>
  <c r="AN21" i="10"/>
  <c r="AM21" i="10"/>
  <c r="AJ21" i="10"/>
  <c r="AI21" i="10"/>
  <c r="AH21" i="10"/>
  <c r="AG21" i="10"/>
  <c r="AF21" i="10"/>
  <c r="AE21" i="10"/>
  <c r="AD21" i="10"/>
  <c r="AC21" i="10"/>
  <c r="AB21" i="10"/>
  <c r="AA21" i="10"/>
  <c r="X21" i="10"/>
  <c r="W21" i="10"/>
  <c r="V21" i="10"/>
  <c r="U21" i="10"/>
  <c r="T21" i="10"/>
  <c r="S21" i="10"/>
  <c r="R21" i="10"/>
  <c r="Q21" i="10"/>
  <c r="P21" i="10"/>
  <c r="O21" i="10"/>
  <c r="L21" i="10"/>
  <c r="K21" i="10"/>
  <c r="J21" i="10"/>
  <c r="I21" i="10"/>
  <c r="H21" i="10"/>
  <c r="G21" i="10"/>
  <c r="F21" i="10"/>
  <c r="E21" i="10"/>
  <c r="D21" i="10"/>
  <c r="C21" i="10"/>
  <c r="AV20" i="10"/>
  <c r="AU20" i="10"/>
  <c r="AT20" i="10"/>
  <c r="AS20" i="10"/>
  <c r="AR20" i="10"/>
  <c r="AQ20" i="10"/>
  <c r="AP20" i="10"/>
  <c r="AO20" i="10"/>
  <c r="AN20" i="10"/>
  <c r="AM20" i="10"/>
  <c r="AJ20" i="10"/>
  <c r="AI20" i="10"/>
  <c r="AH20" i="10"/>
  <c r="AG20" i="10"/>
  <c r="AF20" i="10"/>
  <c r="AE20" i="10"/>
  <c r="AD20" i="10"/>
  <c r="AC20" i="10"/>
  <c r="AB20" i="10"/>
  <c r="AA20" i="10"/>
  <c r="X20" i="10"/>
  <c r="W20" i="10"/>
  <c r="V20" i="10"/>
  <c r="U20" i="10"/>
  <c r="T20" i="10"/>
  <c r="S20" i="10"/>
  <c r="R20" i="10"/>
  <c r="Q20" i="10"/>
  <c r="P20" i="10"/>
  <c r="O20" i="10"/>
  <c r="L20" i="10"/>
  <c r="K20" i="10"/>
  <c r="J20" i="10"/>
  <c r="I20" i="10"/>
  <c r="H20" i="10"/>
  <c r="G20" i="10"/>
  <c r="F20" i="10"/>
  <c r="E20" i="10"/>
  <c r="D20" i="10"/>
  <c r="C20" i="10"/>
  <c r="AV19" i="10"/>
  <c r="AU19" i="10"/>
  <c r="AT19" i="10"/>
  <c r="AS19" i="10"/>
  <c r="AR19" i="10"/>
  <c r="AQ19" i="10"/>
  <c r="AP19" i="10"/>
  <c r="AO19" i="10"/>
  <c r="AN19" i="10"/>
  <c r="AM19" i="10"/>
  <c r="AJ19" i="10"/>
  <c r="AI19" i="10"/>
  <c r="AH19" i="10"/>
  <c r="AG19" i="10"/>
  <c r="AF19" i="10"/>
  <c r="AE19" i="10"/>
  <c r="AD19" i="10"/>
  <c r="AC19" i="10"/>
  <c r="AB19" i="10"/>
  <c r="AA19" i="10"/>
  <c r="X19" i="10"/>
  <c r="W19" i="10"/>
  <c r="V19" i="10"/>
  <c r="U19" i="10"/>
  <c r="T19" i="10"/>
  <c r="S19" i="10"/>
  <c r="R19" i="10"/>
  <c r="Q19" i="10"/>
  <c r="P19" i="10"/>
  <c r="O19" i="10"/>
  <c r="L19" i="10"/>
  <c r="K19" i="10"/>
  <c r="J19" i="10"/>
  <c r="I19" i="10"/>
  <c r="H19" i="10"/>
  <c r="G19" i="10"/>
  <c r="F19" i="10"/>
  <c r="E19" i="10"/>
  <c r="D19" i="10"/>
  <c r="C19" i="10"/>
  <c r="AV18" i="10"/>
  <c r="AU18" i="10"/>
  <c r="AT18" i="10"/>
  <c r="AS18" i="10"/>
  <c r="AR18" i="10"/>
  <c r="AQ18" i="10"/>
  <c r="AP18" i="10"/>
  <c r="AO18" i="10"/>
  <c r="AN18" i="10"/>
  <c r="AM18" i="10"/>
  <c r="AJ18" i="10"/>
  <c r="AI18" i="10"/>
  <c r="AH18" i="10"/>
  <c r="AG18" i="10"/>
  <c r="AF18" i="10"/>
  <c r="AE18" i="10"/>
  <c r="AD18" i="10"/>
  <c r="AC18" i="10"/>
  <c r="AB18" i="10"/>
  <c r="AA18" i="10"/>
  <c r="X18" i="10"/>
  <c r="W18" i="10"/>
  <c r="V18" i="10"/>
  <c r="U18" i="10"/>
  <c r="T18" i="10"/>
  <c r="S18" i="10"/>
  <c r="R18" i="10"/>
  <c r="Q18" i="10"/>
  <c r="P18" i="10"/>
  <c r="O18" i="10"/>
  <c r="L18" i="10"/>
  <c r="K18" i="10"/>
  <c r="J18" i="10"/>
  <c r="I18" i="10"/>
  <c r="H18" i="10"/>
  <c r="G18" i="10"/>
  <c r="F18" i="10"/>
  <c r="E18" i="10"/>
  <c r="D18" i="10"/>
  <c r="C18" i="10"/>
  <c r="AV17" i="10"/>
  <c r="AU17" i="10"/>
  <c r="AT17" i="10"/>
  <c r="AS17" i="10"/>
  <c r="AR17" i="10"/>
  <c r="AQ17" i="10"/>
  <c r="AP17" i="10"/>
  <c r="AO17" i="10"/>
  <c r="AN17" i="10"/>
  <c r="AM17" i="10"/>
  <c r="AJ17" i="10"/>
  <c r="AI17" i="10"/>
  <c r="AH17" i="10"/>
  <c r="AG17" i="10"/>
  <c r="AF17" i="10"/>
  <c r="AE17" i="10"/>
  <c r="AD17" i="10"/>
  <c r="AC17" i="10"/>
  <c r="AB17" i="10"/>
  <c r="AA17" i="10"/>
  <c r="X17" i="10"/>
  <c r="W17" i="10"/>
  <c r="V17" i="10"/>
  <c r="U17" i="10"/>
  <c r="T17" i="10"/>
  <c r="S17" i="10"/>
  <c r="R17" i="10"/>
  <c r="Q17" i="10"/>
  <c r="P17" i="10"/>
  <c r="O17" i="10"/>
  <c r="L17" i="10"/>
  <c r="K17" i="10"/>
  <c r="J17" i="10"/>
  <c r="I17" i="10"/>
  <c r="H17" i="10"/>
  <c r="G17" i="10"/>
  <c r="F17" i="10"/>
  <c r="E17" i="10"/>
  <c r="D17" i="10"/>
  <c r="C17" i="10"/>
  <c r="AV16" i="10"/>
  <c r="AU16" i="10"/>
  <c r="AT16" i="10"/>
  <c r="AS16" i="10"/>
  <c r="AR16" i="10"/>
  <c r="AQ16" i="10"/>
  <c r="AP16" i="10"/>
  <c r="AO16" i="10"/>
  <c r="AN16" i="10"/>
  <c r="AM16" i="10"/>
  <c r="AJ16" i="10"/>
  <c r="AI16" i="10"/>
  <c r="AH16" i="10"/>
  <c r="AG16" i="10"/>
  <c r="AF16" i="10"/>
  <c r="AE16" i="10"/>
  <c r="AD16" i="10"/>
  <c r="AC16" i="10"/>
  <c r="AB16" i="10"/>
  <c r="AA16" i="10"/>
  <c r="X16" i="10"/>
  <c r="W16" i="10"/>
  <c r="V16" i="10"/>
  <c r="U16" i="10"/>
  <c r="T16" i="10"/>
  <c r="S16" i="10"/>
  <c r="R16" i="10"/>
  <c r="Q16" i="10"/>
  <c r="P16" i="10"/>
  <c r="O16" i="10"/>
  <c r="L16" i="10"/>
  <c r="K16" i="10"/>
  <c r="J16" i="10"/>
  <c r="I16" i="10"/>
  <c r="H16" i="10"/>
  <c r="G16" i="10"/>
  <c r="F16" i="10"/>
  <c r="E16" i="10"/>
  <c r="D16" i="10"/>
  <c r="AV15" i="10"/>
  <c r="AU15" i="10"/>
  <c r="AT15" i="10"/>
  <c r="AS15" i="10"/>
  <c r="AR15" i="10"/>
  <c r="AQ15" i="10"/>
  <c r="AP15" i="10"/>
  <c r="AO15" i="10"/>
  <c r="AN15" i="10"/>
  <c r="AM15" i="10"/>
  <c r="AJ15" i="10"/>
  <c r="AI15" i="10"/>
  <c r="AH15" i="10"/>
  <c r="AG15" i="10"/>
  <c r="AF15" i="10"/>
  <c r="AE15" i="10"/>
  <c r="AD15" i="10"/>
  <c r="AC15" i="10"/>
  <c r="AB15" i="10"/>
  <c r="AA15" i="10"/>
  <c r="X15" i="10"/>
  <c r="W15" i="10"/>
  <c r="V15" i="10"/>
  <c r="U15" i="10"/>
  <c r="T15" i="10"/>
  <c r="S15" i="10"/>
  <c r="R15" i="10"/>
  <c r="Q15" i="10"/>
  <c r="P15" i="10"/>
  <c r="O15" i="10"/>
  <c r="L15" i="10"/>
  <c r="K15" i="10"/>
  <c r="J15" i="10"/>
  <c r="I15" i="10"/>
  <c r="H15" i="10"/>
  <c r="G15" i="10"/>
  <c r="F15" i="10"/>
  <c r="E15" i="10"/>
  <c r="D15" i="10"/>
  <c r="C15" i="10"/>
  <c r="L23" i="9"/>
  <c r="L25" i="9" s="1"/>
  <c r="K23" i="9"/>
  <c r="K25" i="9" s="1"/>
  <c r="J23" i="9"/>
  <c r="J25" i="9" s="1"/>
  <c r="I23" i="9"/>
  <c r="I25" i="9" s="1"/>
  <c r="H23" i="9"/>
  <c r="H25" i="9" s="1"/>
  <c r="G23" i="9"/>
  <c r="G25" i="9" s="1"/>
  <c r="F23" i="9"/>
  <c r="F25" i="9" s="1"/>
  <c r="E23" i="9"/>
  <c r="E25" i="9" s="1"/>
  <c r="D23" i="9"/>
  <c r="D25" i="9" s="1"/>
  <c r="L22" i="9"/>
  <c r="L24" i="9" s="1"/>
  <c r="K22" i="9"/>
  <c r="K24" i="9" s="1"/>
  <c r="J22" i="9"/>
  <c r="J24" i="9" s="1"/>
  <c r="I22" i="9"/>
  <c r="I24" i="9" s="1"/>
  <c r="H22" i="9"/>
  <c r="H24" i="9" s="1"/>
  <c r="G22" i="9"/>
  <c r="G24" i="9" s="1"/>
  <c r="F22" i="9"/>
  <c r="F24" i="9" s="1"/>
  <c r="E22" i="9"/>
  <c r="E24" i="9" s="1"/>
  <c r="D22" i="9"/>
  <c r="D24" i="9" s="1"/>
  <c r="L10" i="9"/>
  <c r="K10" i="9"/>
  <c r="J10" i="9"/>
  <c r="I10" i="9"/>
  <c r="H10" i="9"/>
  <c r="G10" i="9"/>
  <c r="F10" i="9"/>
  <c r="E10" i="9"/>
  <c r="D10" i="9"/>
  <c r="C10" i="9"/>
  <c r="L9" i="9"/>
  <c r="K9" i="9"/>
  <c r="J9" i="9"/>
  <c r="I9" i="9"/>
  <c r="H9" i="9"/>
  <c r="G9" i="9"/>
  <c r="F9" i="9"/>
  <c r="E9" i="9"/>
  <c r="D9" i="9"/>
  <c r="C9" i="9"/>
  <c r="C11" i="9" s="1"/>
  <c r="L8" i="9"/>
  <c r="K8" i="9"/>
  <c r="J8" i="9"/>
  <c r="I8" i="9"/>
  <c r="H8" i="9"/>
  <c r="G8" i="9"/>
  <c r="F8" i="9"/>
  <c r="E8" i="9"/>
  <c r="D8" i="9"/>
  <c r="C8" i="9"/>
  <c r="L7" i="9"/>
  <c r="K7" i="9"/>
  <c r="J7" i="9"/>
  <c r="I7" i="9"/>
  <c r="H7" i="9"/>
  <c r="G7" i="9"/>
  <c r="F7" i="9"/>
  <c r="E7" i="9"/>
  <c r="D7" i="9"/>
  <c r="O6" i="8"/>
  <c r="O15" i="8"/>
  <c r="O14" i="8"/>
  <c r="O13" i="8"/>
  <c r="O12" i="8"/>
  <c r="O11" i="8"/>
  <c r="O10" i="8"/>
  <c r="O9" i="8"/>
  <c r="O8" i="8"/>
  <c r="O7" i="8"/>
  <c r="AB22" i="10" l="1"/>
  <c r="S22" i="10"/>
  <c r="D11" i="9"/>
  <c r="H11" i="9"/>
  <c r="I11" i="9"/>
  <c r="T28" i="10"/>
  <c r="E11" i="9"/>
  <c r="AE22" i="10"/>
  <c r="F11" i="9"/>
  <c r="G11" i="9"/>
  <c r="J11" i="9"/>
  <c r="T29" i="10"/>
  <c r="AC22" i="10"/>
  <c r="T32" i="10"/>
  <c r="H22" i="10"/>
  <c r="T33" i="10"/>
  <c r="U27" i="10"/>
  <c r="AG22" i="10"/>
  <c r="AI22" i="10"/>
  <c r="U26" i="10"/>
  <c r="T34" i="10"/>
  <c r="U29" i="10"/>
  <c r="U33" i="10"/>
  <c r="U31" i="10"/>
  <c r="U35" i="10"/>
  <c r="T26" i="10"/>
  <c r="T35" i="10"/>
  <c r="U30" i="10"/>
  <c r="T30" i="10"/>
  <c r="U34" i="10"/>
  <c r="L22" i="10"/>
  <c r="U32" i="10"/>
  <c r="U28" i="10"/>
  <c r="AT22" i="10"/>
  <c r="C22" i="10"/>
  <c r="E22" i="10"/>
  <c r="T27" i="10"/>
  <c r="AD22" i="10"/>
  <c r="G22" i="10"/>
  <c r="AV22" i="10"/>
  <c r="AQ22" i="10"/>
  <c r="AR22" i="10"/>
  <c r="AS22" i="10"/>
  <c r="AU22" i="10"/>
  <c r="AM22" i="10"/>
  <c r="AN22" i="10"/>
  <c r="AO22" i="10"/>
  <c r="AP22" i="10"/>
  <c r="AA22" i="10"/>
  <c r="AF22" i="10"/>
  <c r="AH22" i="10"/>
  <c r="AJ22" i="10"/>
  <c r="X22" i="10"/>
  <c r="T22" i="10"/>
  <c r="U22" i="10"/>
  <c r="V22" i="10"/>
  <c r="W22" i="10"/>
  <c r="O22" i="10"/>
  <c r="P22" i="10"/>
  <c r="Q22" i="10"/>
  <c r="R22" i="10"/>
  <c r="D22" i="10"/>
  <c r="I22" i="10"/>
  <c r="J22" i="10"/>
  <c r="K22" i="10"/>
  <c r="F22" i="10"/>
  <c r="K11" i="9"/>
  <c r="L11" i="9"/>
  <c r="O17" i="8"/>
  <c r="O16" i="8"/>
  <c r="AZ33" i="6" l="1"/>
  <c r="AU33" i="6"/>
  <c r="AP33" i="6"/>
  <c r="AK33" i="6"/>
  <c r="AG33" i="6"/>
  <c r="AF33" i="6"/>
  <c r="AE33" i="6"/>
  <c r="AD33" i="6"/>
  <c r="AC33" i="6"/>
  <c r="AB33" i="6"/>
  <c r="AA33" i="6"/>
  <c r="Z33" i="6"/>
  <c r="AZ32" i="6"/>
  <c r="AU32" i="6"/>
  <c r="AP32" i="6"/>
  <c r="AK32" i="6"/>
  <c r="AG32" i="6"/>
  <c r="AF32" i="6"/>
  <c r="AE32" i="6"/>
  <c r="AD32" i="6"/>
  <c r="AC32" i="6"/>
  <c r="AB32" i="6"/>
  <c r="AA32" i="6"/>
  <c r="Z32" i="6"/>
  <c r="AZ31" i="6"/>
  <c r="AU31" i="6"/>
  <c r="AP31" i="6"/>
  <c r="AK31" i="6"/>
  <c r="AG31" i="6"/>
  <c r="AF31" i="6"/>
  <c r="AE31" i="6"/>
  <c r="AD31" i="6"/>
  <c r="AC31" i="6"/>
  <c r="AB31" i="6"/>
  <c r="AA31" i="6"/>
  <c r="Z31" i="6"/>
  <c r="AZ30" i="6"/>
  <c r="AU30" i="6"/>
  <c r="AP30" i="6"/>
  <c r="AK30" i="6"/>
  <c r="AG30" i="6"/>
  <c r="AF30" i="6"/>
  <c r="AE30" i="6"/>
  <c r="AD30" i="6"/>
  <c r="AC30" i="6"/>
  <c r="AB30" i="6"/>
  <c r="AA30" i="6"/>
  <c r="Z30" i="6"/>
  <c r="AZ29" i="6"/>
  <c r="AU29" i="6"/>
  <c r="AP29" i="6"/>
  <c r="AK29" i="6"/>
  <c r="AG29" i="6"/>
  <c r="AF29" i="6"/>
  <c r="AE29" i="6"/>
  <c r="AD29" i="6"/>
  <c r="AC29" i="6"/>
  <c r="AB29" i="6"/>
  <c r="AA29" i="6"/>
  <c r="Z29" i="6"/>
  <c r="AZ28" i="6"/>
  <c r="AU28" i="6"/>
  <c r="AP28" i="6"/>
  <c r="AK28" i="6"/>
  <c r="AG28" i="6"/>
  <c r="AF28" i="6"/>
  <c r="AE28" i="6"/>
  <c r="AD28" i="6"/>
  <c r="AC28" i="6"/>
  <c r="AB28" i="6"/>
  <c r="AA28" i="6"/>
  <c r="Z28" i="6"/>
  <c r="AZ27" i="6"/>
  <c r="AU27" i="6"/>
  <c r="AP27" i="6"/>
  <c r="AK27" i="6"/>
  <c r="AG27" i="6"/>
  <c r="AF27" i="6"/>
  <c r="AE27" i="6"/>
  <c r="AD27" i="6"/>
  <c r="AC27" i="6"/>
  <c r="AB27" i="6"/>
  <c r="AA27" i="6"/>
  <c r="Z27" i="6"/>
  <c r="AZ26" i="6"/>
  <c r="AU26" i="6"/>
  <c r="AP26" i="6"/>
  <c r="AK26" i="6"/>
  <c r="AG26" i="6"/>
  <c r="AF26" i="6"/>
  <c r="AE26" i="6"/>
  <c r="AD26" i="6"/>
  <c r="AC26" i="6"/>
  <c r="AB26" i="6"/>
  <c r="AA26" i="6"/>
  <c r="Z26" i="6"/>
  <c r="AZ25" i="6"/>
  <c r="AU25" i="6"/>
  <c r="AP25" i="6"/>
  <c r="AK25" i="6"/>
  <c r="AG25" i="6"/>
  <c r="AF25" i="6"/>
  <c r="AE25" i="6"/>
  <c r="AD25" i="6"/>
  <c r="AC25" i="6"/>
  <c r="AB25" i="6"/>
  <c r="AA25" i="6"/>
  <c r="Z25" i="6"/>
  <c r="AZ24" i="6"/>
  <c r="AU24" i="6"/>
  <c r="AP24" i="6"/>
  <c r="AK24" i="6"/>
  <c r="AG24" i="6"/>
  <c r="AF24" i="6"/>
  <c r="AE24" i="6"/>
  <c r="AD24" i="6"/>
  <c r="AC24" i="6"/>
  <c r="AB24" i="6"/>
  <c r="AA24" i="6"/>
  <c r="Z24" i="6"/>
  <c r="AZ23" i="6"/>
  <c r="AU23" i="6"/>
  <c r="AP23" i="6"/>
  <c r="AK23" i="6"/>
  <c r="AG23" i="6"/>
  <c r="AF23" i="6"/>
  <c r="AE23" i="6"/>
  <c r="AD23" i="6"/>
  <c r="AC23" i="6"/>
  <c r="AB23" i="6"/>
  <c r="AA23" i="6"/>
  <c r="Z23" i="6"/>
  <c r="AZ22" i="6"/>
  <c r="AU22" i="6"/>
  <c r="AP22" i="6"/>
  <c r="AK22" i="6"/>
  <c r="AG22" i="6"/>
  <c r="AF22" i="6"/>
  <c r="AE22" i="6"/>
  <c r="AD22" i="6"/>
  <c r="AC22" i="6"/>
  <c r="AB22" i="6"/>
  <c r="AA22" i="6"/>
  <c r="Z22" i="6"/>
  <c r="AZ21" i="6"/>
  <c r="AU21" i="6"/>
  <c r="AP21" i="6"/>
  <c r="AK21" i="6"/>
  <c r="AG21" i="6"/>
  <c r="AF21" i="6"/>
  <c r="AE21" i="6"/>
  <c r="AD21" i="6"/>
  <c r="AC21" i="6"/>
  <c r="AB21" i="6"/>
  <c r="AA21" i="6"/>
  <c r="Z21" i="6"/>
  <c r="AZ20" i="6"/>
  <c r="AU20" i="6"/>
  <c r="AP20" i="6"/>
  <c r="AK20" i="6"/>
  <c r="AG20" i="6"/>
  <c r="AF20" i="6"/>
  <c r="AE20" i="6"/>
  <c r="AD20" i="6"/>
  <c r="AC20" i="6"/>
  <c r="AB20" i="6"/>
  <c r="AA20" i="6"/>
  <c r="Z20" i="6"/>
  <c r="AZ19" i="6"/>
  <c r="AU19" i="6"/>
  <c r="AP19" i="6"/>
  <c r="AK19" i="6"/>
  <c r="AG19" i="6"/>
  <c r="AF19" i="6"/>
  <c r="AE19" i="6"/>
  <c r="AD19" i="6"/>
  <c r="AC19" i="6"/>
  <c r="AB19" i="6"/>
  <c r="AA19" i="6"/>
  <c r="Z19" i="6"/>
  <c r="AZ18" i="6"/>
  <c r="AU18" i="6"/>
  <c r="AP18" i="6"/>
  <c r="AK18" i="6"/>
  <c r="AG18" i="6"/>
  <c r="AF18" i="6"/>
  <c r="AE18" i="6"/>
  <c r="AD18" i="6"/>
  <c r="AC18" i="6"/>
  <c r="AB18" i="6"/>
  <c r="AA18" i="6"/>
  <c r="Z18" i="6"/>
  <c r="AZ17" i="6"/>
  <c r="AU17" i="6"/>
  <c r="AP17" i="6"/>
  <c r="AK17" i="6"/>
  <c r="AG17" i="6"/>
  <c r="AF17" i="6"/>
  <c r="AE17" i="6"/>
  <c r="AD17" i="6"/>
  <c r="AC17" i="6"/>
  <c r="AB17" i="6"/>
  <c r="AA17" i="6"/>
  <c r="Z17" i="6"/>
  <c r="AZ16" i="6"/>
  <c r="AU16" i="6"/>
  <c r="AP16" i="6"/>
  <c r="AK16" i="6"/>
  <c r="AG16" i="6"/>
  <c r="AF16" i="6"/>
  <c r="AE16" i="6"/>
  <c r="AD16" i="6"/>
  <c r="AC16" i="6"/>
  <c r="AB16" i="6"/>
  <c r="AA16" i="6"/>
  <c r="Z16" i="6"/>
  <c r="AZ15" i="6"/>
  <c r="AU15" i="6"/>
  <c r="AP15" i="6"/>
  <c r="AK15" i="6"/>
  <c r="AG15" i="6"/>
  <c r="AF15" i="6"/>
  <c r="AE15" i="6"/>
  <c r="AD15" i="6"/>
  <c r="AC15" i="6"/>
  <c r="AB15" i="6"/>
  <c r="AA15" i="6"/>
  <c r="Z15" i="6"/>
  <c r="AZ14" i="6"/>
  <c r="AU14" i="6"/>
  <c r="AP14" i="6"/>
  <c r="AK14" i="6"/>
  <c r="AG14" i="6"/>
  <c r="AF14" i="6"/>
  <c r="AE14" i="6"/>
  <c r="AD14" i="6"/>
  <c r="AC14" i="6"/>
  <c r="AB14" i="6"/>
  <c r="AA14" i="6"/>
  <c r="Z14" i="6"/>
  <c r="BC13" i="6"/>
  <c r="BB13" i="6"/>
  <c r="BA13" i="6"/>
  <c r="AY13" i="6"/>
  <c r="AX13" i="6"/>
  <c r="AW13" i="6"/>
  <c r="AV13" i="6"/>
  <c r="AT13" i="6"/>
  <c r="AS13" i="6"/>
  <c r="AR13" i="6"/>
  <c r="AQ13" i="6"/>
  <c r="AK13" i="6"/>
  <c r="AG13" i="6"/>
  <c r="AF13" i="6"/>
  <c r="AE13" i="6"/>
  <c r="AD13" i="6"/>
  <c r="AC13" i="6"/>
  <c r="AB13" i="6"/>
  <c r="AA13" i="6"/>
  <c r="Z13" i="6"/>
  <c r="Y13" i="6"/>
  <c r="BF13" i="6" s="1"/>
  <c r="X13" i="6"/>
  <c r="BE13" i="6" s="1"/>
  <c r="BC12" i="6"/>
  <c r="BB12" i="6"/>
  <c r="BA12" i="6"/>
  <c r="AY12" i="6"/>
  <c r="AX12" i="6"/>
  <c r="AW12" i="6"/>
  <c r="AV12" i="6"/>
  <c r="AT12" i="6"/>
  <c r="AS12" i="6"/>
  <c r="AR12" i="6"/>
  <c r="AQ12" i="6"/>
  <c r="AK12" i="6"/>
  <c r="AG12" i="6"/>
  <c r="AF12" i="6"/>
  <c r="AE12" i="6"/>
  <c r="AD12" i="6"/>
  <c r="AC12" i="6"/>
  <c r="AB12" i="6"/>
  <c r="AA12" i="6"/>
  <c r="Z12" i="6"/>
  <c r="Y12" i="6"/>
  <c r="BF12" i="6" s="1"/>
  <c r="X12" i="6"/>
  <c r="BE12" i="6" s="1"/>
  <c r="BC11" i="6"/>
  <c r="BB11" i="6"/>
  <c r="BA11" i="6"/>
  <c r="AY11" i="6"/>
  <c r="AX11" i="6"/>
  <c r="AW11" i="6"/>
  <c r="AV11" i="6"/>
  <c r="AT11" i="6"/>
  <c r="AS11" i="6"/>
  <c r="AR11" i="6"/>
  <c r="AQ11" i="6"/>
  <c r="AK11" i="6"/>
  <c r="AG11" i="6"/>
  <c r="AF11" i="6"/>
  <c r="AE11" i="6"/>
  <c r="AD11" i="6"/>
  <c r="AC11" i="6"/>
  <c r="AB11" i="6"/>
  <c r="AA11" i="6"/>
  <c r="Z11" i="6"/>
  <c r="Y11" i="6"/>
  <c r="BF11" i="6" s="1"/>
  <c r="X11" i="6"/>
  <c r="BE11" i="6" s="1"/>
  <c r="BC10" i="6"/>
  <c r="BB10" i="6"/>
  <c r="BA10" i="6"/>
  <c r="AY10" i="6"/>
  <c r="AX10" i="6"/>
  <c r="AW10" i="6"/>
  <c r="AV10" i="6"/>
  <c r="AT10" i="6"/>
  <c r="AS10" i="6"/>
  <c r="AR10" i="6"/>
  <c r="AQ10" i="6"/>
  <c r="AK10" i="6"/>
  <c r="AG10" i="6"/>
  <c r="AF10" i="6"/>
  <c r="AE10" i="6"/>
  <c r="AD10" i="6"/>
  <c r="AC10" i="6"/>
  <c r="AB10" i="6"/>
  <c r="AA10" i="6"/>
  <c r="Z10" i="6"/>
  <c r="Y10" i="6"/>
  <c r="BF10" i="6" s="1"/>
  <c r="X10" i="6"/>
  <c r="BE10" i="6" s="1"/>
  <c r="BC9" i="6"/>
  <c r="BB9" i="6"/>
  <c r="BA9" i="6"/>
  <c r="AY9" i="6"/>
  <c r="AX9" i="6"/>
  <c r="AW9" i="6"/>
  <c r="AV9" i="6"/>
  <c r="AT9" i="6"/>
  <c r="AS9" i="6"/>
  <c r="AR9" i="6"/>
  <c r="AQ9" i="6"/>
  <c r="AK9" i="6"/>
  <c r="AG9" i="6"/>
  <c r="AF9" i="6"/>
  <c r="AE9" i="6"/>
  <c r="AD9" i="6"/>
  <c r="AC9" i="6"/>
  <c r="AB9" i="6"/>
  <c r="AA9" i="6"/>
  <c r="Z9" i="6"/>
  <c r="Y9" i="6"/>
  <c r="BF9" i="6" s="1"/>
  <c r="X9" i="6"/>
  <c r="BE9" i="6" s="1"/>
  <c r="BC8" i="6"/>
  <c r="BB8" i="6"/>
  <c r="BA8" i="6"/>
  <c r="AY8" i="6"/>
  <c r="AX8" i="6"/>
  <c r="AW8" i="6"/>
  <c r="AV8" i="6"/>
  <c r="AT8" i="6"/>
  <c r="AS8" i="6"/>
  <c r="AR8" i="6"/>
  <c r="AQ8" i="6"/>
  <c r="AK8" i="6"/>
  <c r="AG8" i="6"/>
  <c r="AF8" i="6"/>
  <c r="AE8" i="6"/>
  <c r="AD8" i="6"/>
  <c r="AC8" i="6"/>
  <c r="AB8" i="6"/>
  <c r="AA8" i="6"/>
  <c r="Z8" i="6"/>
  <c r="Y8" i="6"/>
  <c r="BF8" i="6" s="1"/>
  <c r="X8" i="6"/>
  <c r="BE8" i="6" s="1"/>
  <c r="BC7" i="6"/>
  <c r="BB7" i="6"/>
  <c r="BA7" i="6"/>
  <c r="AY7" i="6"/>
  <c r="AX7" i="6"/>
  <c r="AW7" i="6"/>
  <c r="AV7" i="6"/>
  <c r="AT7" i="6"/>
  <c r="AS7" i="6"/>
  <c r="AR7" i="6"/>
  <c r="AQ7" i="6"/>
  <c r="AK7" i="6"/>
  <c r="AG7" i="6"/>
  <c r="AF7" i="6"/>
  <c r="AE7" i="6"/>
  <c r="AD7" i="6"/>
  <c r="AC7" i="6"/>
  <c r="AB7" i="6"/>
  <c r="AA7" i="6"/>
  <c r="Z7" i="6"/>
  <c r="Y7" i="6"/>
  <c r="BF7" i="6" s="1"/>
  <c r="X7" i="6"/>
  <c r="BE7" i="6" s="1"/>
  <c r="BC6" i="6"/>
  <c r="BB6" i="6"/>
  <c r="BA6" i="6"/>
  <c r="AY6" i="6"/>
  <c r="AX6" i="6"/>
  <c r="AW6" i="6"/>
  <c r="AV6" i="6"/>
  <c r="AT6" i="6"/>
  <c r="AS6" i="6"/>
  <c r="AR6" i="6"/>
  <c r="AQ6" i="6"/>
  <c r="AK6" i="6"/>
  <c r="AG6" i="6"/>
  <c r="AF6" i="6"/>
  <c r="AE6" i="6"/>
  <c r="AD6" i="6"/>
  <c r="AC6" i="6"/>
  <c r="AB6" i="6"/>
  <c r="AA6" i="6"/>
  <c r="Z6" i="6"/>
  <c r="Y6" i="6"/>
  <c r="BF6" i="6" s="1"/>
  <c r="X6" i="6"/>
  <c r="BE6" i="6" s="1"/>
  <c r="BC5" i="6"/>
  <c r="BB5" i="6"/>
  <c r="BA5" i="6"/>
  <c r="AY5" i="6"/>
  <c r="AX5" i="6"/>
  <c r="AW5" i="6"/>
  <c r="AV5" i="6"/>
  <c r="AT5" i="6"/>
  <c r="AS5" i="6"/>
  <c r="AR5" i="6"/>
  <c r="AQ5" i="6"/>
  <c r="AK5" i="6"/>
  <c r="AG5" i="6"/>
  <c r="AF5" i="6"/>
  <c r="AE5" i="6"/>
  <c r="AD5" i="6"/>
  <c r="AC5" i="6"/>
  <c r="AB5" i="6"/>
  <c r="AA5" i="6"/>
  <c r="Z5" i="6"/>
  <c r="Y5" i="6"/>
  <c r="BF5" i="6" s="1"/>
  <c r="X5" i="6"/>
  <c r="BE5" i="6" s="1"/>
  <c r="BC4" i="6"/>
  <c r="BB4" i="6"/>
  <c r="BA4" i="6"/>
  <c r="AY4" i="6"/>
  <c r="AX4" i="6"/>
  <c r="AW4" i="6"/>
  <c r="AV4" i="6"/>
  <c r="AT4" i="6"/>
  <c r="AS4" i="6"/>
  <c r="AR4" i="6"/>
  <c r="AQ4" i="6"/>
  <c r="AL4" i="6"/>
  <c r="AK4" i="6" s="1"/>
  <c r="AG4" i="6"/>
  <c r="AF4" i="6"/>
  <c r="AE4" i="6"/>
  <c r="AD4" i="6"/>
  <c r="AC4" i="6"/>
  <c r="AB4" i="6"/>
  <c r="AA4" i="6"/>
  <c r="Z4" i="6"/>
  <c r="Y4" i="6"/>
  <c r="BF4" i="6" s="1"/>
  <c r="X4" i="6"/>
  <c r="BE4" i="6" s="1"/>
  <c r="E3" i="5"/>
  <c r="F3" i="5" s="1"/>
  <c r="E4" i="5"/>
  <c r="F4" i="5" s="1"/>
  <c r="E5" i="5"/>
  <c r="F5" i="5" s="1"/>
  <c r="D6" i="5"/>
  <c r="E6" i="5" s="1"/>
  <c r="F6" i="5" s="1"/>
  <c r="G10" i="4"/>
  <c r="P10" i="4" s="1"/>
  <c r="H10" i="4"/>
  <c r="Q10" i="4" s="1"/>
  <c r="I10" i="4"/>
  <c r="R10" i="4" s="1"/>
  <c r="O10" i="4"/>
  <c r="G11" i="4"/>
  <c r="P11" i="4" s="1"/>
  <c r="H11" i="4"/>
  <c r="Q11" i="4" s="1"/>
  <c r="I11" i="4"/>
  <c r="R11" i="4" s="1"/>
  <c r="O11" i="4"/>
  <c r="G12" i="4"/>
  <c r="P12" i="4" s="1"/>
  <c r="H12" i="4"/>
  <c r="Q12" i="4" s="1"/>
  <c r="I12" i="4"/>
  <c r="R12" i="4" s="1"/>
  <c r="O12" i="4"/>
  <c r="G13" i="4"/>
  <c r="P13" i="4" s="1"/>
  <c r="H13" i="4"/>
  <c r="Q13" i="4" s="1"/>
  <c r="I13" i="4"/>
  <c r="R13" i="4" s="1"/>
  <c r="O13" i="4"/>
  <c r="G14" i="4"/>
  <c r="P14" i="4" s="1"/>
  <c r="H14" i="4"/>
  <c r="Q14" i="4" s="1"/>
  <c r="I14" i="4"/>
  <c r="R14" i="4" s="1"/>
  <c r="O14" i="4"/>
  <c r="G15" i="4"/>
  <c r="P15" i="4" s="1"/>
  <c r="H15" i="4"/>
  <c r="Q15" i="4" s="1"/>
  <c r="I15" i="4"/>
  <c r="R15" i="4" s="1"/>
  <c r="O15" i="4"/>
  <c r="G16" i="4"/>
  <c r="P16" i="4" s="1"/>
  <c r="H16" i="4"/>
  <c r="Q16" i="4" s="1"/>
  <c r="I16" i="4"/>
  <c r="R16" i="4" s="1"/>
  <c r="O16" i="4"/>
  <c r="G17" i="4"/>
  <c r="P17" i="4" s="1"/>
  <c r="H17" i="4"/>
  <c r="Q17" i="4" s="1"/>
  <c r="I17" i="4"/>
  <c r="R17" i="4" s="1"/>
  <c r="O17" i="4"/>
  <c r="G18" i="4"/>
  <c r="P18" i="4" s="1"/>
  <c r="H18" i="4"/>
  <c r="Q18" i="4" s="1"/>
  <c r="I18" i="4"/>
  <c r="R18" i="4" s="1"/>
  <c r="O18" i="4"/>
  <c r="G19" i="4"/>
  <c r="P19" i="4" s="1"/>
  <c r="H19" i="4"/>
  <c r="Q19" i="4" s="1"/>
  <c r="I19" i="4"/>
  <c r="R19" i="4" s="1"/>
  <c r="O19" i="4"/>
  <c r="K4" i="3"/>
  <c r="T4" i="3"/>
  <c r="U4" i="3"/>
  <c r="V4" i="3" s="1"/>
  <c r="AH4" i="3"/>
  <c r="K5" i="3"/>
  <c r="P5" i="3"/>
  <c r="T5" i="3"/>
  <c r="AH5" i="3"/>
  <c r="K6" i="3"/>
  <c r="P6" i="3"/>
  <c r="T6" i="3"/>
  <c r="AH6" i="3"/>
  <c r="K7" i="3"/>
  <c r="X37" i="3" s="1"/>
  <c r="P7" i="3"/>
  <c r="T7" i="3"/>
  <c r="AH7" i="3"/>
  <c r="T8" i="3"/>
  <c r="U8" i="3"/>
  <c r="V8" i="3" s="1"/>
  <c r="AH8" i="3"/>
  <c r="P9" i="3"/>
  <c r="U9" i="3" s="1"/>
  <c r="V9" i="3" s="1"/>
  <c r="T9" i="3"/>
  <c r="AH9" i="3"/>
  <c r="P10" i="3"/>
  <c r="U10" i="3" s="1"/>
  <c r="V10" i="3" s="1"/>
  <c r="T10" i="3"/>
  <c r="AH10" i="3"/>
  <c r="P11" i="3"/>
  <c r="U11" i="3" s="1"/>
  <c r="V11" i="3" s="1"/>
  <c r="T11" i="3"/>
  <c r="AH11" i="3"/>
  <c r="T12" i="3"/>
  <c r="U12" i="3"/>
  <c r="V12" i="3" s="1"/>
  <c r="AH12" i="3"/>
  <c r="T13" i="3"/>
  <c r="U13" i="3"/>
  <c r="V13" i="3" s="1"/>
  <c r="AH13" i="3"/>
  <c r="P14" i="3"/>
  <c r="T14" i="3"/>
  <c r="P15" i="3"/>
  <c r="T15" i="3"/>
  <c r="P16" i="3"/>
  <c r="U16" i="3" s="1"/>
  <c r="V16" i="3" s="1"/>
  <c r="T16" i="3"/>
  <c r="P17" i="3"/>
  <c r="U17" i="3" s="1"/>
  <c r="V17" i="3" s="1"/>
  <c r="T17" i="3"/>
  <c r="P18" i="3"/>
  <c r="T18" i="3"/>
  <c r="P19" i="3"/>
  <c r="T19" i="3"/>
  <c r="T20" i="3"/>
  <c r="U20" i="3"/>
  <c r="V20" i="3" s="1"/>
  <c r="T21" i="3"/>
  <c r="U21" i="3"/>
  <c r="V21" i="3" s="1"/>
  <c r="P22" i="3"/>
  <c r="U22" i="3" s="1"/>
  <c r="V22" i="3" s="1"/>
  <c r="T22" i="3"/>
  <c r="P23" i="3"/>
  <c r="T23" i="3"/>
  <c r="P24" i="3"/>
  <c r="T24" i="3"/>
  <c r="T25" i="3"/>
  <c r="U25" i="3"/>
  <c r="V25" i="3" s="1"/>
  <c r="P26" i="3"/>
  <c r="U26" i="3" s="1"/>
  <c r="V26" i="3" s="1"/>
  <c r="T26" i="3"/>
  <c r="P27" i="3"/>
  <c r="U27" i="3" s="1"/>
  <c r="V27" i="3" s="1"/>
  <c r="T27" i="3"/>
  <c r="P28" i="3"/>
  <c r="U28" i="3" s="1"/>
  <c r="V28" i="3" s="1"/>
  <c r="T28" i="3"/>
  <c r="T29" i="3"/>
  <c r="U29" i="3"/>
  <c r="V29" i="3" s="1"/>
  <c r="P30" i="3"/>
  <c r="U30" i="3" s="1"/>
  <c r="V30" i="3" s="1"/>
  <c r="T30" i="3"/>
  <c r="P31" i="3"/>
  <c r="T31" i="3"/>
  <c r="P32" i="3"/>
  <c r="T32" i="3"/>
  <c r="T33" i="3"/>
  <c r="U33" i="3"/>
  <c r="V33" i="3" s="1"/>
  <c r="P34" i="3"/>
  <c r="U34" i="3" s="1"/>
  <c r="V34" i="3" s="1"/>
  <c r="T34" i="3"/>
  <c r="P35" i="3"/>
  <c r="U35" i="3" s="1"/>
  <c r="V35" i="3" s="1"/>
  <c r="T35" i="3"/>
  <c r="P36" i="3"/>
  <c r="T36" i="3"/>
  <c r="T37" i="3"/>
  <c r="U37" i="3"/>
  <c r="V37" i="3" s="1"/>
  <c r="T38" i="3"/>
  <c r="U38" i="3"/>
  <c r="V38" i="3" s="1"/>
  <c r="P39" i="3"/>
  <c r="U39" i="3" s="1"/>
  <c r="V39" i="3" s="1"/>
  <c r="T39" i="3"/>
  <c r="P40" i="3"/>
  <c r="U40" i="3" s="1"/>
  <c r="V40" i="3" s="1"/>
  <c r="T40" i="3"/>
  <c r="P41" i="3"/>
  <c r="U41" i="3" s="1"/>
  <c r="V41" i="3" s="1"/>
  <c r="T41" i="3"/>
  <c r="T42" i="3"/>
  <c r="U42" i="3"/>
  <c r="V42" i="3" s="1"/>
  <c r="T43" i="3"/>
  <c r="U43" i="3"/>
  <c r="V43" i="3" s="1"/>
  <c r="P44" i="3"/>
  <c r="T44" i="3"/>
  <c r="P45" i="3"/>
  <c r="T45" i="3"/>
  <c r="P46" i="3"/>
  <c r="U46" i="3" s="1"/>
  <c r="V46" i="3" s="1"/>
  <c r="T46" i="3"/>
  <c r="T47" i="3"/>
  <c r="U47" i="3"/>
  <c r="V47" i="3" s="1"/>
  <c r="P48" i="3"/>
  <c r="U48" i="3" s="1"/>
  <c r="V48" i="3" s="1"/>
  <c r="T48" i="3"/>
  <c r="P49" i="3"/>
  <c r="T49" i="3"/>
  <c r="P50" i="3"/>
  <c r="U50" i="3" s="1"/>
  <c r="V50" i="3" s="1"/>
  <c r="T50" i="3"/>
  <c r="T51" i="3"/>
  <c r="U51" i="3"/>
  <c r="V51" i="3" s="1"/>
  <c r="T52" i="3"/>
  <c r="U52" i="3"/>
  <c r="V52" i="3" s="1"/>
  <c r="P53" i="3"/>
  <c r="T53" i="3"/>
  <c r="P54" i="3"/>
  <c r="T54" i="3"/>
  <c r="P55" i="3"/>
  <c r="U55" i="3" s="1"/>
  <c r="V55" i="3" s="1"/>
  <c r="T55" i="3"/>
  <c r="T56" i="3"/>
  <c r="U56" i="3"/>
  <c r="V56" i="3" s="1"/>
  <c r="P57" i="3"/>
  <c r="T57" i="3"/>
  <c r="P58" i="3"/>
  <c r="T58" i="3"/>
  <c r="P59" i="3"/>
  <c r="U59" i="3" s="1"/>
  <c r="V59" i="3" s="1"/>
  <c r="T59" i="3"/>
  <c r="T60" i="3"/>
  <c r="U60" i="3"/>
  <c r="V60" i="3" s="1"/>
  <c r="P61" i="3"/>
  <c r="U61" i="3" s="1"/>
  <c r="V61" i="3" s="1"/>
  <c r="T61" i="3"/>
  <c r="P62" i="3"/>
  <c r="T62" i="3"/>
  <c r="P63" i="3"/>
  <c r="U63" i="3" s="1"/>
  <c r="V63" i="3" s="1"/>
  <c r="T63" i="3"/>
  <c r="T64" i="3"/>
  <c r="U64" i="3"/>
  <c r="V64" i="3" s="1"/>
  <c r="P65" i="3"/>
  <c r="U65" i="3" s="1"/>
  <c r="V65" i="3" s="1"/>
  <c r="T65" i="3"/>
  <c r="P66" i="3"/>
  <c r="U66" i="3" s="1"/>
  <c r="V66" i="3" s="1"/>
  <c r="T66" i="3"/>
  <c r="P67" i="3"/>
  <c r="U67" i="3" s="1"/>
  <c r="V67" i="3" s="1"/>
  <c r="T67" i="3"/>
  <c r="T68" i="3"/>
  <c r="U68" i="3"/>
  <c r="V68" i="3" s="1"/>
  <c r="T69" i="3"/>
  <c r="U69" i="3"/>
  <c r="V69" i="3" s="1"/>
  <c r="P70" i="3"/>
  <c r="T70" i="3"/>
  <c r="P71" i="3"/>
  <c r="T71" i="3"/>
  <c r="P72" i="3"/>
  <c r="U72" i="3" s="1"/>
  <c r="V72" i="3" s="1"/>
  <c r="T72" i="3"/>
  <c r="T73" i="3"/>
  <c r="U73" i="3"/>
  <c r="V73" i="3" s="1"/>
  <c r="T74" i="3"/>
  <c r="U74" i="3"/>
  <c r="V74" i="3" s="1"/>
  <c r="P75" i="3"/>
  <c r="U75" i="3" s="1"/>
  <c r="V75" i="3" s="1"/>
  <c r="T75" i="3"/>
  <c r="P76" i="3"/>
  <c r="U76" i="3" s="1"/>
  <c r="V76" i="3" s="1"/>
  <c r="T76" i="3"/>
  <c r="P77" i="3"/>
  <c r="U77" i="3" s="1"/>
  <c r="V77" i="3" s="1"/>
  <c r="T77" i="3"/>
  <c r="P78" i="3"/>
  <c r="U78" i="3" s="1"/>
  <c r="V78" i="3" s="1"/>
  <c r="T78" i="3"/>
  <c r="P79" i="3"/>
  <c r="U79" i="3" s="1"/>
  <c r="V79" i="3" s="1"/>
  <c r="T79" i="3"/>
  <c r="P80" i="3"/>
  <c r="U80" i="3" s="1"/>
  <c r="V80" i="3" s="1"/>
  <c r="T80" i="3"/>
  <c r="T81" i="3"/>
  <c r="U81" i="3"/>
  <c r="V81" i="3" s="1"/>
  <c r="T82" i="3"/>
  <c r="U82" i="3"/>
  <c r="V82" i="3" s="1"/>
  <c r="P83" i="3"/>
  <c r="T83" i="3"/>
  <c r="P84" i="3"/>
  <c r="T84" i="3"/>
  <c r="P85" i="3"/>
  <c r="T85" i="3"/>
  <c r="T86" i="3"/>
  <c r="U86" i="3"/>
  <c r="V86" i="3" s="1"/>
  <c r="P87" i="3"/>
  <c r="U87" i="3" s="1"/>
  <c r="V87" i="3" s="1"/>
  <c r="T87" i="3"/>
  <c r="P88" i="3"/>
  <c r="T88" i="3"/>
  <c r="P89" i="3"/>
  <c r="U89" i="3" s="1"/>
  <c r="V89" i="3" s="1"/>
  <c r="T89" i="3"/>
  <c r="T90" i="3"/>
  <c r="U90" i="3"/>
  <c r="V90" i="3" s="1"/>
  <c r="P91" i="3"/>
  <c r="U91" i="3" s="1"/>
  <c r="V91" i="3" s="1"/>
  <c r="T91" i="3"/>
  <c r="P92" i="3"/>
  <c r="U92" i="3" s="1"/>
  <c r="V92" i="3" s="1"/>
  <c r="T92" i="3"/>
  <c r="P93" i="3"/>
  <c r="T93" i="3"/>
  <c r="T94" i="3"/>
  <c r="U94" i="3"/>
  <c r="V94" i="3" s="1"/>
  <c r="P95" i="3"/>
  <c r="U95" i="3" s="1"/>
  <c r="V95" i="3" s="1"/>
  <c r="T95" i="3"/>
  <c r="P96" i="3"/>
  <c r="T96" i="3"/>
  <c r="P97" i="3"/>
  <c r="T97" i="3"/>
  <c r="T98" i="3"/>
  <c r="U98" i="3"/>
  <c r="V98" i="3" s="1"/>
  <c r="T99" i="3"/>
  <c r="U99" i="3"/>
  <c r="V99" i="3" s="1"/>
  <c r="P100" i="3"/>
  <c r="U100" i="3" s="1"/>
  <c r="V100" i="3" s="1"/>
  <c r="T100" i="3"/>
  <c r="P101" i="3"/>
  <c r="T101" i="3"/>
  <c r="P102" i="3"/>
  <c r="U102" i="3" s="1"/>
  <c r="V102" i="3" s="1"/>
  <c r="T102" i="3"/>
  <c r="T103" i="3"/>
  <c r="U103" i="3"/>
  <c r="V103" i="3" s="1"/>
  <c r="T104" i="3"/>
  <c r="U104" i="3"/>
  <c r="V104" i="3" s="1"/>
  <c r="P105" i="3"/>
  <c r="T105" i="3"/>
  <c r="P106" i="3"/>
  <c r="T106" i="3"/>
  <c r="P107" i="3"/>
  <c r="U107" i="3" s="1"/>
  <c r="V107" i="3" s="1"/>
  <c r="T107" i="3"/>
  <c r="P108" i="3"/>
  <c r="U108" i="3" s="1"/>
  <c r="V108" i="3" s="1"/>
  <c r="T108" i="3"/>
  <c r="P109" i="3"/>
  <c r="T109" i="3"/>
  <c r="P110" i="3"/>
  <c r="T110" i="3"/>
  <c r="T111" i="3"/>
  <c r="U111" i="3"/>
  <c r="V111" i="3" s="1"/>
  <c r="T112" i="3"/>
  <c r="U112" i="3"/>
  <c r="V112" i="3" s="1"/>
  <c r="P113" i="3"/>
  <c r="U113" i="3" s="1"/>
  <c r="V113" i="3" s="1"/>
  <c r="T113" i="3"/>
  <c r="P114" i="3"/>
  <c r="T114" i="3"/>
  <c r="P115" i="3"/>
  <c r="U115" i="3" s="1"/>
  <c r="V115" i="3" s="1"/>
  <c r="T115" i="3"/>
  <c r="T116" i="3"/>
  <c r="U116" i="3"/>
  <c r="V116" i="3" s="1"/>
  <c r="P117" i="3"/>
  <c r="U117" i="3" s="1"/>
  <c r="V117" i="3" s="1"/>
  <c r="T117" i="3"/>
  <c r="P118" i="3"/>
  <c r="T118" i="3"/>
  <c r="P119" i="3"/>
  <c r="U119" i="3" s="1"/>
  <c r="V119" i="3" s="1"/>
  <c r="T119" i="3"/>
  <c r="T120" i="3"/>
  <c r="U120" i="3"/>
  <c r="V120" i="3" s="1"/>
  <c r="P121" i="3"/>
  <c r="U121" i="3" s="1"/>
  <c r="V121" i="3" s="1"/>
  <c r="T121" i="3"/>
  <c r="P122" i="3"/>
  <c r="T122" i="3"/>
  <c r="P123" i="3"/>
  <c r="T123" i="3"/>
  <c r="T124" i="3"/>
  <c r="U124" i="3"/>
  <c r="V124" i="3" s="1"/>
  <c r="P125" i="3"/>
  <c r="U125" i="3" s="1"/>
  <c r="V125" i="3" s="1"/>
  <c r="T125" i="3"/>
  <c r="P126" i="3"/>
  <c r="U126" i="3" s="1"/>
  <c r="V126" i="3" s="1"/>
  <c r="T126" i="3"/>
  <c r="P127" i="3"/>
  <c r="T127" i="3"/>
  <c r="T128" i="3"/>
  <c r="U128" i="3"/>
  <c r="V128" i="3" s="1"/>
  <c r="T129" i="3"/>
  <c r="U129" i="3"/>
  <c r="V129" i="3" s="1"/>
  <c r="P130" i="3"/>
  <c r="U130" i="3" s="1"/>
  <c r="V130" i="3" s="1"/>
  <c r="T130" i="3"/>
  <c r="P131" i="3"/>
  <c r="T131" i="3"/>
  <c r="P132" i="3"/>
  <c r="U132" i="3" s="1"/>
  <c r="V132" i="3" s="1"/>
  <c r="T132" i="3"/>
  <c r="T133" i="3"/>
  <c r="U133" i="3"/>
  <c r="V133" i="3" s="1"/>
  <c r="T134" i="3"/>
  <c r="U134" i="3"/>
  <c r="V134" i="3" s="1"/>
  <c r="P135" i="3"/>
  <c r="T135" i="3"/>
  <c r="P136" i="3"/>
  <c r="T136" i="3"/>
  <c r="P137" i="3"/>
  <c r="U137" i="3" s="1"/>
  <c r="V137" i="3" s="1"/>
  <c r="T137" i="3"/>
  <c r="P138" i="3"/>
  <c r="U138" i="3" s="1"/>
  <c r="V138" i="3" s="1"/>
  <c r="T138" i="3"/>
  <c r="P139" i="3"/>
  <c r="U139" i="3" s="1"/>
  <c r="V139" i="3" s="1"/>
  <c r="T139" i="3"/>
  <c r="P140" i="3"/>
  <c r="T140" i="3"/>
  <c r="T141" i="3"/>
  <c r="U141" i="3"/>
  <c r="V141" i="3" s="1"/>
  <c r="T142" i="3"/>
  <c r="U142" i="3"/>
  <c r="V142" i="3" s="1"/>
  <c r="P143" i="3"/>
  <c r="U143" i="3" s="1"/>
  <c r="V143" i="3" s="1"/>
  <c r="T143" i="3"/>
  <c r="P144" i="3"/>
  <c r="U144" i="3" s="1"/>
  <c r="V144" i="3" s="1"/>
  <c r="T144" i="3"/>
  <c r="P145" i="3"/>
  <c r="U145" i="3" s="1"/>
  <c r="V145" i="3" s="1"/>
  <c r="T145" i="3"/>
  <c r="T146" i="3"/>
  <c r="U146" i="3"/>
  <c r="V146" i="3" s="1"/>
  <c r="P147" i="3"/>
  <c r="U147" i="3" s="1"/>
  <c r="V147" i="3" s="1"/>
  <c r="T147" i="3"/>
  <c r="P148" i="3"/>
  <c r="T148" i="3"/>
  <c r="P149" i="3"/>
  <c r="T149" i="3"/>
  <c r="T150" i="3"/>
  <c r="U150" i="3"/>
  <c r="V150" i="3" s="1"/>
  <c r="P151" i="3"/>
  <c r="U151" i="3" s="1"/>
  <c r="V151" i="3" s="1"/>
  <c r="T151" i="3"/>
  <c r="P152" i="3"/>
  <c r="U152" i="3" s="1"/>
  <c r="V152" i="3" s="1"/>
  <c r="T152" i="3"/>
  <c r="P153" i="3"/>
  <c r="T153" i="3"/>
  <c r="T154" i="3"/>
  <c r="U154" i="3"/>
  <c r="V154" i="3" s="1"/>
  <c r="P155" i="3"/>
  <c r="T155" i="3"/>
  <c r="P156" i="3"/>
  <c r="U156" i="3" s="1"/>
  <c r="V156" i="3" s="1"/>
  <c r="T156" i="3"/>
  <c r="P157" i="3"/>
  <c r="U157" i="3" s="1"/>
  <c r="V157" i="3" s="1"/>
  <c r="T157" i="3"/>
  <c r="T158" i="3"/>
  <c r="U158" i="3"/>
  <c r="V158" i="3" s="1"/>
  <c r="T159" i="3"/>
  <c r="U159" i="3"/>
  <c r="V159" i="3" s="1"/>
  <c r="P160" i="3"/>
  <c r="U160" i="3" s="1"/>
  <c r="V160" i="3" s="1"/>
  <c r="T160" i="3"/>
  <c r="P161" i="3"/>
  <c r="T161" i="3"/>
  <c r="P162" i="3"/>
  <c r="T162" i="3"/>
  <c r="T163" i="3"/>
  <c r="U163" i="3"/>
  <c r="V163" i="3" s="1"/>
  <c r="P164" i="3"/>
  <c r="U164" i="3" s="1"/>
  <c r="V164" i="3" s="1"/>
  <c r="T164" i="3"/>
  <c r="P165" i="3"/>
  <c r="U165" i="3" s="1"/>
  <c r="V165" i="3" s="1"/>
  <c r="T165" i="3"/>
  <c r="P166" i="3"/>
  <c r="T166" i="3"/>
  <c r="P167" i="3"/>
  <c r="U167" i="3" s="1"/>
  <c r="V167" i="3" s="1"/>
  <c r="T167" i="3"/>
  <c r="P168" i="3"/>
  <c r="T168" i="3"/>
  <c r="P169" i="3"/>
  <c r="U169" i="3" s="1"/>
  <c r="V169" i="3" s="1"/>
  <c r="T169" i="3"/>
  <c r="T170" i="3"/>
  <c r="U170" i="3"/>
  <c r="V170" i="3" s="1"/>
  <c r="T171" i="3"/>
  <c r="U171" i="3"/>
  <c r="V171" i="3" s="1"/>
  <c r="P172" i="3"/>
  <c r="U172" i="3" s="1"/>
  <c r="V172" i="3" s="1"/>
  <c r="T172" i="3"/>
  <c r="P173" i="3"/>
  <c r="U173" i="3" s="1"/>
  <c r="V173" i="3" s="1"/>
  <c r="T173" i="3"/>
  <c r="P174" i="3"/>
  <c r="U174" i="3" s="1"/>
  <c r="V174" i="3" s="1"/>
  <c r="T174" i="3"/>
  <c r="T175" i="3"/>
  <c r="U175" i="3"/>
  <c r="V175" i="3" s="1"/>
  <c r="P176" i="3"/>
  <c r="T176" i="3"/>
  <c r="P177" i="3"/>
  <c r="U177" i="3" s="1"/>
  <c r="V177" i="3" s="1"/>
  <c r="T177" i="3"/>
  <c r="P178" i="3"/>
  <c r="U178" i="3" s="1"/>
  <c r="V178" i="3" s="1"/>
  <c r="T178" i="3"/>
  <c r="T179" i="3"/>
  <c r="U179" i="3"/>
  <c r="V179" i="3" s="1"/>
  <c r="P180" i="3"/>
  <c r="U180" i="3" s="1"/>
  <c r="V180" i="3" s="1"/>
  <c r="T180" i="3"/>
  <c r="P181" i="3"/>
  <c r="U181" i="3" s="1"/>
  <c r="V181" i="3" s="1"/>
  <c r="T181" i="3"/>
  <c r="P182" i="3"/>
  <c r="U182" i="3" s="1"/>
  <c r="V182" i="3" s="1"/>
  <c r="T182" i="3"/>
  <c r="T183" i="3"/>
  <c r="U183" i="3"/>
  <c r="V183" i="3" s="1"/>
  <c r="T184" i="3"/>
  <c r="U184" i="3"/>
  <c r="V184" i="3" s="1"/>
  <c r="P185" i="3"/>
  <c r="U185" i="3" s="1"/>
  <c r="V185" i="3" s="1"/>
  <c r="T185" i="3"/>
  <c r="P186" i="3"/>
  <c r="U186" i="3" s="1"/>
  <c r="V186" i="3" s="1"/>
  <c r="T186" i="3"/>
  <c r="P187" i="3"/>
  <c r="U187" i="3" s="1"/>
  <c r="V187" i="3" s="1"/>
  <c r="T187" i="3"/>
  <c r="T188" i="3"/>
  <c r="U188" i="3"/>
  <c r="V188" i="3" s="1"/>
  <c r="P189" i="3"/>
  <c r="U189" i="3" s="1"/>
  <c r="V189" i="3" s="1"/>
  <c r="T189" i="3"/>
  <c r="P190" i="3"/>
  <c r="T190" i="3"/>
  <c r="P191" i="3"/>
  <c r="U191" i="3" s="1"/>
  <c r="V191" i="3" s="1"/>
  <c r="T191" i="3"/>
  <c r="T192" i="3"/>
  <c r="U192" i="3"/>
  <c r="V192" i="3" s="1"/>
  <c r="T193" i="3"/>
  <c r="U193" i="3"/>
  <c r="V193" i="3" s="1"/>
  <c r="P194" i="3"/>
  <c r="T194" i="3"/>
  <c r="P195" i="3"/>
  <c r="U195" i="3" s="1"/>
  <c r="V195" i="3" s="1"/>
  <c r="T195" i="3"/>
  <c r="P196" i="3"/>
  <c r="U196" i="3" s="1"/>
  <c r="V196" i="3" s="1"/>
  <c r="T196" i="3"/>
  <c r="T197" i="3"/>
  <c r="U197" i="3"/>
  <c r="V197" i="3" s="1"/>
  <c r="P198" i="3"/>
  <c r="U198" i="3" s="1"/>
  <c r="V198" i="3" s="1"/>
  <c r="T198" i="3"/>
  <c r="P199" i="3"/>
  <c r="U199" i="3" s="1"/>
  <c r="V199" i="3" s="1"/>
  <c r="T199" i="3"/>
  <c r="P200" i="3"/>
  <c r="U200" i="3" s="1"/>
  <c r="V200" i="3" s="1"/>
  <c r="T200" i="3"/>
  <c r="P201" i="3"/>
  <c r="U201" i="3" s="1"/>
  <c r="V201" i="3" s="1"/>
  <c r="T201" i="3"/>
  <c r="P202" i="3"/>
  <c r="T202" i="3"/>
  <c r="P203" i="3"/>
  <c r="U203" i="3" s="1"/>
  <c r="V203" i="3" s="1"/>
  <c r="T203" i="3"/>
  <c r="T204" i="3"/>
  <c r="U204" i="3"/>
  <c r="V204" i="3" s="1"/>
  <c r="T205" i="3"/>
  <c r="U205" i="3"/>
  <c r="V205" i="3" s="1"/>
  <c r="P206" i="3"/>
  <c r="U206" i="3" s="1"/>
  <c r="V206" i="3" s="1"/>
  <c r="T206" i="3"/>
  <c r="P207" i="3"/>
  <c r="U207" i="3" s="1"/>
  <c r="V207" i="3" s="1"/>
  <c r="T207" i="3"/>
  <c r="P208" i="3"/>
  <c r="U208" i="3" s="1"/>
  <c r="V208" i="3" s="1"/>
  <c r="T208" i="3"/>
  <c r="T209" i="3"/>
  <c r="U209" i="3"/>
  <c r="V209" i="3" s="1"/>
  <c r="P210" i="3"/>
  <c r="U210" i="3" s="1"/>
  <c r="V210" i="3" s="1"/>
  <c r="T210" i="3"/>
  <c r="P211" i="3"/>
  <c r="U211" i="3" s="1"/>
  <c r="V211" i="3" s="1"/>
  <c r="T211" i="3"/>
  <c r="P212" i="3"/>
  <c r="U212" i="3" s="1"/>
  <c r="V212" i="3" s="1"/>
  <c r="T212" i="3"/>
  <c r="T213" i="3"/>
  <c r="U213" i="3"/>
  <c r="V213" i="3" s="1"/>
  <c r="P214" i="3"/>
  <c r="U214" i="3" s="1"/>
  <c r="V214" i="3" s="1"/>
  <c r="T214" i="3"/>
  <c r="P215" i="3"/>
  <c r="T215" i="3"/>
  <c r="P216" i="3"/>
  <c r="U216" i="3" s="1"/>
  <c r="V216" i="3" s="1"/>
  <c r="T216" i="3"/>
  <c r="T217" i="3"/>
  <c r="U217" i="3"/>
  <c r="V217" i="3" s="1"/>
  <c r="T218" i="3"/>
  <c r="U218" i="3"/>
  <c r="V218" i="3" s="1"/>
  <c r="P219" i="3"/>
  <c r="U219" i="3" s="1"/>
  <c r="V219" i="3" s="1"/>
  <c r="T219" i="3"/>
  <c r="P220" i="3"/>
  <c r="U220" i="3" s="1"/>
  <c r="V220" i="3" s="1"/>
  <c r="T220" i="3"/>
  <c r="P221" i="3"/>
  <c r="U221" i="3" s="1"/>
  <c r="V221" i="3" s="1"/>
  <c r="T221" i="3"/>
  <c r="T222" i="3"/>
  <c r="U222" i="3"/>
  <c r="V222" i="3" s="1"/>
  <c r="P223" i="3"/>
  <c r="U223" i="3" s="1"/>
  <c r="V223" i="3" s="1"/>
  <c r="T223" i="3"/>
  <c r="P224" i="3"/>
  <c r="U224" i="3" s="1"/>
  <c r="V224" i="3" s="1"/>
  <c r="T224" i="3"/>
  <c r="P225" i="3"/>
  <c r="T225" i="3"/>
  <c r="T226" i="3"/>
  <c r="U226" i="3"/>
  <c r="V226" i="3" s="1"/>
  <c r="T227" i="3"/>
  <c r="U227" i="3"/>
  <c r="V227" i="3" s="1"/>
  <c r="P228" i="3"/>
  <c r="U228" i="3" s="1"/>
  <c r="V228" i="3" s="1"/>
  <c r="T228" i="3"/>
  <c r="P229" i="3"/>
  <c r="T229" i="3"/>
  <c r="P230" i="3"/>
  <c r="U230" i="3" s="1"/>
  <c r="V230" i="3" s="1"/>
  <c r="T230" i="3"/>
  <c r="T231" i="3"/>
  <c r="U231" i="3"/>
  <c r="V231" i="3" s="1"/>
  <c r="P232" i="3"/>
  <c r="T232" i="3"/>
  <c r="P233" i="3"/>
  <c r="U233" i="3" s="1"/>
  <c r="V233" i="3" s="1"/>
  <c r="T233" i="3"/>
  <c r="P234" i="3"/>
  <c r="U234" i="3" s="1"/>
  <c r="V234" i="3" s="1"/>
  <c r="T234" i="3"/>
  <c r="P235" i="3"/>
  <c r="U235" i="3" s="1"/>
  <c r="V235" i="3" s="1"/>
  <c r="T235" i="3"/>
  <c r="P236" i="3"/>
  <c r="T236" i="3"/>
  <c r="P237" i="3"/>
  <c r="U237" i="3" s="1"/>
  <c r="V237" i="3" s="1"/>
  <c r="T237" i="3"/>
  <c r="T238" i="3"/>
  <c r="U238" i="3"/>
  <c r="V238" i="3" s="1"/>
  <c r="T239" i="3"/>
  <c r="U239" i="3"/>
  <c r="V239" i="3" s="1"/>
  <c r="P240" i="3"/>
  <c r="U240" i="3" s="1"/>
  <c r="V240" i="3" s="1"/>
  <c r="T240" i="3"/>
  <c r="P241" i="3"/>
  <c r="T241" i="3"/>
  <c r="P242" i="3"/>
  <c r="U242" i="3" s="1"/>
  <c r="V242" i="3" s="1"/>
  <c r="T242" i="3"/>
  <c r="T243" i="3"/>
  <c r="U243" i="3"/>
  <c r="V243" i="3" s="1"/>
  <c r="P244" i="3"/>
  <c r="T244" i="3"/>
  <c r="P245" i="3"/>
  <c r="T245" i="3"/>
  <c r="P246" i="3"/>
  <c r="T246" i="3"/>
  <c r="T247" i="3"/>
  <c r="U247" i="3"/>
  <c r="V247" i="3" s="1"/>
  <c r="P248" i="3"/>
  <c r="U248" i="3" s="1"/>
  <c r="V248" i="3" s="1"/>
  <c r="T248" i="3"/>
  <c r="P249" i="3"/>
  <c r="T249" i="3"/>
  <c r="P250" i="3"/>
  <c r="U250" i="3" s="1"/>
  <c r="V250" i="3" s="1"/>
  <c r="T250" i="3"/>
  <c r="T251" i="3"/>
  <c r="U251" i="3"/>
  <c r="V251" i="3" s="1"/>
  <c r="T252" i="3"/>
  <c r="U252" i="3"/>
  <c r="V252" i="3" s="1"/>
  <c r="P253" i="3"/>
  <c r="U253" i="3" s="1"/>
  <c r="V253" i="3" s="1"/>
  <c r="T253" i="3"/>
  <c r="P254" i="3"/>
  <c r="T254" i="3"/>
  <c r="P255" i="3"/>
  <c r="U255" i="3" s="1"/>
  <c r="V255" i="3" s="1"/>
  <c r="T255" i="3"/>
  <c r="T256" i="3"/>
  <c r="U256" i="3"/>
  <c r="V256" i="3" s="1"/>
  <c r="P257" i="3"/>
  <c r="T257" i="3"/>
  <c r="P258" i="3"/>
  <c r="T258" i="3"/>
  <c r="P259" i="3"/>
  <c r="T259" i="3"/>
  <c r="T260" i="3"/>
  <c r="U260" i="3"/>
  <c r="V260" i="3" s="1"/>
  <c r="T261" i="3"/>
  <c r="U261" i="3"/>
  <c r="V261" i="3" s="1"/>
  <c r="P262" i="3"/>
  <c r="T262" i="3"/>
  <c r="P263" i="3"/>
  <c r="U263" i="3" s="1"/>
  <c r="V263" i="3" s="1"/>
  <c r="T263" i="3"/>
  <c r="P264" i="3"/>
  <c r="U264" i="3" s="1"/>
  <c r="V264" i="3" s="1"/>
  <c r="T264" i="3"/>
  <c r="T265" i="3"/>
  <c r="U265" i="3"/>
  <c r="V265" i="3" s="1"/>
  <c r="P266" i="3"/>
  <c r="U266" i="3" s="1"/>
  <c r="V266" i="3" s="1"/>
  <c r="T266" i="3"/>
  <c r="P267" i="3"/>
  <c r="T267" i="3"/>
  <c r="P268" i="3"/>
  <c r="U268" i="3" s="1"/>
  <c r="V268" i="3" s="1"/>
  <c r="T268" i="3"/>
  <c r="P269" i="3"/>
  <c r="U269" i="3" s="1"/>
  <c r="V269" i="3" s="1"/>
  <c r="T269" i="3"/>
  <c r="P270" i="3"/>
  <c r="U270" i="3" s="1"/>
  <c r="V270" i="3" s="1"/>
  <c r="T270" i="3"/>
  <c r="P271" i="3"/>
  <c r="T271" i="3"/>
  <c r="T272" i="3"/>
  <c r="U272" i="3"/>
  <c r="V272" i="3" s="1"/>
  <c r="T273" i="3"/>
  <c r="U273" i="3"/>
  <c r="V273" i="3" s="1"/>
  <c r="P274" i="3"/>
  <c r="U274" i="3" s="1"/>
  <c r="V274" i="3" s="1"/>
  <c r="T274" i="3"/>
  <c r="P275" i="3"/>
  <c r="T275" i="3"/>
  <c r="P276" i="3"/>
  <c r="U276" i="3" s="1"/>
  <c r="V276" i="3" s="1"/>
  <c r="T276" i="3"/>
  <c r="T277" i="3"/>
  <c r="U277" i="3"/>
  <c r="V277" i="3" s="1"/>
  <c r="P278" i="3"/>
  <c r="U278" i="3" s="1"/>
  <c r="V278" i="3" s="1"/>
  <c r="T278" i="3"/>
  <c r="P279" i="3"/>
  <c r="U279" i="3" s="1"/>
  <c r="V279" i="3" s="1"/>
  <c r="T279" i="3"/>
  <c r="P280" i="3"/>
  <c r="T280" i="3"/>
  <c r="T281" i="3"/>
  <c r="U281" i="3"/>
  <c r="V281" i="3" s="1"/>
  <c r="P282" i="3"/>
  <c r="U282" i="3" s="1"/>
  <c r="V282" i="3" s="1"/>
  <c r="T282" i="3"/>
  <c r="P283" i="3"/>
  <c r="U283" i="3" s="1"/>
  <c r="V283" i="3" s="1"/>
  <c r="T283" i="3"/>
  <c r="P284" i="3"/>
  <c r="U284" i="3" s="1"/>
  <c r="V284" i="3" s="1"/>
  <c r="T284" i="3"/>
  <c r="T285" i="3"/>
  <c r="U285" i="3"/>
  <c r="V285" i="3" s="1"/>
  <c r="T286" i="3"/>
  <c r="U286" i="3"/>
  <c r="V286" i="3" s="1"/>
  <c r="P287" i="3"/>
  <c r="U287" i="3" s="1"/>
  <c r="V287" i="3" s="1"/>
  <c r="T287" i="3"/>
  <c r="P288" i="3"/>
  <c r="T288" i="3"/>
  <c r="P289" i="3"/>
  <c r="U289" i="3" s="1"/>
  <c r="V289" i="3" s="1"/>
  <c r="T289" i="3"/>
  <c r="T290" i="3"/>
  <c r="U290" i="3"/>
  <c r="V290" i="3" s="1"/>
  <c r="P291" i="3"/>
  <c r="T291" i="3"/>
  <c r="P292" i="3"/>
  <c r="U292" i="3" s="1"/>
  <c r="V292" i="3" s="1"/>
  <c r="T292" i="3"/>
  <c r="P293" i="3"/>
  <c r="U293" i="3" s="1"/>
  <c r="V293" i="3" s="1"/>
  <c r="T293" i="3"/>
  <c r="T294" i="3"/>
  <c r="U294" i="3"/>
  <c r="V294" i="3" s="1"/>
  <c r="P295" i="3"/>
  <c r="U295" i="3" s="1"/>
  <c r="V295" i="3" s="1"/>
  <c r="T295" i="3"/>
  <c r="P296" i="3"/>
  <c r="T296" i="3"/>
  <c r="P297" i="3"/>
  <c r="U297" i="3" s="1"/>
  <c r="V297" i="3" s="1"/>
  <c r="T297" i="3"/>
  <c r="T298" i="3"/>
  <c r="U298" i="3"/>
  <c r="V298" i="3" s="1"/>
  <c r="P299" i="3"/>
  <c r="T299" i="3"/>
  <c r="P300" i="3"/>
  <c r="U300" i="3" s="1"/>
  <c r="V300" i="3" s="1"/>
  <c r="T300" i="3"/>
  <c r="P301" i="3"/>
  <c r="T301" i="3"/>
  <c r="P302" i="3"/>
  <c r="T302" i="3"/>
  <c r="P303" i="3"/>
  <c r="T303" i="3"/>
  <c r="P304" i="3"/>
  <c r="T304" i="3"/>
  <c r="T305" i="3"/>
  <c r="U305" i="3"/>
  <c r="V305" i="3" s="1"/>
  <c r="T306" i="3"/>
  <c r="U306" i="3"/>
  <c r="V306" i="3" s="1"/>
  <c r="P307" i="3"/>
  <c r="U307" i="3" s="1"/>
  <c r="V307" i="3" s="1"/>
  <c r="T307" i="3"/>
  <c r="P308" i="3"/>
  <c r="U308" i="3" s="1"/>
  <c r="V308" i="3" s="1"/>
  <c r="T308" i="3"/>
  <c r="P309" i="3"/>
  <c r="U309" i="3" s="1"/>
  <c r="V309" i="3" s="1"/>
  <c r="T309" i="3"/>
  <c r="T310" i="3"/>
  <c r="U310" i="3"/>
  <c r="V310" i="3" s="1"/>
  <c r="P311" i="3"/>
  <c r="U311" i="3" s="1"/>
  <c r="V311" i="3" s="1"/>
  <c r="T311" i="3"/>
  <c r="P312" i="3"/>
  <c r="U312" i="3" s="1"/>
  <c r="V312" i="3" s="1"/>
  <c r="T312" i="3"/>
  <c r="P313" i="3"/>
  <c r="U313" i="3" s="1"/>
  <c r="V313" i="3" s="1"/>
  <c r="T313" i="3"/>
  <c r="T314" i="3"/>
  <c r="U314" i="3"/>
  <c r="V314" i="3" s="1"/>
  <c r="P315" i="3"/>
  <c r="T315" i="3"/>
  <c r="P316" i="3"/>
  <c r="T316" i="3"/>
  <c r="P317" i="3"/>
  <c r="T317" i="3"/>
  <c r="S3" i="2"/>
  <c r="S4" i="2"/>
  <c r="S5" i="2"/>
  <c r="S6" i="2"/>
  <c r="S7" i="2"/>
  <c r="S8" i="2"/>
  <c r="S9" i="2"/>
  <c r="J10" i="2"/>
  <c r="J17" i="2" s="1"/>
  <c r="S10" i="2"/>
  <c r="G11" i="2"/>
  <c r="P45" i="2" s="1" a="1"/>
  <c r="P45" i="2" s="1"/>
  <c r="R45" i="2" s="1"/>
  <c r="H11" i="2"/>
  <c r="J11" i="2"/>
  <c r="S11" i="2"/>
  <c r="G12" i="2"/>
  <c r="P3" i="2" s="1" a="1"/>
  <c r="P3" i="2" s="1"/>
  <c r="R3" i="2" s="1"/>
  <c r="H12" i="2"/>
  <c r="J12" i="2"/>
  <c r="J19" i="2" s="1"/>
  <c r="J26" i="2" s="1"/>
  <c r="S12" i="2"/>
  <c r="G13" i="2"/>
  <c r="P4" i="2" s="1" a="1"/>
  <c r="P4" i="2" s="1"/>
  <c r="R4" i="2" s="1"/>
  <c r="H13" i="2"/>
  <c r="J13" i="2"/>
  <c r="J20" i="2" s="1"/>
  <c r="S13" i="2"/>
  <c r="G14" i="2"/>
  <c r="H14" i="2"/>
  <c r="J14" i="2"/>
  <c r="J21" i="2" s="1"/>
  <c r="S14" i="2"/>
  <c r="G15" i="2"/>
  <c r="H15" i="2"/>
  <c r="J15" i="2"/>
  <c r="J22" i="2" s="1"/>
  <c r="J29" i="2" s="1"/>
  <c r="S15" i="2"/>
  <c r="G16" i="2"/>
  <c r="P7" i="2" s="1" a="1"/>
  <c r="P7" i="2" s="1"/>
  <c r="R7" i="2" s="1"/>
  <c r="H16" i="2"/>
  <c r="J16" i="2"/>
  <c r="S16" i="2"/>
  <c r="G17" i="2"/>
  <c r="P8" i="2" s="1" a="1"/>
  <c r="P8" i="2" s="1"/>
  <c r="R8" i="2" s="1"/>
  <c r="H17" i="2"/>
  <c r="S17" i="2"/>
  <c r="G18" i="2"/>
  <c r="P6" i="2" s="1" a="1"/>
  <c r="P6" i="2" s="1"/>
  <c r="R6" i="2" s="1"/>
  <c r="H18" i="2"/>
  <c r="S18" i="2"/>
  <c r="G19" i="2"/>
  <c r="P9" i="2" s="1" a="1"/>
  <c r="P9" i="2" s="1"/>
  <c r="R9" i="2" s="1"/>
  <c r="H19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J53" i="2"/>
  <c r="J61" i="2" s="1"/>
  <c r="Q53" i="2"/>
  <c r="Q61" i="2" s="1"/>
  <c r="Q54" i="2"/>
  <c r="Q62" i="2" s="1"/>
  <c r="Q55" i="2"/>
  <c r="Q63" i="2" s="1"/>
  <c r="S63" i="2" s="1"/>
  <c r="Q56" i="2"/>
  <c r="S56" i="2" s="1"/>
  <c r="Q57" i="2"/>
  <c r="Q65" i="2" s="1"/>
  <c r="Q58" i="2"/>
  <c r="Q66" i="2" s="1"/>
  <c r="S66" i="2" s="1"/>
  <c r="Q59" i="2"/>
  <c r="Q67" i="2" s="1"/>
  <c r="Q75" i="2" s="1"/>
  <c r="S75" i="2" s="1"/>
  <c r="Q60" i="2"/>
  <c r="Q68" i="2" s="1"/>
  <c r="S59" i="2" l="1"/>
  <c r="W159" i="3"/>
  <c r="X136" i="3"/>
  <c r="X106" i="3"/>
  <c r="W20" i="3"/>
  <c r="W294" i="3"/>
  <c r="S60" i="2"/>
  <c r="P11" i="2" a="1"/>
  <c r="P11" i="2" s="1"/>
  <c r="R11" i="2" s="1"/>
  <c r="P16" i="2" a="1"/>
  <c r="P16" i="2" s="1"/>
  <c r="R16" i="2" s="1"/>
  <c r="W289" i="3"/>
  <c r="W178" i="3"/>
  <c r="W195" i="3"/>
  <c r="W204" i="3"/>
  <c r="X312" i="3"/>
  <c r="X13" i="3"/>
  <c r="W230" i="3"/>
  <c r="X190" i="3"/>
  <c r="X71" i="3"/>
  <c r="X316" i="3"/>
  <c r="X267" i="3"/>
  <c r="X303" i="3"/>
  <c r="X114" i="3"/>
  <c r="X240" i="3"/>
  <c r="AZ5" i="6"/>
  <c r="X241" i="3"/>
  <c r="X202" i="3"/>
  <c r="X45" i="3"/>
  <c r="W298" i="3"/>
  <c r="W112" i="3"/>
  <c r="X54" i="3"/>
  <c r="AZ4" i="6"/>
  <c r="W248" i="3"/>
  <c r="W22" i="3"/>
  <c r="W285" i="3"/>
  <c r="W129" i="3"/>
  <c r="W30" i="3"/>
  <c r="P10" i="2" a="1"/>
  <c r="P10" i="2" s="1"/>
  <c r="R10" i="2" s="1"/>
  <c r="X254" i="3"/>
  <c r="X118" i="3"/>
  <c r="W108" i="3"/>
  <c r="U303" i="3"/>
  <c r="V303" i="3" s="1"/>
  <c r="W303" i="3" s="1"/>
  <c r="W293" i="3"/>
  <c r="X215" i="3"/>
  <c r="X233" i="3"/>
  <c r="X270" i="3"/>
  <c r="W189" i="3"/>
  <c r="X280" i="3"/>
  <c r="X225" i="3"/>
  <c r="W56" i="3"/>
  <c r="W59" i="3"/>
  <c r="X259" i="3"/>
  <c r="X305" i="3"/>
  <c r="W220" i="3"/>
  <c r="W100" i="3"/>
  <c r="W99" i="3"/>
  <c r="W60" i="3"/>
  <c r="S58" i="2"/>
  <c r="U225" i="3"/>
  <c r="V225" i="3" s="1"/>
  <c r="W225" i="3" s="1"/>
  <c r="W69" i="3"/>
  <c r="W12" i="3"/>
  <c r="AP11" i="6"/>
  <c r="X64" i="3"/>
  <c r="W274" i="3"/>
  <c r="W165" i="3"/>
  <c r="X146" i="3"/>
  <c r="U118" i="3"/>
  <c r="V118" i="3" s="1"/>
  <c r="W118" i="3" s="1"/>
  <c r="X301" i="3"/>
  <c r="X273" i="3"/>
  <c r="X98" i="3"/>
  <c r="X163" i="3"/>
  <c r="X281" i="3"/>
  <c r="X218" i="3"/>
  <c r="W117" i="3"/>
  <c r="X56" i="3"/>
  <c r="X47" i="3"/>
  <c r="X265" i="3"/>
  <c r="X314" i="3"/>
  <c r="X290" i="3"/>
  <c r="W134" i="3"/>
  <c r="X59" i="3"/>
  <c r="X24" i="3"/>
  <c r="AZ12" i="6"/>
  <c r="X154" i="3"/>
  <c r="W314" i="3"/>
  <c r="X306" i="3"/>
  <c r="X298" i="3"/>
  <c r="W290" i="3"/>
  <c r="X226" i="3"/>
  <c r="X171" i="3"/>
  <c r="W226" i="3"/>
  <c r="X188" i="3"/>
  <c r="X179" i="3"/>
  <c r="AZ13" i="6"/>
  <c r="X29" i="3"/>
  <c r="W269" i="3"/>
  <c r="X248" i="3"/>
  <c r="W37" i="3"/>
  <c r="Y37" i="3" s="1"/>
  <c r="Z37" i="3" s="1"/>
  <c r="X38" i="3"/>
  <c r="U45" i="3"/>
  <c r="V45" i="3" s="1"/>
  <c r="W45" i="3" s="1"/>
  <c r="X21" i="3"/>
  <c r="X129" i="3"/>
  <c r="X256" i="3"/>
  <c r="X81" i="3"/>
  <c r="W139" i="3"/>
  <c r="X217" i="3"/>
  <c r="X310" i="3"/>
  <c r="X94" i="3"/>
  <c r="W278" i="3"/>
  <c r="X261" i="3"/>
  <c r="X238" i="3"/>
  <c r="X222" i="3"/>
  <c r="W207" i="3"/>
  <c r="W177" i="3"/>
  <c r="X159" i="3"/>
  <c r="X134" i="3"/>
  <c r="W102" i="3"/>
  <c r="W68" i="3"/>
  <c r="W43" i="3"/>
  <c r="W26" i="3"/>
  <c r="AZ6" i="6"/>
  <c r="W147" i="3"/>
  <c r="W187" i="3"/>
  <c r="X104" i="3"/>
  <c r="W264" i="3"/>
  <c r="W282" i="3"/>
  <c r="X286" i="3"/>
  <c r="X277" i="3"/>
  <c r="X252" i="3"/>
  <c r="X197" i="3"/>
  <c r="X183" i="3"/>
  <c r="X168" i="3"/>
  <c r="X150" i="3"/>
  <c r="X142" i="3"/>
  <c r="X101" i="3"/>
  <c r="X42" i="3"/>
  <c r="W34" i="3"/>
  <c r="AZ7" i="6"/>
  <c r="AU9" i="6"/>
  <c r="X112" i="3"/>
  <c r="X184" i="3"/>
  <c r="X294" i="3"/>
  <c r="X25" i="3"/>
  <c r="U316" i="3"/>
  <c r="V316" i="3" s="1"/>
  <c r="W316" i="3" s="1"/>
  <c r="X260" i="3"/>
  <c r="X229" i="3"/>
  <c r="U190" i="3"/>
  <c r="V190" i="3" s="1"/>
  <c r="W190" i="3" s="1"/>
  <c r="X175" i="3"/>
  <c r="X133" i="3"/>
  <c r="W115" i="3"/>
  <c r="W73" i="3"/>
  <c r="X128" i="3"/>
  <c r="X51" i="3"/>
  <c r="X293" i="3"/>
  <c r="X285" i="3"/>
  <c r="X205" i="3"/>
  <c r="W175" i="3"/>
  <c r="X158" i="3"/>
  <c r="X74" i="3"/>
  <c r="W16" i="3"/>
  <c r="AZ8" i="6"/>
  <c r="X272" i="3"/>
  <c r="X68" i="3"/>
  <c r="X196" i="3"/>
  <c r="X116" i="3"/>
  <c r="X22" i="3"/>
  <c r="W130" i="3"/>
  <c r="W72" i="3"/>
  <c r="X12" i="3"/>
  <c r="X251" i="3"/>
  <c r="X82" i="3"/>
  <c r="W276" i="3"/>
  <c r="X243" i="3"/>
  <c r="X220" i="3"/>
  <c r="X99" i="3"/>
  <c r="W82" i="3"/>
  <c r="W74" i="3"/>
  <c r="X15" i="3"/>
  <c r="AP4" i="6"/>
  <c r="X193" i="3"/>
  <c r="X20" i="3"/>
  <c r="X213" i="3"/>
  <c r="X141" i="3"/>
  <c r="X315" i="3"/>
  <c r="X308" i="3"/>
  <c r="W243" i="3"/>
  <c r="X227" i="3"/>
  <c r="X204" i="3"/>
  <c r="W157" i="3"/>
  <c r="W107" i="3"/>
  <c r="X73" i="3"/>
  <c r="X49" i="3"/>
  <c r="X8" i="3"/>
  <c r="X144" i="3"/>
  <c r="X86" i="3"/>
  <c r="X69" i="3"/>
  <c r="W89" i="3"/>
  <c r="X247" i="3"/>
  <c r="X192" i="3"/>
  <c r="X50" i="3"/>
  <c r="AU5" i="6"/>
  <c r="X209" i="3"/>
  <c r="X170" i="3"/>
  <c r="W87" i="3"/>
  <c r="X239" i="3"/>
  <c r="X231" i="3"/>
  <c r="X111" i="3"/>
  <c r="X296" i="3"/>
  <c r="X271" i="3"/>
  <c r="W111" i="3"/>
  <c r="W95" i="3"/>
  <c r="W61" i="3"/>
  <c r="X52" i="3"/>
  <c r="AU7" i="6"/>
  <c r="AP9" i="6"/>
  <c r="W47" i="3"/>
  <c r="S57" i="2"/>
  <c r="P19" i="2" a="1"/>
  <c r="P19" i="2" s="1"/>
  <c r="R19" i="2" s="1"/>
  <c r="X291" i="3"/>
  <c r="X232" i="3"/>
  <c r="W211" i="3"/>
  <c r="W104" i="3"/>
  <c r="W29" i="3"/>
  <c r="W91" i="3"/>
  <c r="W196" i="3"/>
  <c r="W253" i="3"/>
  <c r="W306" i="3"/>
  <c r="X269" i="3"/>
  <c r="W261" i="3"/>
  <c r="X246" i="3"/>
  <c r="X224" i="3"/>
  <c r="W181" i="3"/>
  <c r="W125" i="3"/>
  <c r="W81" i="3"/>
  <c r="W21" i="3"/>
  <c r="W13" i="3"/>
  <c r="AU10" i="6"/>
  <c r="W152" i="3"/>
  <c r="X176" i="3"/>
  <c r="W312" i="3"/>
  <c r="X195" i="3"/>
  <c r="X181" i="3"/>
  <c r="X173" i="3"/>
  <c r="X66" i="3"/>
  <c r="AZ9" i="6"/>
  <c r="W256" i="3"/>
  <c r="W160" i="3"/>
  <c r="W205" i="3"/>
  <c r="W183" i="3"/>
  <c r="X30" i="3"/>
  <c r="S54" i="2"/>
  <c r="X230" i="3"/>
  <c r="X108" i="3"/>
  <c r="X88" i="3"/>
  <c r="X58" i="3"/>
  <c r="AP5" i="6"/>
  <c r="AU11" i="6"/>
  <c r="AP13" i="6"/>
  <c r="W124" i="3"/>
  <c r="W65" i="3"/>
  <c r="X35" i="3"/>
  <c r="AZ10" i="6"/>
  <c r="X189" i="3"/>
  <c r="X311" i="3"/>
  <c r="U101" i="3"/>
  <c r="V101" i="3" s="1"/>
  <c r="W101" i="3" s="1"/>
  <c r="X79" i="3"/>
  <c r="X262" i="3"/>
  <c r="X208" i="3"/>
  <c r="X201" i="3"/>
  <c r="W156" i="3"/>
  <c r="X131" i="3"/>
  <c r="W116" i="3"/>
  <c r="X72" i="3"/>
  <c r="W64" i="3"/>
  <c r="W35" i="3"/>
  <c r="X6" i="3"/>
  <c r="W213" i="3"/>
  <c r="W39" i="3"/>
  <c r="X287" i="3"/>
  <c r="W200" i="3"/>
  <c r="W94" i="3"/>
  <c r="AU13" i="6"/>
  <c r="W250" i="3"/>
  <c r="W222" i="3"/>
  <c r="W235" i="3"/>
  <c r="W146" i="3"/>
  <c r="W121" i="3"/>
  <c r="W78" i="3"/>
  <c r="W33" i="3"/>
  <c r="W17" i="3"/>
  <c r="W138" i="3"/>
  <c r="W279" i="3"/>
  <c r="X228" i="3"/>
  <c r="U106" i="3"/>
  <c r="V106" i="3" s="1"/>
  <c r="W106" i="3" s="1"/>
  <c r="X92" i="3"/>
  <c r="W55" i="3"/>
  <c r="X40" i="3"/>
  <c r="U24" i="3"/>
  <c r="V24" i="3" s="1"/>
  <c r="W24" i="3" s="1"/>
  <c r="AU6" i="6"/>
  <c r="W287" i="3"/>
  <c r="X100" i="3"/>
  <c r="W11" i="3"/>
  <c r="AP7" i="6"/>
  <c r="X264" i="3"/>
  <c r="X234" i="3"/>
  <c r="X214" i="3"/>
  <c r="Q64" i="2"/>
  <c r="Q72" i="2" s="1"/>
  <c r="S72" i="2" s="1"/>
  <c r="X302" i="3"/>
  <c r="U271" i="3"/>
  <c r="V271" i="3" s="1"/>
  <c r="W271" i="3" s="1"/>
  <c r="Y271" i="3" s="1"/>
  <c r="Z271" i="3" s="1"/>
  <c r="U241" i="3"/>
  <c r="V241" i="3" s="1"/>
  <c r="W241" i="3" s="1"/>
  <c r="X221" i="3"/>
  <c r="X177" i="3"/>
  <c r="W170" i="3"/>
  <c r="W120" i="3"/>
  <c r="W113" i="3"/>
  <c r="X84" i="3"/>
  <c r="X62" i="3"/>
  <c r="W128" i="3"/>
  <c r="W311" i="3"/>
  <c r="S68" i="2"/>
  <c r="Q76" i="2"/>
  <c r="S76" i="2" s="1"/>
  <c r="W51" i="3"/>
  <c r="S14" i="4"/>
  <c r="T14" i="4" s="1"/>
  <c r="J69" i="2"/>
  <c r="P69" i="2" s="1" a="1"/>
  <c r="P69" i="2" s="1"/>
  <c r="R69" i="2" s="1"/>
  <c r="P61" i="2" a="1"/>
  <c r="P61" i="2" s="1"/>
  <c r="R61" i="2" s="1"/>
  <c r="W86" i="3"/>
  <c r="S17" i="4"/>
  <c r="T17" i="4" s="1"/>
  <c r="W272" i="3"/>
  <c r="W137" i="3"/>
  <c r="W305" i="3"/>
  <c r="P15" i="2" a="1"/>
  <c r="P15" i="2" s="1"/>
  <c r="R15" i="2" s="1"/>
  <c r="X279" i="3"/>
  <c r="W212" i="3"/>
  <c r="X186" i="3"/>
  <c r="W133" i="3"/>
  <c r="X120" i="3"/>
  <c r="X103" i="3"/>
  <c r="X33" i="3"/>
  <c r="S18" i="4"/>
  <c r="T18" i="4" s="1"/>
  <c r="S12" i="4"/>
  <c r="T12" i="4" s="1"/>
  <c r="AP12" i="6"/>
  <c r="W28" i="3"/>
  <c r="X284" i="3"/>
  <c r="W198" i="3"/>
  <c r="W151" i="3"/>
  <c r="X80" i="3"/>
  <c r="X27" i="3"/>
  <c r="X10" i="3"/>
  <c r="AU8" i="6"/>
  <c r="P12" i="2" a="1"/>
  <c r="P12" i="2" s="1"/>
  <c r="R12" i="2" s="1"/>
  <c r="S55" i="2"/>
  <c r="J23" i="2"/>
  <c r="U302" i="3"/>
  <c r="V302" i="3" s="1"/>
  <c r="W302" i="3" s="1"/>
  <c r="W295" i="3"/>
  <c r="W273" i="3"/>
  <c r="X191" i="3"/>
  <c r="W186" i="3"/>
  <c r="W283" i="3"/>
  <c r="Q74" i="2"/>
  <c r="S74" i="2" s="1"/>
  <c r="W307" i="3"/>
  <c r="X289" i="3"/>
  <c r="W217" i="3"/>
  <c r="W191" i="3"/>
  <c r="X102" i="3"/>
  <c r="W98" i="3"/>
  <c r="W27" i="3"/>
  <c r="AZ11" i="6"/>
  <c r="W180" i="3"/>
  <c r="X283" i="3"/>
  <c r="W233" i="3"/>
  <c r="W164" i="3"/>
  <c r="U131" i="3"/>
  <c r="V131" i="3" s="1"/>
  <c r="W131" i="3" s="1"/>
  <c r="X124" i="3"/>
  <c r="X90" i="3"/>
  <c r="X85" i="3"/>
  <c r="W50" i="3"/>
  <c r="X4" i="3"/>
  <c r="AU12" i="6"/>
  <c r="X137" i="3"/>
  <c r="AP6" i="6"/>
  <c r="S67" i="2"/>
  <c r="S53" i="2"/>
  <c r="P22" i="2" a="1"/>
  <c r="P22" i="2" s="1"/>
  <c r="R22" i="2" s="1"/>
  <c r="U301" i="3"/>
  <c r="V301" i="3" s="1"/>
  <c r="W301" i="3" s="1"/>
  <c r="W150" i="3"/>
  <c r="X60" i="3"/>
  <c r="X43" i="3"/>
  <c r="P53" i="2" a="1"/>
  <c r="P53" i="2" s="1"/>
  <c r="R53" i="2" s="1"/>
  <c r="W239" i="3"/>
  <c r="W221" i="3"/>
  <c r="W209" i="3"/>
  <c r="W143" i="3"/>
  <c r="W90" i="3"/>
  <c r="AP10" i="6"/>
  <c r="S10" i="4"/>
  <c r="T10" i="4" s="1"/>
  <c r="U315" i="3"/>
  <c r="V315" i="3" s="1"/>
  <c r="W315" i="3" s="1"/>
  <c r="W300" i="3"/>
  <c r="W251" i="3"/>
  <c r="W169" i="3"/>
  <c r="W163" i="3"/>
  <c r="U136" i="3"/>
  <c r="V136" i="3" s="1"/>
  <c r="W136" i="3" s="1"/>
  <c r="W77" i="3"/>
  <c r="W66" i="3"/>
  <c r="W237" i="3"/>
  <c r="X178" i="3"/>
  <c r="U168" i="3"/>
  <c r="V168" i="3" s="1"/>
  <c r="W168" i="3" s="1"/>
  <c r="U88" i="3"/>
  <c r="V88" i="3" s="1"/>
  <c r="W88" i="3" s="1"/>
  <c r="W42" i="3"/>
  <c r="S16" i="4"/>
  <c r="T16" i="4" s="1"/>
  <c r="S19" i="4"/>
  <c r="T19" i="4" s="1"/>
  <c r="W154" i="3"/>
  <c r="X309" i="3"/>
  <c r="W188" i="3"/>
  <c r="X182" i="3"/>
  <c r="X34" i="3"/>
  <c r="E7" i="5"/>
  <c r="G6" i="5" s="1"/>
  <c r="P20" i="2" a="1"/>
  <c r="P20" i="2" s="1"/>
  <c r="R20" i="2" s="1"/>
  <c r="X313" i="3"/>
  <c r="X235" i="3"/>
  <c r="U229" i="3"/>
  <c r="V229" i="3" s="1"/>
  <c r="W229" i="3" s="1"/>
  <c r="X199" i="3"/>
  <c r="W173" i="3"/>
  <c r="W167" i="3"/>
  <c r="AU4" i="6"/>
  <c r="AP8" i="6"/>
  <c r="P5" i="2" a="1"/>
  <c r="P5" i="2" s="1"/>
  <c r="R5" i="2" s="1"/>
  <c r="U280" i="3"/>
  <c r="V280" i="3" s="1"/>
  <c r="W280" i="3" s="1"/>
  <c r="W219" i="3"/>
  <c r="W206" i="3"/>
  <c r="W75" i="3"/>
  <c r="X63" i="3"/>
  <c r="U58" i="3"/>
  <c r="V58" i="3" s="1"/>
  <c r="W58" i="3" s="1"/>
  <c r="X11" i="3"/>
  <c r="W308" i="3"/>
  <c r="W297" i="3"/>
  <c r="X212" i="3"/>
  <c r="W182" i="3"/>
  <c r="W126" i="3"/>
  <c r="W228" i="3"/>
  <c r="W8" i="3"/>
  <c r="X93" i="3"/>
  <c r="U93" i="3"/>
  <c r="V93" i="3" s="1"/>
  <c r="W93" i="3" s="1"/>
  <c r="S65" i="2"/>
  <c r="Q73" i="2"/>
  <c r="S73" i="2" s="1"/>
  <c r="U296" i="3"/>
  <c r="V296" i="3" s="1"/>
  <c r="W296" i="3" s="1"/>
  <c r="U257" i="3"/>
  <c r="V257" i="3" s="1"/>
  <c r="W257" i="3" s="1"/>
  <c r="X257" i="3"/>
  <c r="U31" i="3"/>
  <c r="V31" i="3" s="1"/>
  <c r="W31" i="3" s="1"/>
  <c r="X31" i="3"/>
  <c r="S15" i="4"/>
  <c r="T15" i="4" s="1"/>
  <c r="P13" i="2" a="1"/>
  <c r="P13" i="2" s="1"/>
  <c r="R13" i="2" s="1"/>
  <c r="W281" i="3"/>
  <c r="X245" i="3"/>
  <c r="U245" i="3"/>
  <c r="V245" i="3" s="1"/>
  <c r="W245" i="3" s="1"/>
  <c r="U194" i="3"/>
  <c r="V194" i="3" s="1"/>
  <c r="W194" i="3" s="1"/>
  <c r="X194" i="3"/>
  <c r="W174" i="3"/>
  <c r="W48" i="3"/>
  <c r="U15" i="3"/>
  <c r="V15" i="3" s="1"/>
  <c r="W15" i="3" s="1"/>
  <c r="W10" i="3"/>
  <c r="U244" i="3"/>
  <c r="V244" i="3" s="1"/>
  <c r="W244" i="3" s="1"/>
  <c r="X244" i="3"/>
  <c r="W193" i="3"/>
  <c r="W103" i="3"/>
  <c r="W310" i="3"/>
  <c r="W238" i="3"/>
  <c r="W25" i="3"/>
  <c r="S62" i="2"/>
  <c r="Q70" i="2"/>
  <c r="S70" i="2" s="1"/>
  <c r="W309" i="3"/>
  <c r="U155" i="3"/>
  <c r="V155" i="3" s="1"/>
  <c r="W155" i="3" s="1"/>
  <c r="X155" i="3"/>
  <c r="W80" i="3"/>
  <c r="S61" i="2"/>
  <c r="Q69" i="2"/>
  <c r="S69" i="2" s="1"/>
  <c r="W284" i="3"/>
  <c r="X97" i="3"/>
  <c r="U97" i="3"/>
  <c r="V97" i="3" s="1"/>
  <c r="W97" i="3" s="1"/>
  <c r="U85" i="3"/>
  <c r="V85" i="3" s="1"/>
  <c r="W85" i="3" s="1"/>
  <c r="W52" i="3"/>
  <c r="Q71" i="2"/>
  <c r="S71" i="2" s="1"/>
  <c r="W313" i="3"/>
  <c r="U304" i="3"/>
  <c r="V304" i="3" s="1"/>
  <c r="W304" i="3" s="1"/>
  <c r="X304" i="3"/>
  <c r="U299" i="3"/>
  <c r="V299" i="3" s="1"/>
  <c r="W299" i="3" s="1"/>
  <c r="X299" i="3"/>
  <c r="U236" i="3"/>
  <c r="V236" i="3" s="1"/>
  <c r="W236" i="3" s="1"/>
  <c r="X236" i="3"/>
  <c r="W142" i="3"/>
  <c r="W46" i="3"/>
  <c r="J36" i="2"/>
  <c r="P29" i="2" a="1"/>
  <c r="P29" i="2" s="1"/>
  <c r="R29" i="2" s="1"/>
  <c r="W199" i="3"/>
  <c r="U96" i="3"/>
  <c r="V96" i="3" s="1"/>
  <c r="W96" i="3" s="1"/>
  <c r="X96" i="3"/>
  <c r="X19" i="3"/>
  <c r="U19" i="3"/>
  <c r="V19" i="3" s="1"/>
  <c r="W19" i="3" s="1"/>
  <c r="U317" i="3"/>
  <c r="V317" i="3" s="1"/>
  <c r="W317" i="3" s="1"/>
  <c r="X317" i="3"/>
  <c r="W197" i="3"/>
  <c r="U166" i="3"/>
  <c r="V166" i="3" s="1"/>
  <c r="W166" i="3" s="1"/>
  <c r="X166" i="3"/>
  <c r="W40" i="3"/>
  <c r="X23" i="3"/>
  <c r="U23" i="3"/>
  <c r="V23" i="3" s="1"/>
  <c r="W23" i="3" s="1"/>
  <c r="J33" i="2"/>
  <c r="P26" i="2" a="1"/>
  <c r="P26" i="2" s="1"/>
  <c r="R26" i="2" s="1"/>
  <c r="J28" i="2"/>
  <c r="P21" i="2" a="1"/>
  <c r="P21" i="2" s="1"/>
  <c r="R21" i="2" s="1"/>
  <c r="W292" i="3"/>
  <c r="W277" i="3"/>
  <c r="U44" i="3"/>
  <c r="V44" i="3" s="1"/>
  <c r="W44" i="3" s="1"/>
  <c r="X44" i="3"/>
  <c r="W201" i="3"/>
  <c r="X105" i="3"/>
  <c r="U105" i="3"/>
  <c r="V105" i="3" s="1"/>
  <c r="W105" i="3" s="1"/>
  <c r="J24" i="2"/>
  <c r="P17" i="2" a="1"/>
  <c r="P17" i="2" s="1"/>
  <c r="R17" i="2" s="1"/>
  <c r="U291" i="3"/>
  <c r="V291" i="3" s="1"/>
  <c r="W291" i="3" s="1"/>
  <c r="Y291" i="3" s="1"/>
  <c r="Z291" i="3" s="1"/>
  <c r="J27" i="2"/>
  <c r="W265" i="3"/>
  <c r="W240" i="3"/>
  <c r="W38" i="3"/>
  <c r="W158" i="3"/>
  <c r="W76" i="3"/>
  <c r="W4" i="3"/>
  <c r="W252" i="3"/>
  <c r="W185" i="3"/>
  <c r="X162" i="3"/>
  <c r="U162" i="3"/>
  <c r="V162" i="3" s="1"/>
  <c r="W162" i="3" s="1"/>
  <c r="U153" i="3"/>
  <c r="V153" i="3" s="1"/>
  <c r="W153" i="3" s="1"/>
  <c r="X153" i="3"/>
  <c r="W145" i="3"/>
  <c r="W141" i="3"/>
  <c r="W92" i="3"/>
  <c r="U18" i="3"/>
  <c r="V18" i="3" s="1"/>
  <c r="W18" i="3" s="1"/>
  <c r="X18" i="3"/>
  <c r="X167" i="3"/>
  <c r="X180" i="3"/>
  <c r="X206" i="3"/>
  <c r="X26" i="3"/>
  <c r="X39" i="3"/>
  <c r="X65" i="3"/>
  <c r="X78" i="3"/>
  <c r="X91" i="3"/>
  <c r="X117" i="3"/>
  <c r="X130" i="3"/>
  <c r="X143" i="3"/>
  <c r="X9" i="3"/>
  <c r="X295" i="3"/>
  <c r="W231" i="3"/>
  <c r="W224" i="3"/>
  <c r="W216" i="3"/>
  <c r="W208" i="3"/>
  <c r="W192" i="3"/>
  <c r="X169" i="3"/>
  <c r="X165" i="3"/>
  <c r="X145" i="3"/>
  <c r="X95" i="3"/>
  <c r="S11" i="4"/>
  <c r="T11" i="4" s="1"/>
  <c r="X300" i="3"/>
  <c r="W260" i="3"/>
  <c r="U161" i="3"/>
  <c r="V161" i="3" s="1"/>
  <c r="W161" i="3" s="1"/>
  <c r="X161" i="3"/>
  <c r="X157" i="3"/>
  <c r="X149" i="3"/>
  <c r="U149" i="3"/>
  <c r="V149" i="3" s="1"/>
  <c r="W149" i="3" s="1"/>
  <c r="U140" i="3"/>
  <c r="V140" i="3" s="1"/>
  <c r="W140" i="3" s="1"/>
  <c r="X140" i="3"/>
  <c r="W132" i="3"/>
  <c r="X87" i="3"/>
  <c r="W67" i="3"/>
  <c r="W63" i="3"/>
  <c r="J18" i="2"/>
  <c r="W268" i="3"/>
  <c r="X207" i="3"/>
  <c r="X152" i="3"/>
  <c r="X132" i="3"/>
  <c r="X115" i="3"/>
  <c r="U83" i="3"/>
  <c r="V83" i="3" s="1"/>
  <c r="W83" i="3" s="1"/>
  <c r="X83" i="3"/>
  <c r="X67" i="3"/>
  <c r="X46" i="3"/>
  <c r="X17" i="3"/>
  <c r="X14" i="3"/>
  <c r="U14" i="3"/>
  <c r="V14" i="3" s="1"/>
  <c r="W14" i="3" s="1"/>
  <c r="X7" i="3"/>
  <c r="U7" i="3"/>
  <c r="V7" i="3" s="1"/>
  <c r="W7" i="3" s="1"/>
  <c r="X292" i="3"/>
  <c r="W223" i="3"/>
  <c r="U215" i="3"/>
  <c r="V215" i="3" s="1"/>
  <c r="W215" i="3" s="1"/>
  <c r="U148" i="3"/>
  <c r="V148" i="3" s="1"/>
  <c r="W148" i="3" s="1"/>
  <c r="X148" i="3"/>
  <c r="U127" i="3"/>
  <c r="V127" i="3" s="1"/>
  <c r="W127" i="3" s="1"/>
  <c r="X127" i="3"/>
  <c r="W119" i="3"/>
  <c r="W79" i="3"/>
  <c r="X75" i="3"/>
  <c r="U62" i="3"/>
  <c r="V62" i="3" s="1"/>
  <c r="W62" i="3" s="1"/>
  <c r="X297" i="3"/>
  <c r="U275" i="3"/>
  <c r="V275" i="3" s="1"/>
  <c r="W275" i="3" s="1"/>
  <c r="X275" i="3"/>
  <c r="U259" i="3"/>
  <c r="V259" i="3" s="1"/>
  <c r="W259" i="3" s="1"/>
  <c r="W255" i="3"/>
  <c r="W247" i="3"/>
  <c r="W227" i="3"/>
  <c r="X223" i="3"/>
  <c r="X211" i="3"/>
  <c r="W184" i="3"/>
  <c r="X160" i="3"/>
  <c r="X139" i="3"/>
  <c r="X119" i="3"/>
  <c r="W286" i="3"/>
  <c r="U267" i="3"/>
  <c r="V267" i="3" s="1"/>
  <c r="W267" i="3" s="1"/>
  <c r="X263" i="3"/>
  <c r="W234" i="3"/>
  <c r="X164" i="3"/>
  <c r="W144" i="3"/>
  <c r="X123" i="3"/>
  <c r="U123" i="3"/>
  <c r="V123" i="3" s="1"/>
  <c r="W123" i="3" s="1"/>
  <c r="U54" i="3"/>
  <c r="V54" i="3" s="1"/>
  <c r="W54" i="3" s="1"/>
  <c r="U6" i="3"/>
  <c r="V6" i="3" s="1"/>
  <c r="W6" i="3" s="1"/>
  <c r="X282" i="3"/>
  <c r="X219" i="3"/>
  <c r="W203" i="3"/>
  <c r="U176" i="3"/>
  <c r="V176" i="3" s="1"/>
  <c r="W176" i="3" s="1"/>
  <c r="X147" i="3"/>
  <c r="U135" i="3"/>
  <c r="V135" i="3" s="1"/>
  <c r="W135" i="3" s="1"/>
  <c r="X135" i="3"/>
  <c r="X126" i="3"/>
  <c r="U114" i="3"/>
  <c r="V114" i="3" s="1"/>
  <c r="W114" i="3" s="1"/>
  <c r="U70" i="3"/>
  <c r="V70" i="3" s="1"/>
  <c r="W70" i="3" s="1"/>
  <c r="X70" i="3"/>
  <c r="X307" i="3"/>
  <c r="X274" i="3"/>
  <c r="W263" i="3"/>
  <c r="U254" i="3"/>
  <c r="V254" i="3" s="1"/>
  <c r="W254" i="3" s="1"/>
  <c r="U246" i="3"/>
  <c r="V246" i="3" s="1"/>
  <c r="W246" i="3" s="1"/>
  <c r="W242" i="3"/>
  <c r="X151" i="3"/>
  <c r="U122" i="3"/>
  <c r="V122" i="3" s="1"/>
  <c r="W122" i="3" s="1"/>
  <c r="X122" i="3"/>
  <c r="U49" i="3"/>
  <c r="V49" i="3" s="1"/>
  <c r="W49" i="3" s="1"/>
  <c r="S13" i="4"/>
  <c r="T13" i="4" s="1"/>
  <c r="W172" i="3"/>
  <c r="X61" i="3"/>
  <c r="X237" i="3"/>
  <c r="X250" i="3"/>
  <c r="X276" i="3"/>
  <c r="X174" i="3"/>
  <c r="X187" i="3"/>
  <c r="X200" i="3"/>
  <c r="X16" i="3"/>
  <c r="X55" i="3"/>
  <c r="X107" i="3"/>
  <c r="X216" i="3"/>
  <c r="P14" i="2" a="1"/>
  <c r="P14" i="2" s="1"/>
  <c r="R14" i="2" s="1"/>
  <c r="U262" i="3"/>
  <c r="V262" i="3" s="1"/>
  <c r="W262" i="3" s="1"/>
  <c r="W210" i="3"/>
  <c r="U202" i="3"/>
  <c r="V202" i="3" s="1"/>
  <c r="W202" i="3" s="1"/>
  <c r="W179" i="3"/>
  <c r="X138" i="3"/>
  <c r="W41" i="3"/>
  <c r="W270" i="3"/>
  <c r="X266" i="3"/>
  <c r="W218" i="3"/>
  <c r="W214" i="3"/>
  <c r="X210" i="3"/>
  <c r="X121" i="3"/>
  <c r="X110" i="3"/>
  <c r="U110" i="3"/>
  <c r="V110" i="3" s="1"/>
  <c r="W110" i="3" s="1"/>
  <c r="X77" i="3"/>
  <c r="U57" i="3"/>
  <c r="V57" i="3" s="1"/>
  <c r="W57" i="3" s="1"/>
  <c r="X57" i="3"/>
  <c r="X41" i="3"/>
  <c r="W9" i="3"/>
  <c r="X258" i="3"/>
  <c r="U258" i="3"/>
  <c r="V258" i="3" s="1"/>
  <c r="W258" i="3" s="1"/>
  <c r="X125" i="3"/>
  <c r="X113" i="3"/>
  <c r="U36" i="3"/>
  <c r="V36" i="3" s="1"/>
  <c r="W36" i="3" s="1"/>
  <c r="X36" i="3"/>
  <c r="W266" i="3"/>
  <c r="X253" i="3"/>
  <c r="U109" i="3"/>
  <c r="V109" i="3" s="1"/>
  <c r="W109" i="3" s="1"/>
  <c r="X109" i="3"/>
  <c r="X89" i="3"/>
  <c r="X53" i="3"/>
  <c r="U53" i="3"/>
  <c r="V53" i="3" s="1"/>
  <c r="W53" i="3" s="1"/>
  <c r="X48" i="3"/>
  <c r="X28" i="3"/>
  <c r="U288" i="3"/>
  <c r="V288" i="3" s="1"/>
  <c r="W288" i="3" s="1"/>
  <c r="X288" i="3"/>
  <c r="U249" i="3"/>
  <c r="V249" i="3" s="1"/>
  <c r="W249" i="3" s="1"/>
  <c r="X249" i="3"/>
  <c r="W171" i="3"/>
  <c r="X32" i="3"/>
  <c r="U32" i="3"/>
  <c r="V32" i="3" s="1"/>
  <c r="W32" i="3" s="1"/>
  <c r="X5" i="3"/>
  <c r="U5" i="3"/>
  <c r="V5" i="3" s="1"/>
  <c r="W5" i="3" s="1"/>
  <c r="F7" i="5"/>
  <c r="X268" i="3"/>
  <c r="X255" i="3"/>
  <c r="X242" i="3"/>
  <c r="X203" i="3"/>
  <c r="X198" i="3"/>
  <c r="X185" i="3"/>
  <c r="X172" i="3"/>
  <c r="X76" i="3"/>
  <c r="U232" i="3"/>
  <c r="V232" i="3" s="1"/>
  <c r="W232" i="3" s="1"/>
  <c r="U84" i="3"/>
  <c r="V84" i="3" s="1"/>
  <c r="W84" i="3" s="1"/>
  <c r="U71" i="3"/>
  <c r="V71" i="3" s="1"/>
  <c r="W71" i="3" s="1"/>
  <c r="X278" i="3"/>
  <c r="X156" i="3"/>
  <c r="Y136" i="3" l="1"/>
  <c r="Z136" i="3" s="1"/>
  <c r="Y121" i="3"/>
  <c r="Z121" i="3" s="1"/>
  <c r="Y187" i="3"/>
  <c r="Z187" i="3" s="1"/>
  <c r="Y13" i="3"/>
  <c r="Z13" i="3" s="1"/>
  <c r="Y150" i="3"/>
  <c r="Z150" i="3" s="1"/>
  <c r="Y289" i="3"/>
  <c r="Z289" i="3" s="1"/>
  <c r="Y159" i="3"/>
  <c r="Z159" i="3" s="1"/>
  <c r="Y178" i="3"/>
  <c r="Z178" i="3" s="1"/>
  <c r="Y115" i="3"/>
  <c r="Z115" i="3" s="1"/>
  <c r="Y71" i="3"/>
  <c r="Z71" i="3" s="1"/>
  <c r="Y251" i="3"/>
  <c r="Z251" i="3" s="1"/>
  <c r="Y230" i="3"/>
  <c r="Z230" i="3" s="1"/>
  <c r="Y20" i="3"/>
  <c r="Z20" i="3" s="1"/>
  <c r="Y202" i="3"/>
  <c r="Z202" i="3" s="1"/>
  <c r="Y69" i="3"/>
  <c r="Z69" i="3" s="1"/>
  <c r="Y94" i="3"/>
  <c r="Z94" i="3" s="1"/>
  <c r="Y129" i="3"/>
  <c r="Z129" i="3" s="1"/>
  <c r="Y160" i="3"/>
  <c r="Z160" i="3" s="1"/>
  <c r="Y233" i="3"/>
  <c r="Z233" i="3" s="1"/>
  <c r="Y241" i="3"/>
  <c r="Z241" i="3" s="1"/>
  <c r="Y215" i="3"/>
  <c r="Z215" i="3" s="1"/>
  <c r="Y176" i="3"/>
  <c r="Z176" i="3" s="1"/>
  <c r="Y316" i="3"/>
  <c r="Z316" i="3" s="1"/>
  <c r="Y270" i="3"/>
  <c r="Z270" i="3" s="1"/>
  <c r="Y294" i="3"/>
  <c r="Z294" i="3" s="1"/>
  <c r="Y106" i="3"/>
  <c r="Z106" i="3" s="1"/>
  <c r="Y154" i="3"/>
  <c r="Z154" i="3" s="1"/>
  <c r="Y204" i="3"/>
  <c r="Z204" i="3" s="1"/>
  <c r="Y265" i="3"/>
  <c r="Z265" i="3" s="1"/>
  <c r="Y195" i="3"/>
  <c r="Z195" i="3" s="1"/>
  <c r="Y8" i="3"/>
  <c r="Z8" i="3" s="1"/>
  <c r="Y207" i="3"/>
  <c r="Z207" i="3" s="1"/>
  <c r="Y303" i="3"/>
  <c r="Z303" i="3" s="1"/>
  <c r="Y107" i="3"/>
  <c r="Z107" i="3" s="1"/>
  <c r="Y274" i="3"/>
  <c r="Z274" i="3" s="1"/>
  <c r="Y21" i="3"/>
  <c r="Z21" i="3" s="1"/>
  <c r="Y99" i="3"/>
  <c r="Z99" i="3" s="1"/>
  <c r="Y225" i="3"/>
  <c r="Z225" i="3" s="1"/>
  <c r="Y52" i="3"/>
  <c r="Z52" i="3" s="1"/>
  <c r="Y254" i="3"/>
  <c r="Z254" i="3" s="1"/>
  <c r="Y208" i="3"/>
  <c r="Z208" i="3" s="1"/>
  <c r="Y133" i="3"/>
  <c r="Z133" i="3" s="1"/>
  <c r="Y285" i="3"/>
  <c r="Z285" i="3" s="1"/>
  <c r="Y293" i="3"/>
  <c r="Z293" i="3" s="1"/>
  <c r="Y209" i="3"/>
  <c r="Z209" i="3" s="1"/>
  <c r="Y62" i="3"/>
  <c r="Z62" i="3" s="1"/>
  <c r="Y312" i="3"/>
  <c r="Z312" i="3" s="1"/>
  <c r="Y45" i="3"/>
  <c r="Z45" i="3" s="1"/>
  <c r="Y298" i="3"/>
  <c r="Z298" i="3" s="1"/>
  <c r="Y95" i="3"/>
  <c r="Z95" i="3" s="1"/>
  <c r="Y165" i="3"/>
  <c r="Z165" i="3" s="1"/>
  <c r="Y235" i="3"/>
  <c r="Z235" i="3" s="1"/>
  <c r="Y128" i="3"/>
  <c r="Z128" i="3" s="1"/>
  <c r="Y100" i="3"/>
  <c r="Z100" i="3" s="1"/>
  <c r="Y267" i="3"/>
  <c r="Z267" i="3" s="1"/>
  <c r="Y59" i="3"/>
  <c r="Z59" i="3" s="1"/>
  <c r="Y47" i="3"/>
  <c r="Z47" i="3" s="1"/>
  <c r="Y82" i="3"/>
  <c r="Z82" i="3" s="1"/>
  <c r="Y224" i="3"/>
  <c r="Z224" i="3" s="1"/>
  <c r="Y220" i="3"/>
  <c r="Z220" i="3" s="1"/>
  <c r="Y314" i="3"/>
  <c r="Z314" i="3" s="1"/>
  <c r="Y124" i="3"/>
  <c r="Z124" i="3" s="1"/>
  <c r="Y218" i="3"/>
  <c r="Z218" i="3" s="1"/>
  <c r="Y61" i="3"/>
  <c r="Z61" i="3" s="1"/>
  <c r="Y280" i="3"/>
  <c r="Z280" i="3" s="1"/>
  <c r="Y306" i="3"/>
  <c r="Z306" i="3" s="1"/>
  <c r="Y190" i="3"/>
  <c r="Z190" i="3" s="1"/>
  <c r="Y78" i="3"/>
  <c r="Z78" i="3" s="1"/>
  <c r="Y146" i="3"/>
  <c r="Z146" i="3" s="1"/>
  <c r="Y256" i="3"/>
  <c r="Z256" i="3" s="1"/>
  <c r="Y248" i="3"/>
  <c r="Z248" i="3" s="1"/>
  <c r="Y290" i="3"/>
  <c r="Z290" i="3" s="1"/>
  <c r="Y118" i="3"/>
  <c r="Z118" i="3" s="1"/>
  <c r="Y286" i="3"/>
  <c r="Z286" i="3" s="1"/>
  <c r="Y114" i="3"/>
  <c r="Z114" i="3" s="1"/>
  <c r="Y108" i="3"/>
  <c r="Z108" i="3" s="1"/>
  <c r="Y30" i="3"/>
  <c r="Z30" i="3" s="1"/>
  <c r="Y238" i="3"/>
  <c r="Z238" i="3" s="1"/>
  <c r="Y151" i="3"/>
  <c r="Z151" i="3" s="1"/>
  <c r="Y240" i="3"/>
  <c r="Z240" i="3" s="1"/>
  <c r="Y40" i="3"/>
  <c r="Z40" i="3" s="1"/>
  <c r="Y168" i="3"/>
  <c r="Z168" i="3" s="1"/>
  <c r="Y60" i="3"/>
  <c r="Z60" i="3" s="1"/>
  <c r="Y54" i="3"/>
  <c r="Z54" i="3" s="1"/>
  <c r="Y25" i="3"/>
  <c r="Z25" i="3" s="1"/>
  <c r="Y259" i="3"/>
  <c r="Z259" i="3" s="1"/>
  <c r="Y38" i="3"/>
  <c r="Z38" i="3" s="1"/>
  <c r="Y144" i="3"/>
  <c r="Z144" i="3" s="1"/>
  <c r="Y305" i="3"/>
  <c r="Z305" i="3" s="1"/>
  <c r="Y55" i="3"/>
  <c r="Z55" i="3" s="1"/>
  <c r="Y269" i="3"/>
  <c r="Z269" i="3" s="1"/>
  <c r="Y22" i="3"/>
  <c r="Z22" i="3" s="1"/>
  <c r="Y226" i="3"/>
  <c r="Z226" i="3" s="1"/>
  <c r="Y199" i="3"/>
  <c r="Z199" i="3" s="1"/>
  <c r="Y80" i="3"/>
  <c r="Z80" i="3" s="1"/>
  <c r="Y112" i="3"/>
  <c r="Z112" i="3" s="1"/>
  <c r="Y4" i="3"/>
  <c r="Z4" i="3" s="1"/>
  <c r="Y142" i="3"/>
  <c r="Z142" i="3" s="1"/>
  <c r="S64" i="2"/>
  <c r="Y188" i="3"/>
  <c r="Z188" i="3" s="1"/>
  <c r="Y68" i="3"/>
  <c r="Z68" i="3" s="1"/>
  <c r="Y64" i="3"/>
  <c r="Z64" i="3" s="1"/>
  <c r="Y43" i="3"/>
  <c r="Z43" i="3" s="1"/>
  <c r="Y152" i="3"/>
  <c r="Z152" i="3" s="1"/>
  <c r="Y134" i="3"/>
  <c r="Z134" i="3" s="1"/>
  <c r="Y92" i="3"/>
  <c r="Z92" i="3" s="1"/>
  <c r="Y139" i="3"/>
  <c r="Z139" i="3" s="1"/>
  <c r="Y301" i="3"/>
  <c r="Z301" i="3" s="1"/>
  <c r="Y102" i="3"/>
  <c r="Z102" i="3" s="1"/>
  <c r="Y86" i="3"/>
  <c r="Z86" i="3" s="1"/>
  <c r="Y29" i="3"/>
  <c r="Z29" i="3" s="1"/>
  <c r="Y56" i="3"/>
  <c r="Z56" i="3" s="1"/>
  <c r="Y15" i="3"/>
  <c r="Z15" i="3" s="1"/>
  <c r="Y12" i="3"/>
  <c r="Z12" i="3" s="1"/>
  <c r="Y175" i="3"/>
  <c r="Z175" i="3" s="1"/>
  <c r="Y51" i="3"/>
  <c r="Z51" i="3" s="1"/>
  <c r="Y111" i="3"/>
  <c r="Z111" i="3" s="1"/>
  <c r="Y113" i="3"/>
  <c r="Z113" i="3" s="1"/>
  <c r="Y247" i="3"/>
  <c r="Z247" i="3" s="1"/>
  <c r="Y189" i="3"/>
  <c r="Z189" i="3" s="1"/>
  <c r="Y243" i="3"/>
  <c r="Z243" i="3" s="1"/>
  <c r="Y229" i="3"/>
  <c r="Z229" i="3" s="1"/>
  <c r="G5" i="5"/>
  <c r="Y103" i="3"/>
  <c r="Z103" i="3" s="1"/>
  <c r="Y181" i="3"/>
  <c r="Z181" i="3" s="1"/>
  <c r="Y104" i="3"/>
  <c r="Z104" i="3" s="1"/>
  <c r="Y11" i="3"/>
  <c r="Z11" i="3" s="1"/>
  <c r="Y273" i="3"/>
  <c r="Z273" i="3" s="1"/>
  <c r="Y35" i="3"/>
  <c r="Z35" i="3" s="1"/>
  <c r="Y24" i="3"/>
  <c r="Z24" i="3" s="1"/>
  <c r="Y6" i="3"/>
  <c r="Z6" i="3" s="1"/>
  <c r="Y158" i="3"/>
  <c r="Z158" i="3" s="1"/>
  <c r="Y58" i="3"/>
  <c r="Z58" i="3" s="1"/>
  <c r="Y84" i="3"/>
  <c r="Z84" i="3" s="1"/>
  <c r="Y302" i="3"/>
  <c r="Z302" i="3" s="1"/>
  <c r="Y213" i="3"/>
  <c r="Z213" i="3" s="1"/>
  <c r="Y252" i="3"/>
  <c r="Z252" i="3" s="1"/>
  <c r="Y17" i="3"/>
  <c r="Z17" i="3" s="1"/>
  <c r="Y46" i="3"/>
  <c r="Z46" i="3" s="1"/>
  <c r="Y117" i="3"/>
  <c r="Z117" i="3" s="1"/>
  <c r="Y163" i="3"/>
  <c r="Z163" i="3" s="1"/>
  <c r="Y217" i="3"/>
  <c r="Z217" i="3" s="1"/>
  <c r="Y91" i="3"/>
  <c r="Z91" i="3" s="1"/>
  <c r="Y130" i="3"/>
  <c r="Z130" i="3" s="1"/>
  <c r="Y261" i="3"/>
  <c r="Z261" i="3" s="1"/>
  <c r="Y307" i="3"/>
  <c r="Z307" i="3" s="1"/>
  <c r="Y65" i="3"/>
  <c r="Z65" i="3" s="1"/>
  <c r="Y205" i="3"/>
  <c r="Z205" i="3" s="1"/>
  <c r="Y281" i="3"/>
  <c r="Z281" i="3" s="1"/>
  <c r="Y263" i="3"/>
  <c r="Z263" i="3" s="1"/>
  <c r="Y276" i="3"/>
  <c r="Z276" i="3" s="1"/>
  <c r="Y260" i="3"/>
  <c r="Z260" i="3" s="1"/>
  <c r="Y308" i="3"/>
  <c r="Z308" i="3" s="1"/>
  <c r="Y34" i="3"/>
  <c r="Z34" i="3" s="1"/>
  <c r="Y315" i="3"/>
  <c r="Z315" i="3" s="1"/>
  <c r="Y33" i="3"/>
  <c r="Z33" i="3" s="1"/>
  <c r="Y101" i="3"/>
  <c r="Z101" i="3" s="1"/>
  <c r="Y171" i="3"/>
  <c r="Z171" i="3" s="1"/>
  <c r="Y278" i="3"/>
  <c r="Z278" i="3" s="1"/>
  <c r="Y125" i="3"/>
  <c r="Z125" i="3" s="1"/>
  <c r="Y179" i="3"/>
  <c r="Z179" i="3" s="1"/>
  <c r="Y49" i="3"/>
  <c r="Z49" i="3" s="1"/>
  <c r="Y211" i="3"/>
  <c r="Z211" i="3" s="1"/>
  <c r="Y141" i="3"/>
  <c r="Z141" i="3" s="1"/>
  <c r="Y42" i="3"/>
  <c r="Z42" i="3" s="1"/>
  <c r="Y156" i="3"/>
  <c r="Z156" i="3" s="1"/>
  <c r="Y184" i="3"/>
  <c r="Z184" i="3" s="1"/>
  <c r="Y227" i="3"/>
  <c r="Z227" i="3" s="1"/>
  <c r="Y201" i="3"/>
  <c r="Z201" i="3" s="1"/>
  <c r="Y85" i="3"/>
  <c r="Z85" i="3" s="1"/>
  <c r="Y50" i="3"/>
  <c r="Z50" i="3" s="1"/>
  <c r="Y90" i="3"/>
  <c r="Z90" i="3" s="1"/>
  <c r="Y197" i="3"/>
  <c r="Z197" i="3" s="1"/>
  <c r="Y219" i="3"/>
  <c r="Z219" i="3" s="1"/>
  <c r="Y295" i="3"/>
  <c r="Z295" i="3" s="1"/>
  <c r="Y177" i="3"/>
  <c r="Z177" i="3" s="1"/>
  <c r="Y116" i="3"/>
  <c r="Z116" i="3" s="1"/>
  <c r="Y296" i="3"/>
  <c r="Z296" i="3" s="1"/>
  <c r="Y170" i="3"/>
  <c r="Z170" i="3" s="1"/>
  <c r="Y72" i="3"/>
  <c r="Z72" i="3" s="1"/>
  <c r="Y98" i="3"/>
  <c r="Z98" i="3" s="1"/>
  <c r="Y272" i="3"/>
  <c r="Z272" i="3" s="1"/>
  <c r="Y221" i="3"/>
  <c r="Z221" i="3" s="1"/>
  <c r="Y81" i="3"/>
  <c r="Z81" i="3" s="1"/>
  <c r="Y185" i="3"/>
  <c r="Z185" i="3" s="1"/>
  <c r="Y282" i="3"/>
  <c r="Z282" i="3" s="1"/>
  <c r="Y74" i="3"/>
  <c r="Z74" i="3" s="1"/>
  <c r="Y182" i="3"/>
  <c r="Z182" i="3" s="1"/>
  <c r="Y192" i="3"/>
  <c r="Z192" i="3" s="1"/>
  <c r="Y87" i="3"/>
  <c r="Z87" i="3" s="1"/>
  <c r="Y310" i="3"/>
  <c r="Z310" i="3" s="1"/>
  <c r="Y89" i="3"/>
  <c r="Z89" i="3" s="1"/>
  <c r="Y16" i="3"/>
  <c r="Z16" i="3" s="1"/>
  <c r="Y231" i="3"/>
  <c r="Z231" i="3" s="1"/>
  <c r="Y317" i="3"/>
  <c r="Z317" i="3" s="1"/>
  <c r="Y120" i="3"/>
  <c r="Z120" i="3" s="1"/>
  <c r="Y214" i="3"/>
  <c r="Z214" i="3" s="1"/>
  <c r="Y183" i="3"/>
  <c r="Z183" i="3" s="1"/>
  <c r="Y137" i="3"/>
  <c r="Z137" i="3" s="1"/>
  <c r="G3" i="5"/>
  <c r="Y277" i="3"/>
  <c r="Z277" i="3" s="1"/>
  <c r="Y193" i="3"/>
  <c r="Z193" i="3" s="1"/>
  <c r="Y264" i="3"/>
  <c r="Z264" i="3" s="1"/>
  <c r="Y222" i="3"/>
  <c r="Z222" i="3" s="1"/>
  <c r="Y73" i="3"/>
  <c r="Z73" i="3" s="1"/>
  <c r="Y157" i="3"/>
  <c r="Z157" i="3" s="1"/>
  <c r="Y239" i="3"/>
  <c r="Z239" i="3" s="1"/>
  <c r="Y196" i="3"/>
  <c r="Z196" i="3" s="1"/>
  <c r="Y88" i="3"/>
  <c r="Z88" i="3" s="1"/>
  <c r="Y279" i="3"/>
  <c r="Z279" i="3" s="1"/>
  <c r="Y66" i="3"/>
  <c r="Z66" i="3" s="1"/>
  <c r="Y311" i="3"/>
  <c r="Z311" i="3" s="1"/>
  <c r="Y284" i="3"/>
  <c r="Z284" i="3" s="1"/>
  <c r="Y228" i="3"/>
  <c r="Z228" i="3" s="1"/>
  <c r="Y26" i="3"/>
  <c r="Z26" i="3" s="1"/>
  <c r="Y39" i="3"/>
  <c r="Z39" i="3" s="1"/>
  <c r="Y147" i="3"/>
  <c r="Z147" i="3" s="1"/>
  <c r="Y232" i="3"/>
  <c r="Z232" i="3" s="1"/>
  <c r="Y206" i="3"/>
  <c r="Z206" i="3" s="1"/>
  <c r="Y262" i="3"/>
  <c r="Z262" i="3" s="1"/>
  <c r="Y119" i="3"/>
  <c r="Z119" i="3" s="1"/>
  <c r="Y27" i="3"/>
  <c r="Z27" i="3" s="1"/>
  <c r="Y309" i="3"/>
  <c r="Z309" i="3" s="1"/>
  <c r="Y200" i="3"/>
  <c r="Z200" i="3" s="1"/>
  <c r="Y246" i="3"/>
  <c r="Z246" i="3" s="1"/>
  <c r="Y167" i="3"/>
  <c r="Z167" i="3" s="1"/>
  <c r="Y287" i="3"/>
  <c r="Z287" i="3" s="1"/>
  <c r="Y10" i="3"/>
  <c r="Z10" i="3" s="1"/>
  <c r="G4" i="5"/>
  <c r="Y253" i="3"/>
  <c r="Z253" i="3" s="1"/>
  <c r="Y77" i="3"/>
  <c r="Z77" i="3" s="1"/>
  <c r="Y250" i="3"/>
  <c r="Z250" i="3" s="1"/>
  <c r="Y164" i="3"/>
  <c r="Z164" i="3" s="1"/>
  <c r="Y283" i="3"/>
  <c r="Z283" i="3" s="1"/>
  <c r="Y131" i="3"/>
  <c r="Z131" i="3" s="1"/>
  <c r="Y234" i="3"/>
  <c r="Z234" i="3" s="1"/>
  <c r="Y173" i="3"/>
  <c r="Z173" i="3" s="1"/>
  <c r="Y75" i="3"/>
  <c r="Z75" i="3" s="1"/>
  <c r="Y143" i="3"/>
  <c r="Z143" i="3" s="1"/>
  <c r="Y186" i="3"/>
  <c r="Z186" i="3" s="1"/>
  <c r="Y76" i="3"/>
  <c r="Z76" i="3" s="1"/>
  <c r="Y297" i="3"/>
  <c r="Z297" i="3" s="1"/>
  <c r="Y67" i="3"/>
  <c r="Z67" i="3" s="1"/>
  <c r="Y28" i="3"/>
  <c r="Z28" i="3" s="1"/>
  <c r="Y138" i="3"/>
  <c r="Z138" i="3" s="1"/>
  <c r="Y79" i="3"/>
  <c r="Z79" i="3" s="1"/>
  <c r="Y63" i="3"/>
  <c r="Z63" i="3" s="1"/>
  <c r="Y169" i="3"/>
  <c r="Z169" i="3" s="1"/>
  <c r="Y180" i="3"/>
  <c r="Z180" i="3" s="1"/>
  <c r="Y299" i="3"/>
  <c r="Z299" i="3" s="1"/>
  <c r="Y53" i="3"/>
  <c r="Z53" i="3" s="1"/>
  <c r="Y41" i="3"/>
  <c r="Z41" i="3" s="1"/>
  <c r="Y126" i="3"/>
  <c r="Z126" i="3" s="1"/>
  <c r="Y304" i="3"/>
  <c r="Z304" i="3" s="1"/>
  <c r="Y145" i="3"/>
  <c r="Z145" i="3" s="1"/>
  <c r="J30" i="2"/>
  <c r="P23" i="2" a="1"/>
  <c r="P23" i="2" s="1"/>
  <c r="R23" i="2" s="1"/>
  <c r="Y140" i="3"/>
  <c r="Z140" i="3" s="1"/>
  <c r="Y313" i="3"/>
  <c r="Z313" i="3" s="1"/>
  <c r="Y212" i="3"/>
  <c r="Z212" i="3" s="1"/>
  <c r="Y9" i="3"/>
  <c r="Z9" i="3" s="1"/>
  <c r="Y191" i="3"/>
  <c r="Z191" i="3" s="1"/>
  <c r="Y198" i="3"/>
  <c r="Z198" i="3" s="1"/>
  <c r="Y174" i="3"/>
  <c r="Z174" i="3" s="1"/>
  <c r="Y203" i="3"/>
  <c r="Z203" i="3" s="1"/>
  <c r="Y288" i="3"/>
  <c r="Z288" i="3" s="1"/>
  <c r="Y300" i="3"/>
  <c r="Z300" i="3" s="1"/>
  <c r="Y242" i="3"/>
  <c r="Z242" i="3" s="1"/>
  <c r="Y255" i="3"/>
  <c r="Z255" i="3" s="1"/>
  <c r="Y266" i="3"/>
  <c r="Z266" i="3" s="1"/>
  <c r="Y237" i="3"/>
  <c r="Z237" i="3" s="1"/>
  <c r="Y223" i="3"/>
  <c r="Z223" i="3" s="1"/>
  <c r="Y292" i="3"/>
  <c r="Z292" i="3" s="1"/>
  <c r="J25" i="2"/>
  <c r="P18" i="2" a="1"/>
  <c r="P18" i="2" s="1"/>
  <c r="R18" i="2" s="1"/>
  <c r="P28" i="2" a="1"/>
  <c r="P28" i="2" s="1"/>
  <c r="R28" i="2" s="1"/>
  <c r="J35" i="2"/>
  <c r="Y31" i="3"/>
  <c r="Z31" i="3" s="1"/>
  <c r="J34" i="2"/>
  <c r="P27" i="2" a="1"/>
  <c r="P27" i="2" s="1"/>
  <c r="R27" i="2" s="1"/>
  <c r="Y109" i="3"/>
  <c r="Z109" i="3" s="1"/>
  <c r="Y275" i="3"/>
  <c r="Z275" i="3" s="1"/>
  <c r="P24" i="2" a="1"/>
  <c r="P24" i="2" s="1"/>
  <c r="R24" i="2" s="1"/>
  <c r="J31" i="2"/>
  <c r="J40" i="2"/>
  <c r="P33" i="2" a="1"/>
  <c r="P33" i="2" s="1"/>
  <c r="R33" i="2" s="1"/>
  <c r="Y258" i="3"/>
  <c r="Z258" i="3" s="1"/>
  <c r="Y172" i="3"/>
  <c r="Z172" i="3" s="1"/>
  <c r="Y57" i="3"/>
  <c r="Z57" i="3" s="1"/>
  <c r="Y122" i="3"/>
  <c r="Z122" i="3" s="1"/>
  <c r="Y162" i="3"/>
  <c r="Z162" i="3" s="1"/>
  <c r="Y7" i="3"/>
  <c r="Z7" i="3" s="1"/>
  <c r="Y19" i="3"/>
  <c r="Z19" i="3" s="1"/>
  <c r="Y97" i="3"/>
  <c r="Z97" i="3" s="1"/>
  <c r="Y257" i="3"/>
  <c r="Z257" i="3" s="1"/>
  <c r="Y135" i="3"/>
  <c r="Z135" i="3" s="1"/>
  <c r="Y249" i="3"/>
  <c r="Z249" i="3" s="1"/>
  <c r="Y14" i="3"/>
  <c r="Z14" i="3" s="1"/>
  <c r="Y194" i="3"/>
  <c r="Z194" i="3" s="1"/>
  <c r="Y245" i="3"/>
  <c r="Z245" i="3" s="1"/>
  <c r="Y93" i="3"/>
  <c r="Z93" i="3" s="1"/>
  <c r="Y96" i="3"/>
  <c r="Z96" i="3" s="1"/>
  <c r="Y83" i="3"/>
  <c r="Z83" i="3" s="1"/>
  <c r="Y18" i="3"/>
  <c r="Z18" i="3" s="1"/>
  <c r="Y110" i="3"/>
  <c r="Z110" i="3" s="1"/>
  <c r="Y127" i="3"/>
  <c r="Z127" i="3" s="1"/>
  <c r="Y149" i="3"/>
  <c r="Z149" i="3" s="1"/>
  <c r="Y155" i="3"/>
  <c r="Z155" i="3" s="1"/>
  <c r="Y236" i="3"/>
  <c r="Z236" i="3" s="1"/>
  <c r="Y105" i="3"/>
  <c r="Z105" i="3" s="1"/>
  <c r="Y36" i="3"/>
  <c r="Z36" i="3" s="1"/>
  <c r="Y210" i="3"/>
  <c r="Z210" i="3" s="1"/>
  <c r="Y148" i="3"/>
  <c r="Z148" i="3" s="1"/>
  <c r="Y132" i="3"/>
  <c r="Z132" i="3" s="1"/>
  <c r="Y161" i="3"/>
  <c r="Z161" i="3" s="1"/>
  <c r="Y44" i="3"/>
  <c r="Z44" i="3" s="1"/>
  <c r="Y23" i="3"/>
  <c r="Z23" i="3" s="1"/>
  <c r="Y166" i="3"/>
  <c r="Z166" i="3" s="1"/>
  <c r="Y268" i="3"/>
  <c r="Z268" i="3" s="1"/>
  <c r="Y48" i="3"/>
  <c r="Z48" i="3" s="1"/>
  <c r="Y70" i="3"/>
  <c r="Z70" i="3" s="1"/>
  <c r="Y5" i="3"/>
  <c r="Z5" i="3" s="1"/>
  <c r="Y32" i="3"/>
  <c r="Z32" i="3" s="1"/>
  <c r="Y216" i="3"/>
  <c r="Z216" i="3" s="1"/>
  <c r="Y123" i="3"/>
  <c r="Z123" i="3" s="1"/>
  <c r="Y153" i="3"/>
  <c r="Z153" i="3" s="1"/>
  <c r="P36" i="2" a="1"/>
  <c r="P36" i="2" s="1"/>
  <c r="R36" i="2" s="1"/>
  <c r="J43" i="2"/>
  <c r="Y244" i="3"/>
  <c r="Z244" i="3" s="1"/>
  <c r="G7" i="5" l="1"/>
  <c r="BG4" i="6" s="1"/>
  <c r="J37" i="2"/>
  <c r="P30" i="2" a="1"/>
  <c r="P30" i="2" s="1"/>
  <c r="R30" i="2" s="1"/>
  <c r="J42" i="2"/>
  <c r="P35" i="2" a="1"/>
  <c r="P35" i="2" s="1"/>
  <c r="R35" i="2" s="1"/>
  <c r="J51" i="2"/>
  <c r="P43" i="2" a="1"/>
  <c r="P43" i="2" s="1"/>
  <c r="R43" i="2" s="1"/>
  <c r="J48" i="2"/>
  <c r="P40" i="2" a="1"/>
  <c r="P40" i="2" s="1"/>
  <c r="R40" i="2" s="1"/>
  <c r="J32" i="2"/>
  <c r="P25" i="2" a="1"/>
  <c r="P25" i="2" s="1"/>
  <c r="R25" i="2" s="1"/>
  <c r="J38" i="2"/>
  <c r="P31" i="2" a="1"/>
  <c r="P31" i="2" s="1"/>
  <c r="R31" i="2" s="1"/>
  <c r="J41" i="2"/>
  <c r="P34" i="2" a="1"/>
  <c r="P34" i="2" s="1"/>
  <c r="R34" i="2" s="1"/>
  <c r="BG5" i="6" l="1"/>
  <c r="J44" i="2"/>
  <c r="P37" i="2" a="1"/>
  <c r="P37" i="2" s="1"/>
  <c r="R37" i="2" s="1"/>
  <c r="J49" i="2"/>
  <c r="P41" i="2" a="1"/>
  <c r="P41" i="2" s="1"/>
  <c r="R41" i="2" s="1"/>
  <c r="P38" i="2" a="1"/>
  <c r="P38" i="2" s="1"/>
  <c r="R38" i="2" s="1"/>
  <c r="J46" i="2"/>
  <c r="P32" i="2" a="1"/>
  <c r="P32" i="2" s="1"/>
  <c r="R32" i="2" s="1"/>
  <c r="J39" i="2"/>
  <c r="P48" i="2" a="1"/>
  <c r="P48" i="2" s="1"/>
  <c r="R48" i="2" s="1"/>
  <c r="J56" i="2"/>
  <c r="J59" i="2"/>
  <c r="P51" i="2" a="1"/>
  <c r="P51" i="2" s="1"/>
  <c r="R51" i="2" s="1"/>
  <c r="J50" i="2"/>
  <c r="P42" i="2" a="1"/>
  <c r="P42" i="2" s="1"/>
  <c r="R42" i="2" s="1"/>
  <c r="BG6" i="6" l="1"/>
  <c r="J52" i="2"/>
  <c r="P44" i="2" a="1"/>
  <c r="P44" i="2" s="1"/>
  <c r="R44" i="2" s="1"/>
  <c r="P39" i="2" a="1"/>
  <c r="P39" i="2" s="1"/>
  <c r="R39" i="2" s="1"/>
  <c r="J47" i="2"/>
  <c r="P46" i="2" a="1"/>
  <c r="P46" i="2" s="1"/>
  <c r="R46" i="2" s="1"/>
  <c r="J54" i="2"/>
  <c r="P50" i="2" a="1"/>
  <c r="P50" i="2" s="1"/>
  <c r="R50" i="2" s="1"/>
  <c r="J58" i="2"/>
  <c r="P59" i="2" a="1"/>
  <c r="P59" i="2" s="1"/>
  <c r="R59" i="2" s="1"/>
  <c r="J67" i="2"/>
  <c r="P56" i="2" a="1"/>
  <c r="P56" i="2" s="1"/>
  <c r="R56" i="2" s="1"/>
  <c r="J64" i="2"/>
  <c r="P49" i="2" a="1"/>
  <c r="P49" i="2" s="1"/>
  <c r="R49" i="2" s="1"/>
  <c r="J57" i="2"/>
  <c r="BG7" i="6" l="1"/>
  <c r="P52" i="2" a="1"/>
  <c r="P52" i="2" s="1"/>
  <c r="R52" i="2" s="1"/>
  <c r="J60" i="2"/>
  <c r="P57" i="2" a="1"/>
  <c r="P57" i="2" s="1"/>
  <c r="R57" i="2" s="1"/>
  <c r="J65" i="2"/>
  <c r="J72" i="2"/>
  <c r="P72" i="2" s="1" a="1"/>
  <c r="P72" i="2" s="1"/>
  <c r="R72" i="2" s="1"/>
  <c r="P64" i="2" a="1"/>
  <c r="P64" i="2" s="1"/>
  <c r="R64" i="2" s="1"/>
  <c r="P67" i="2" a="1"/>
  <c r="P67" i="2" s="1"/>
  <c r="R67" i="2" s="1"/>
  <c r="J75" i="2"/>
  <c r="P75" i="2" s="1" a="1"/>
  <c r="P75" i="2" s="1"/>
  <c r="R75" i="2" s="1"/>
  <c r="J66" i="2"/>
  <c r="P58" i="2" a="1"/>
  <c r="P58" i="2" s="1"/>
  <c r="R58" i="2" s="1"/>
  <c r="J55" i="2"/>
  <c r="P47" i="2" a="1"/>
  <c r="P47" i="2" s="1"/>
  <c r="R47" i="2" s="1"/>
  <c r="J62" i="2"/>
  <c r="P54" i="2" a="1"/>
  <c r="P54" i="2" s="1"/>
  <c r="R54" i="2" s="1"/>
  <c r="BG8" i="6" l="1"/>
  <c r="P60" i="2" a="1"/>
  <c r="P60" i="2" s="1"/>
  <c r="R60" i="2" s="1"/>
  <c r="J68" i="2"/>
  <c r="P55" i="2" a="1"/>
  <c r="P55" i="2" s="1"/>
  <c r="R55" i="2" s="1"/>
  <c r="J63" i="2"/>
  <c r="P62" i="2" a="1"/>
  <c r="P62" i="2" s="1"/>
  <c r="R62" i="2" s="1"/>
  <c r="J70" i="2"/>
  <c r="P70" i="2" s="1" a="1"/>
  <c r="P70" i="2" s="1"/>
  <c r="R70" i="2" s="1"/>
  <c r="P65" i="2" a="1"/>
  <c r="P65" i="2" s="1"/>
  <c r="R65" i="2" s="1"/>
  <c r="J73" i="2"/>
  <c r="P73" i="2" s="1" a="1"/>
  <c r="P73" i="2" s="1"/>
  <c r="R73" i="2" s="1"/>
  <c r="P66" i="2" a="1"/>
  <c r="P66" i="2" s="1"/>
  <c r="R66" i="2" s="1"/>
  <c r="J74" i="2"/>
  <c r="P74" i="2" s="1" a="1"/>
  <c r="P74" i="2" s="1"/>
  <c r="R74" i="2" s="1"/>
  <c r="BG9" i="6" l="1"/>
  <c r="J76" i="2"/>
  <c r="P76" i="2" s="1" a="1"/>
  <c r="P76" i="2" s="1"/>
  <c r="R76" i="2" s="1"/>
  <c r="P68" i="2" a="1"/>
  <c r="P68" i="2" s="1"/>
  <c r="R68" i="2" s="1"/>
  <c r="J71" i="2"/>
  <c r="P71" i="2" s="1" a="1"/>
  <c r="P71" i="2" s="1"/>
  <c r="R71" i="2" s="1"/>
  <c r="P63" i="2" a="1"/>
  <c r="P63" i="2" s="1"/>
  <c r="R63" i="2" s="1"/>
  <c r="BG10" i="6" l="1"/>
  <c r="BG11" i="6" l="1"/>
  <c r="BG12" i="6" l="1"/>
  <c r="BG13" i="6" l="1"/>
  <c r="A7" i="6" l="1"/>
  <c r="AJ7" i="6"/>
  <c r="A15" i="6" l="1"/>
  <c r="AJ15" i="6"/>
  <c r="AJ5" i="6"/>
  <c r="A5" i="6"/>
  <c r="A10" i="6"/>
  <c r="AJ10" i="6"/>
  <c r="AJ12" i="6"/>
  <c r="A12" i="6"/>
  <c r="AJ14" i="6"/>
  <c r="A14" i="6"/>
  <c r="A31" i="6"/>
  <c r="AJ31" i="6"/>
  <c r="A25" i="6"/>
  <c r="AJ25" i="6"/>
  <c r="AJ30" i="6"/>
  <c r="A30" i="6"/>
  <c r="AJ33" i="6"/>
  <c r="A33" i="6"/>
  <c r="AJ8" i="6"/>
  <c r="A8" i="6"/>
  <c r="A32" i="6"/>
  <c r="AJ32" i="6"/>
  <c r="AJ24" i="6"/>
  <c r="A24" i="6"/>
  <c r="A6" i="6"/>
  <c r="AJ6" i="6"/>
  <c r="A28" i="6"/>
  <c r="AJ28" i="6"/>
  <c r="A18" i="6"/>
  <c r="AJ18" i="6"/>
  <c r="A21" i="6"/>
  <c r="AJ21" i="6"/>
  <c r="AJ27" i="6"/>
  <c r="A27" i="6"/>
  <c r="AJ29" i="6"/>
  <c r="A29" i="6"/>
  <c r="AJ19" i="6"/>
  <c r="A19" i="6"/>
  <c r="AJ20" i="6"/>
  <c r="A20" i="6"/>
  <c r="AJ17" i="6"/>
  <c r="A17" i="6"/>
  <c r="A22" i="6"/>
  <c r="AJ22" i="6"/>
  <c r="A4" i="6"/>
  <c r="AJ4" i="6"/>
  <c r="A9" i="6"/>
  <c r="AJ9" i="6"/>
  <c r="AJ26" i="6"/>
  <c r="A26" i="6"/>
  <c r="A13" i="6"/>
  <c r="AJ13" i="6"/>
  <c r="AJ23" i="6"/>
  <c r="A23" i="6"/>
  <c r="AJ16" i="6"/>
  <c r="A16" i="6"/>
  <c r="AJ11" i="6"/>
  <c r="A1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<sst xmlns="http://schemas.openxmlformats.org/spreadsheetml/2006/main" count="1286" uniqueCount="186">
  <si>
    <t>Notes</t>
  </si>
  <si>
    <t>E10 CRI</t>
  </si>
  <si>
    <t>E9 ALAS</t>
  </si>
  <si>
    <t>E8 SWBC</t>
  </si>
  <si>
    <t>E7 Permanent share</t>
  </si>
  <si>
    <t>E6 WDST</t>
  </si>
  <si>
    <t>E5 OFTC</t>
  </si>
  <si>
    <t>E4 high eff</t>
  </si>
  <si>
    <t>E4 low eff</t>
  </si>
  <si>
    <t>E4 main</t>
  </si>
  <si>
    <t>E3 sc4</t>
  </si>
  <si>
    <t>E3 sc3</t>
  </si>
  <si>
    <t>E3 sc2</t>
  </si>
  <si>
    <t>E3 sc1</t>
  </si>
  <si>
    <t>E3 main</t>
  </si>
  <si>
    <t>E2 sc4</t>
  </si>
  <si>
    <t>E2 sc3</t>
  </si>
  <si>
    <t>E2 sc2</t>
  </si>
  <si>
    <t>E2 sc1</t>
  </si>
  <si>
    <t>E2 main</t>
  </si>
  <si>
    <t>E1 sc4</t>
  </si>
  <si>
    <t>E1 sc3</t>
  </si>
  <si>
    <t>E1 sc2</t>
  </si>
  <si>
    <t>E1 sc1</t>
  </si>
  <si>
    <t>E1 main</t>
  </si>
  <si>
    <t>Year</t>
  </si>
  <si>
    <t>D8</t>
  </si>
  <si>
    <t>D7</t>
  </si>
  <si>
    <t>D6</t>
  </si>
  <si>
    <t>D5</t>
  </si>
  <si>
    <t>D4</t>
  </si>
  <si>
    <t>D3</t>
  </si>
  <si>
    <t>D2</t>
  </si>
  <si>
    <t>D1</t>
  </si>
  <si>
    <t>TAW_CIS</t>
  </si>
  <si>
    <t>Area permanent crop</t>
  </si>
  <si>
    <t xml:space="preserve">TC Drip </t>
  </si>
  <si>
    <t>TC Sprinkler</t>
  </si>
  <si>
    <t>Hypothetical coincident peak</t>
  </si>
  <si>
    <t>PD90%ISW_EF_L</t>
  </si>
  <si>
    <t>PD90%ISW_EF_H</t>
  </si>
  <si>
    <t>PD50%ISW_EF_L</t>
  </si>
  <si>
    <t>PD50%ISW_EF_H</t>
  </si>
  <si>
    <t>GIR90%ISW_EF_L</t>
  </si>
  <si>
    <t>GIR90%ISW_EF_H</t>
  </si>
  <si>
    <t>GIR50%ISW_EF_L</t>
  </si>
  <si>
    <t>GIR50%ISW_EF_H</t>
  </si>
  <si>
    <t>Irrigated area</t>
  </si>
  <si>
    <t>Total area</t>
  </si>
  <si>
    <t>Required pumping capacity</t>
  </si>
  <si>
    <t>Installed pumping capacity</t>
  </si>
  <si>
    <t>Renewable energy</t>
  </si>
  <si>
    <t>Energy cost</t>
  </si>
  <si>
    <t>Consumed energy</t>
  </si>
  <si>
    <t>Source withdrawals</t>
  </si>
  <si>
    <t>Hydrant-supplied volume</t>
  </si>
  <si>
    <t>Pumped volume</t>
  </si>
  <si>
    <t>Inputs D–E: pumping, energy and farm-level adaptive capacity</t>
  </si>
  <si>
    <t>Vineyard</t>
  </si>
  <si>
    <t>Silage</t>
  </si>
  <si>
    <t>Pastures</t>
  </si>
  <si>
    <t>P. tomate</t>
  </si>
  <si>
    <t>Olive grove</t>
  </si>
  <si>
    <t>Fodder crops</t>
  </si>
  <si>
    <t>Complex syst.</t>
  </si>
  <si>
    <t>Almond orchard</t>
  </si>
  <si>
    <t>drip</t>
  </si>
  <si>
    <t>Sprinkler</t>
  </si>
  <si>
    <t>(blank)</t>
  </si>
  <si>
    <t>Melon</t>
  </si>
  <si>
    <t>I j,low</t>
  </si>
  <si>
    <t>high</t>
  </si>
  <si>
    <t>low</t>
  </si>
  <si>
    <t>IS</t>
  </si>
  <si>
    <t>SWF</t>
  </si>
  <si>
    <t>Crop</t>
  </si>
  <si>
    <r>
      <t>I</t>
    </r>
    <r>
      <rPr>
        <vertAlign val="subscript"/>
        <sz val="11"/>
        <color theme="0"/>
        <rFont val="Calibri"/>
        <family val="2"/>
        <scheme val="minor"/>
      </rPr>
      <t xml:space="preserve"> j,high</t>
    </r>
  </si>
  <si>
    <t>EF (%)</t>
  </si>
  <si>
    <t>Sum of WAFAE_high_ef</t>
  </si>
  <si>
    <t>Sum of WAFAE_low_ef</t>
  </si>
  <si>
    <t>Row Labels</t>
  </si>
  <si>
    <t>ISF_high_ef</t>
  </si>
  <si>
    <t>ISF_low_ef</t>
  </si>
  <si>
    <r>
      <t>I</t>
    </r>
    <r>
      <rPr>
        <vertAlign val="subscript"/>
        <sz val="11"/>
        <color theme="0"/>
        <rFont val="Calibri"/>
        <family val="2"/>
        <scheme val="minor"/>
      </rPr>
      <t xml:space="preserve"> j,low</t>
    </r>
  </si>
  <si>
    <t>Area_share_pct</t>
  </si>
  <si>
    <t>Area_total_ha</t>
  </si>
  <si>
    <t>Area_ha</t>
  </si>
  <si>
    <t>S3</t>
  </si>
  <si>
    <t>S2</t>
  </si>
  <si>
    <t>S1</t>
  </si>
  <si>
    <t>N</t>
  </si>
  <si>
    <t>N2</t>
  </si>
  <si>
    <t>N1</t>
  </si>
  <si>
    <t>SWBC (mm)</t>
  </si>
  <si>
    <t>Sum of Area_ha_soil_crop</t>
  </si>
  <si>
    <t>Sum of SWBC</t>
  </si>
  <si>
    <t>SWBC</t>
  </si>
  <si>
    <t>Taw</t>
  </si>
  <si>
    <t>CC-CE</t>
  </si>
  <si>
    <t>Zeff</t>
  </si>
  <si>
    <t>Z (cm)</t>
  </si>
  <si>
    <t>Z</t>
  </si>
  <si>
    <t>zr</t>
  </si>
  <si>
    <t>Crop_soil_share_pct</t>
  </si>
  <si>
    <t>Crop_total_ha</t>
  </si>
  <si>
    <t>Area_ha_soil_crop</t>
  </si>
  <si>
    <t>Soil</t>
  </si>
  <si>
    <t>Area</t>
  </si>
  <si>
    <t>AWC (50 cm)</t>
  </si>
  <si>
    <t xml:space="preserve">θ−1500 kPa </t>
  </si>
  <si>
    <t>θ−33 kPa</t>
  </si>
  <si>
    <t>z</t>
  </si>
  <si>
    <t>Class</t>
  </si>
  <si>
    <t>Zr</t>
  </si>
  <si>
    <t>Crops</t>
  </si>
  <si>
    <t>Vineyards</t>
  </si>
  <si>
    <t xml:space="preserve">olive grove </t>
  </si>
  <si>
    <t xml:space="preserve">Almond </t>
  </si>
  <si>
    <t>Non-chill - area</t>
  </si>
  <si>
    <t>Chill - area</t>
  </si>
  <si>
    <t>end</t>
  </si>
  <si>
    <t>start</t>
  </si>
  <si>
    <t>CAI</t>
  </si>
  <si>
    <t>Weigth Total</t>
  </si>
  <si>
    <t>Weigth crop</t>
  </si>
  <si>
    <t>CRI</t>
  </si>
  <si>
    <t>Chill hours</t>
  </si>
  <si>
    <t>days</t>
  </si>
  <si>
    <t>Period</t>
  </si>
  <si>
    <t>year</t>
  </si>
  <si>
    <t>Yilmaz et al., 2021</t>
  </si>
  <si>
    <t>Abou-Saaid et al., 2022</t>
  </si>
  <si>
    <t xml:space="preserve">Olive grove </t>
  </si>
  <si>
    <t>Fadón et al., 2020</t>
  </si>
  <si>
    <t>References</t>
  </si>
  <si>
    <t>Max</t>
  </si>
  <si>
    <t>Low</t>
  </si>
  <si>
    <t>Chill requirements indicator</t>
  </si>
  <si>
    <t>Total CIS</t>
  </si>
  <si>
    <t>(iv) absent</t>
  </si>
  <si>
    <t>(iii) located within 200 m of the parcel boundary, but with uncertain operational linkage</t>
  </si>
  <si>
    <t>(ii) located within 100 m of the parcel boundary, but with uncertain operational linkage</t>
  </si>
  <si>
    <t>(i) located within the parcel or directly attached to it</t>
  </si>
  <si>
    <t>ALAS (%)</t>
  </si>
  <si>
    <t>ALAS (ha)</t>
  </si>
  <si>
    <t>Area (ha)</t>
  </si>
  <si>
    <t>Score</t>
  </si>
  <si>
    <t>Strage-access score SAi​ according to whether a small reservoir, pond, or tank</t>
  </si>
  <si>
    <t>GIR_year_m3</t>
  </si>
  <si>
    <t>GIR_year_mm</t>
  </si>
  <si>
    <t>Peak_demand_crop_m3</t>
  </si>
  <si>
    <t>Peak_demand_crop_mm</t>
  </si>
  <si>
    <t>Peak_demand_crop_July_m3</t>
  </si>
  <si>
    <t>Peak_demand_crop_July_mm</t>
  </si>
  <si>
    <t>Ensemble_peak_month</t>
  </si>
  <si>
    <t>Peak_demand_CIS_m3</t>
  </si>
  <si>
    <t>Peak_demand_CIS_mm</t>
  </si>
  <si>
    <t>Peak_demand_CIS_July_mm</t>
  </si>
  <si>
    <t>Aug</t>
  </si>
  <si>
    <t>Oct</t>
  </si>
  <si>
    <t>Jul</t>
  </si>
  <si>
    <t>Real</t>
  </si>
  <si>
    <t>obs</t>
  </si>
  <si>
    <t>hipotetical</t>
  </si>
  <si>
    <t>PDS</t>
  </si>
  <si>
    <t>Mean</t>
  </si>
  <si>
    <t>May</t>
  </si>
  <si>
    <t>Grand Total</t>
  </si>
  <si>
    <t>MEAN</t>
  </si>
  <si>
    <t>STD</t>
  </si>
  <si>
    <t>Apr</t>
  </si>
  <si>
    <t>Jun</t>
  </si>
  <si>
    <t>Sum of GIR50%ISW_EF_H</t>
  </si>
  <si>
    <t>Sum of GIR50%ISW_EF_L</t>
  </si>
  <si>
    <t>Sum of GIR90%ISW_EF_H</t>
  </si>
  <si>
    <t>Sum of GIR90%ISW_EF_L</t>
  </si>
  <si>
    <t>Sep</t>
  </si>
  <si>
    <t>CIS</t>
  </si>
  <si>
    <t>July</t>
  </si>
  <si>
    <t>min</t>
  </si>
  <si>
    <t>max</t>
  </si>
  <si>
    <t xml:space="preserve">DPF     </t>
  </si>
  <si>
    <t>Mean -min</t>
  </si>
  <si>
    <t>Max- mean</t>
  </si>
  <si>
    <t>STD-</t>
  </si>
  <si>
    <t>STD+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</si>
</sst>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1"/>
      <color theme="0"/>
      <name val="Calibri"/>
      <family val="2"/>
    </font>
    <font>
      <vertAlign val="subscript"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theme="4" tint="-0.249977111117893"/>
        <bgColor theme="4" tint="-0.249977111117893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theme="4" tint="0.59999389629810485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2" fontId="0" fillId="2" borderId="1" xfId="0" applyNumberFormat="1" applyFill="1" applyBorder="1" applyAlignment="1">
      <alignment vertical="top" wrapText="1"/>
    </xf>
    <xf numFmtId="2" fontId="0" fillId="3" borderId="1" xfId="0" applyNumberForma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164" fontId="0" fillId="0" borderId="0" xfId="0" applyNumberFormat="1"/>
    <xf numFmtId="0" fontId="4" fillId="4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6" fillId="5" borderId="6" xfId="0" applyFont="1" applyFill="1" applyBorder="1"/>
    <xf numFmtId="0" fontId="0" fillId="0" borderId="0" xfId="0" pivotButton="1"/>
    <xf numFmtId="0" fontId="0" fillId="0" borderId="0" xfId="0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0" fontId="1" fillId="0" borderId="0" xfId="0" applyFont="1"/>
    <xf numFmtId="0" fontId="7" fillId="0" borderId="0" xfId="0" applyFont="1"/>
    <xf numFmtId="14" fontId="0" fillId="2" borderId="1" xfId="0" applyNumberFormat="1" applyFill="1" applyBorder="1" applyAlignment="1">
      <alignment vertical="top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vertical="center" wrapText="1"/>
    </xf>
    <xf numFmtId="1" fontId="0" fillId="2" borderId="1" xfId="0" applyNumberForma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GIR!$B$21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GIR!$C$25:$L$25</c:f>
                <c:numCache>
                  <c:formatCode>General</c:formatCode>
                  <c:ptCount val="10"/>
                  <c:pt idx="0">
                    <c:v>58.106652990308191</c:v>
                  </c:pt>
                  <c:pt idx="1">
                    <c:v>73.886899760337371</c:v>
                  </c:pt>
                  <c:pt idx="2">
                    <c:v>55.461717257871896</c:v>
                  </c:pt>
                  <c:pt idx="3">
                    <c:v>66.421225825453973</c:v>
                  </c:pt>
                  <c:pt idx="4">
                    <c:v>56.730291853662663</c:v>
                  </c:pt>
                  <c:pt idx="5">
                    <c:v>72.86067927557184</c:v>
                  </c:pt>
                  <c:pt idx="6">
                    <c:v>62.212007184762001</c:v>
                  </c:pt>
                  <c:pt idx="7">
                    <c:v>81.093312458693333</c:v>
                  </c:pt>
                  <c:pt idx="8">
                    <c:v>52.665900605867193</c:v>
                  </c:pt>
                  <c:pt idx="9">
                    <c:v>58.737193383769124</c:v>
                  </c:pt>
                </c:numCache>
              </c:numRef>
            </c:plus>
            <c:minus>
              <c:numRef>
                <c:f>GIR!$C$24:$L$24</c:f>
                <c:numCache>
                  <c:formatCode>General</c:formatCode>
                  <c:ptCount val="10"/>
                  <c:pt idx="0">
                    <c:v>55.046431854882428</c:v>
                  </c:pt>
                  <c:pt idx="1">
                    <c:v>68.970567246865869</c:v>
                  </c:pt>
                  <c:pt idx="2">
                    <c:v>52.423240522594313</c:v>
                  </c:pt>
                  <c:pt idx="3">
                    <c:v>62.53412245150605</c:v>
                  </c:pt>
                  <c:pt idx="4">
                    <c:v>53.952338547781437</c:v>
                  </c:pt>
                  <c:pt idx="5">
                    <c:v>68.102689595032928</c:v>
                  </c:pt>
                  <c:pt idx="6">
                    <c:v>59.188046452808976</c:v>
                  </c:pt>
                  <c:pt idx="7">
                    <c:v>75.142075295192399</c:v>
                  </c:pt>
                  <c:pt idx="8">
                    <c:v>50.029434916947366</c:v>
                  </c:pt>
                  <c:pt idx="9">
                    <c:v>56.092846130513465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  <a:effectLst/>
            </c:spPr>
          </c:errBars>
          <c:cat>
            <c:numRef>
              <c:f>GIR!$C$20:$L$20</c:f>
              <c:numCache>
                <c:formatCode>0.00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GIR!$C$21:$L$21</c:f>
              <c:numCache>
                <c:formatCode>0.00</c:formatCode>
                <c:ptCount val="10"/>
                <c:pt idx="0">
                  <c:v>428.00742356054241</c:v>
                </c:pt>
                <c:pt idx="1">
                  <c:v>482.62173243018134</c:v>
                </c:pt>
                <c:pt idx="2">
                  <c:v>400.87365243029393</c:v>
                </c:pt>
                <c:pt idx="3">
                  <c:v>464.89143694789624</c:v>
                </c:pt>
                <c:pt idx="4">
                  <c:v>431.36817740029494</c:v>
                </c:pt>
                <c:pt idx="5">
                  <c:v>481.15038874506325</c:v>
                </c:pt>
                <c:pt idx="6">
                  <c:v>479.99876616816732</c:v>
                </c:pt>
                <c:pt idx="7">
                  <c:v>506.22936099883856</c:v>
                </c:pt>
                <c:pt idx="8">
                  <c:v>404.86383094350265</c:v>
                </c:pt>
                <c:pt idx="9">
                  <c:v>468.79179076980193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C4-40FE-96E5-EC737C740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1018704"/>
        <c:axId val="771016784"/>
      </c:barChart>
      <c:catAx>
        <c:axId val="771018704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71016784"/>
        <c:crosses val="autoZero"/>
        <c:auto val="1"/>
        <c:lblAlgn val="ctr"/>
        <c:lblOffset val="100"/>
        <c:noMultiLvlLbl val="0"/>
      </c:catAx>
      <c:valAx>
        <c:axId val="7710167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GIR</a:t>
                </a:r>
                <a:r>
                  <a:rPr lang="en-GB" baseline="0"/>
                  <a:t> (mm)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0.00" sourceLinked="1"/>
        <c:majorTickMark val="out"/>
        <c:minorTickMark val="in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7101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DPF!$W$25</c:f>
              <c:strCache>
                <c:ptCount val="1"/>
                <c:pt idx="0">
                  <c:v>DPF     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DPF!$T$26:$T$35</c:f>
                <c:numCache>
                  <c:formatCode>General</c:formatCode>
                  <c:ptCount val="10"/>
                  <c:pt idx="0">
                    <c:v>9.5867700033598902E-3</c:v>
                  </c:pt>
                  <c:pt idx="1">
                    <c:v>1.3340102629520845E-2</c:v>
                  </c:pt>
                  <c:pt idx="2">
                    <c:v>8.4653366096059668E-3</c:v>
                  </c:pt>
                  <c:pt idx="3">
                    <c:v>8.6566911197669683E-3</c:v>
                  </c:pt>
                  <c:pt idx="4">
                    <c:v>3.7805271581997646E-3</c:v>
                  </c:pt>
                  <c:pt idx="5">
                    <c:v>1.4259937905504338E-2</c:v>
                  </c:pt>
                  <c:pt idx="6">
                    <c:v>6.1152243962614428E-3</c:v>
                  </c:pt>
                  <c:pt idx="7">
                    <c:v>1.3371209410338036E-2</c:v>
                  </c:pt>
                  <c:pt idx="8">
                    <c:v>7.2447389308360477E-3</c:v>
                  </c:pt>
                  <c:pt idx="9">
                    <c:v>5.5154514010105071E-3</c:v>
                  </c:pt>
                </c:numCache>
              </c:numRef>
            </c:plus>
            <c:minus>
              <c:numRef>
                <c:f>DPF!$U$26:$U$35</c:f>
                <c:numCache>
                  <c:formatCode>General</c:formatCode>
                  <c:ptCount val="10"/>
                  <c:pt idx="0">
                    <c:v>9.6428180520185536E-3</c:v>
                  </c:pt>
                  <c:pt idx="1">
                    <c:v>1.3408050338841737E-2</c:v>
                  </c:pt>
                  <c:pt idx="2">
                    <c:v>8.4875580158677022E-3</c:v>
                  </c:pt>
                  <c:pt idx="3">
                    <c:v>8.6440526749481661E-3</c:v>
                  </c:pt>
                  <c:pt idx="4">
                    <c:v>3.7772474035416836E-3</c:v>
                  </c:pt>
                  <c:pt idx="5">
                    <c:v>1.4316389598302393E-2</c:v>
                  </c:pt>
                  <c:pt idx="6">
                    <c:v>6.1620550073847036E-3</c:v>
                  </c:pt>
                  <c:pt idx="7">
                    <c:v>1.3576031773020414E-2</c:v>
                  </c:pt>
                  <c:pt idx="8">
                    <c:v>7.3163646228874279E-3</c:v>
                  </c:pt>
                  <c:pt idx="9">
                    <c:v>5.5773538252453791E-3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f>DPF!$V$26:$V$35</c:f>
              <c:numCache>
                <c:formatCode>0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DPF!$W$26:$W$35</c:f>
              <c:numCache>
                <c:formatCode>0.00</c:formatCode>
                <c:ptCount val="10"/>
                <c:pt idx="0">
                  <c:v>0.343929197257966</c:v>
                </c:pt>
                <c:pt idx="1">
                  <c:v>0.32670173013141895</c:v>
                </c:pt>
                <c:pt idx="2">
                  <c:v>0.36977340070940712</c:v>
                </c:pt>
                <c:pt idx="3">
                  <c:v>0.3165970146114836</c:v>
                </c:pt>
                <c:pt idx="4">
                  <c:v>0.34901292434846415</c:v>
                </c:pt>
                <c:pt idx="5">
                  <c:v>0.32213914604684546</c:v>
                </c:pt>
                <c:pt idx="6">
                  <c:v>0.34101330968104654</c:v>
                </c:pt>
                <c:pt idx="7">
                  <c:v>0.30720130681319668</c:v>
                </c:pt>
                <c:pt idx="8">
                  <c:v>0.33385669098794291</c:v>
                </c:pt>
                <c:pt idx="9">
                  <c:v>0.3192816307247251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34-4624-AF1A-4EE055AA7D5D}"/>
            </c:ext>
          </c:extLst>
        </c:ser>
        <c:ser>
          <c:idx val="1"/>
          <c:order val="1"/>
          <c:tx>
            <c:strRef>
              <c:f>DPF!$X$25</c:f>
              <c:strCache>
                <c:ptCount val="1"/>
                <c:pt idx="0">
                  <c:v>PDS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DPF!$Z$26:$Z$35</c:f>
                <c:numCache>
                  <c:formatCode>General</c:formatCode>
                  <c:ptCount val="10"/>
                  <c:pt idx="0">
                    <c:v>8.0394818597286921E-3</c:v>
                  </c:pt>
                  <c:pt idx="1">
                    <c:v>8.1587720438287548E-3</c:v>
                  </c:pt>
                  <c:pt idx="2">
                    <c:v>6.9669492992506799E-3</c:v>
                  </c:pt>
                  <c:pt idx="3">
                    <c:v>8.0680465704671134E-3</c:v>
                  </c:pt>
                  <c:pt idx="4">
                    <c:v>8.5736093470143437E-3</c:v>
                  </c:pt>
                  <c:pt idx="5">
                    <c:v>7.531391485296357E-3</c:v>
                  </c:pt>
                  <c:pt idx="6">
                    <c:v>7.6802808846851978E-3</c:v>
                  </c:pt>
                  <c:pt idx="7">
                    <c:v>8.9395740737040486E-3</c:v>
                  </c:pt>
                  <c:pt idx="8">
                    <c:v>7.861679967329005E-3</c:v>
                  </c:pt>
                  <c:pt idx="9">
                    <c:v>7.4984934194647357E-3</c:v>
                  </c:pt>
                </c:numCache>
              </c:numRef>
            </c:plus>
            <c:minus>
              <c:numRef>
                <c:f>DPF!$Y$26:$Y$35</c:f>
                <c:numCache>
                  <c:formatCode>General</c:formatCode>
                  <c:ptCount val="10"/>
                  <c:pt idx="0">
                    <c:v>8.4119196843910338E-3</c:v>
                  </c:pt>
                  <c:pt idx="1">
                    <c:v>8.3543121756555205E-3</c:v>
                  </c:pt>
                  <c:pt idx="2">
                    <c:v>7.4228273275590562E-3</c:v>
                  </c:pt>
                  <c:pt idx="3">
                    <c:v>8.3162067730857547E-3</c:v>
                  </c:pt>
                  <c:pt idx="4">
                    <c:v>8.9055808721550944E-3</c:v>
                  </c:pt>
                  <c:pt idx="5">
                    <c:v>7.8324037652901524E-3</c:v>
                  </c:pt>
                  <c:pt idx="6">
                    <c:v>7.8953094072808927E-3</c:v>
                  </c:pt>
                  <c:pt idx="7">
                    <c:v>9.2328970139287092E-3</c:v>
                  </c:pt>
                  <c:pt idx="8">
                    <c:v>8.2605648730440517E-3</c:v>
                  </c:pt>
                  <c:pt idx="9">
                    <c:v>7.820274918001191E-3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f>DPF!$V$26:$V$35</c:f>
              <c:numCache>
                <c:formatCode>0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DPF!$X$26:$X$35</c:f>
              <c:numCache>
                <c:formatCode>0.00</c:formatCode>
                <c:ptCount val="10"/>
                <c:pt idx="0">
                  <c:v>4.6709292578981931E-2</c:v>
                </c:pt>
                <c:pt idx="1">
                  <c:v>5.1771968064457385E-2</c:v>
                </c:pt>
                <c:pt idx="2">
                  <c:v>8.8749877199918226E-2</c:v>
                </c:pt>
                <c:pt idx="3">
                  <c:v>0.11440084347860435</c:v>
                </c:pt>
                <c:pt idx="4">
                  <c:v>9.0141394331893387E-2</c:v>
                </c:pt>
                <c:pt idx="5">
                  <c:v>0.13938615849028069</c:v>
                </c:pt>
                <c:pt idx="6">
                  <c:v>0.11240620908722931</c:v>
                </c:pt>
                <c:pt idx="7">
                  <c:v>7.242380927799974E-2</c:v>
                </c:pt>
                <c:pt idx="8">
                  <c:v>9.8162464385345483E-2</c:v>
                </c:pt>
                <c:pt idx="9">
                  <c:v>9.2001146484195218E-2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34-4624-AF1A-4EE055AA7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5710944"/>
        <c:axId val="425717184"/>
      </c:barChart>
      <c:catAx>
        <c:axId val="42571094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5717184"/>
        <c:crosses val="autoZero"/>
        <c:auto val="1"/>
        <c:lblAlgn val="ctr"/>
        <c:lblOffset val="100"/>
        <c:noMultiLvlLbl val="0"/>
      </c:catAx>
      <c:valAx>
        <c:axId val="4257171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aseline="0"/>
                  <a:t> Demand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#,##0.0" sourceLinked="0"/>
        <c:majorTickMark val="out"/>
        <c:minorTickMark val="in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5710944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SWBC!$AF$3</c:f>
              <c:strCache>
                <c:ptCount val="1"/>
                <c:pt idx="0">
                  <c:v>SWBC (mm)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numRef>
              <c:f>SWBC!$AE$4:$AE$13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SWBC!$AH$4:$AH$13</c:f>
              <c:numCache>
                <c:formatCode>General</c:formatCode>
                <c:ptCount val="10"/>
                <c:pt idx="0">
                  <c:v>67.164666539097325</c:v>
                </c:pt>
                <c:pt idx="1">
                  <c:v>67.337570274547701</c:v>
                </c:pt>
                <c:pt idx="2">
                  <c:v>67.603940128476822</c:v>
                </c:pt>
                <c:pt idx="3">
                  <c:v>67.973314455218244</c:v>
                </c:pt>
                <c:pt idx="4">
                  <c:v>67.910703366081606</c:v>
                </c:pt>
                <c:pt idx="5">
                  <c:v>66.581526835428875</c:v>
                </c:pt>
                <c:pt idx="6">
                  <c:v>67.81261004208568</c:v>
                </c:pt>
                <c:pt idx="7">
                  <c:v>68.828648611583233</c:v>
                </c:pt>
                <c:pt idx="8">
                  <c:v>68.915329613589876</c:v>
                </c:pt>
                <c:pt idx="9">
                  <c:v>69.018102739687606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C0-42D6-BDD4-8975A49CE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2292288"/>
        <c:axId val="1002290848"/>
      </c:barChart>
      <c:catAx>
        <c:axId val="100229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02290848"/>
        <c:crosses val="autoZero"/>
        <c:auto val="1"/>
        <c:lblAlgn val="ctr"/>
        <c:lblOffset val="100"/>
        <c:noMultiLvlLbl val="0"/>
      </c:catAx>
      <c:valAx>
        <c:axId val="10022908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SWBC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out"/>
        <c:minorTickMark val="in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0229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27</xdr:row>
      <xdr:rowOff>47625</xdr:rowOff>
    </xdr:from>
    <xdr:to>
      <xdr:col>6</xdr:col>
      <xdr:colOff>990600</xdr:colOff>
      <xdr:row>43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0713CA-B678-416B-864C-3E12A1541C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247651</xdr:colOff>
      <xdr:row>24</xdr:row>
      <xdr:rowOff>161925</xdr:rowOff>
    </xdr:from>
    <xdr:to>
      <xdr:col>41</xdr:col>
      <xdr:colOff>333375</xdr:colOff>
      <xdr:row>44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200CFA-BA68-44E0-8613-F1EA675B4F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486384</xdr:colOff>
      <xdr:row>4</xdr:row>
      <xdr:rowOff>0</xdr:rowOff>
    </xdr:from>
    <xdr:to>
      <xdr:col>4</xdr:col>
      <xdr:colOff>526105</xdr:colOff>
      <xdr:row>6</xdr:row>
      <xdr:rowOff>22833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FC23D7-EAB5-443E-BAA6-8A8039DE4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5184" y="762000"/>
          <a:ext cx="649321" cy="403833"/>
        </a:xfrm>
        <a:prstGeom prst="rect">
          <a:avLst/>
        </a:prstGeom>
        <a:solidFill>
          <a:sysClr val="window" lastClr="FFFFFF"/>
        </a:solidFill>
      </xdr:spPr>
    </xdr:pic>
    <xdr:clientData/>
  </xdr:twoCellAnchor>
  <xdr:twoCellAnchor>
    <xdr:from>
      <xdr:col>5</xdr:col>
      <xdr:colOff>385053</xdr:colOff>
      <xdr:row>3</xdr:row>
      <xdr:rowOff>67552</xdr:rowOff>
    </xdr:from>
    <xdr:to>
      <xdr:col>7</xdr:col>
      <xdr:colOff>234275</xdr:colOff>
      <xdr:row>6</xdr:row>
      <xdr:rowOff>71335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1E7586-74AA-471E-8213-4C76648E9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3053" y="639052"/>
          <a:ext cx="1068422" cy="575283"/>
        </a:xfrm>
        <a:prstGeom prst="rect">
          <a:avLst/>
        </a:prstGeom>
        <a:solidFill>
          <a:sysClr val="window" lastClr="FFFFFF"/>
        </a:solidFill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9</xdr:row>
      <xdr:rowOff>28575</xdr:rowOff>
    </xdr:from>
    <xdr:to>
      <xdr:col>6</xdr:col>
      <xdr:colOff>476250</xdr:colOff>
      <xdr:row>10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0687B6-E399-4ACE-BFE9-23742166C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743075"/>
          <a:ext cx="1790700" cy="342900"/>
        </a:xfrm>
        <a:prstGeom prst="rect">
          <a:avLst/>
        </a:prstGeom>
        <a:solidFill>
          <a:schemeClr val="bg1"/>
        </a:solidFill>
      </xdr:spPr>
    </xdr:pic>
    <xdr:clientData/>
  </xdr:twoCellAnchor>
  <xdr:twoCellAnchor>
    <xdr:from>
      <xdr:col>7</xdr:col>
      <xdr:colOff>257175</xdr:colOff>
      <xdr:row>9</xdr:row>
      <xdr:rowOff>28575</xdr:rowOff>
    </xdr:from>
    <xdr:to>
      <xdr:col>9</xdr:col>
      <xdr:colOff>361950</xdr:colOff>
      <xdr:row>11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569C2C-DEBA-4D3E-ABF2-7B942AB90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1743075"/>
          <a:ext cx="1323975" cy="514350"/>
        </a:xfrm>
        <a:prstGeom prst="rect">
          <a:avLst/>
        </a:prstGeom>
        <a:solidFill>
          <a:schemeClr val="bg1"/>
        </a:solidFill>
      </xdr:spPr>
    </xdr:pic>
    <xdr:clientData/>
  </xdr:twoCellAnchor>
  <xdr:twoCellAnchor>
    <xdr:from>
      <xdr:col>27</xdr:col>
      <xdr:colOff>238125</xdr:colOff>
      <xdr:row>16</xdr:row>
      <xdr:rowOff>114300</xdr:rowOff>
    </xdr:from>
    <xdr:to>
      <xdr:col>31</xdr:col>
      <xdr:colOff>847725</xdr:colOff>
      <xdr:row>31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32F5CA-D27A-469A-8ED3-01ADE8D8A8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800100</xdr:colOff>
      <xdr:row>17</xdr:row>
      <xdr:rowOff>19050</xdr:rowOff>
    </xdr:from>
    <xdr:to>
      <xdr:col>36</xdr:col>
      <xdr:colOff>628650</xdr:colOff>
      <xdr:row>23</xdr:row>
      <xdr:rowOff>133350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477B6A8-B9A6-4C6E-9A56-176AC074923C}"/>
            </a:ext>
          </a:extLst>
        </xdr:cNvPr>
        <xdr:cNvSpPr txBox="1"/>
      </xdr:nvSpPr>
      <xdr:spPr>
        <a:xfrm>
          <a:off x="20116800" y="3257550"/>
          <a:ext cx="2438400" cy="1257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 2021 - Ano</a:t>
          </a:r>
          <a:r>
            <a:rPr lang="en-GB" sz="1100" baseline="0"/>
            <a:t> de transição retirou-se olival para amendoal, por isso que depois aumenta pois valtam a plantar amendoal</a:t>
          </a:r>
          <a:endParaRPr lang="en-GB" sz="1100"/>
        </a:p>
      </xdr:txBody>
    </xdr:sp>
    <xdr:clientData/>
  </xdr:twoCellAnchor>
  <xdr:twoCellAnchor>
    <xdr:from>
      <xdr:col>32</xdr:col>
      <xdr:colOff>781050</xdr:colOff>
      <xdr:row>25</xdr:row>
      <xdr:rowOff>9525</xdr:rowOff>
    </xdr:from>
    <xdr:to>
      <xdr:col>36</xdr:col>
      <xdr:colOff>657225</xdr:colOff>
      <xdr:row>31</xdr:row>
      <xdr:rowOff>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F888ED5-3296-42F7-8D82-126B90901263}"/>
            </a:ext>
          </a:extLst>
        </xdr:cNvPr>
        <xdr:cNvSpPr txBox="1"/>
      </xdr:nvSpPr>
      <xdr:spPr>
        <a:xfrm>
          <a:off x="20116800" y="4772025"/>
          <a:ext cx="2438400" cy="11334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/>
            <a:t>The </a:t>
          </a:r>
          <a:r>
            <a:rPr lang="en-GB" b="1"/>
            <a:t>CIS-level SWBC</a:t>
          </a:r>
          <a:r>
            <a:rPr lang="en-GB"/>
            <a:t> remained relatively stable over 2016–2025, ranging from </a:t>
          </a:r>
          <a:r>
            <a:rPr lang="en-GB" b="1"/>
            <a:t>67.16 to 69.02 mm</a:t>
          </a:r>
          <a:r>
            <a:rPr lang="en-GB"/>
            <a:t>. This indicates that, on an area-weighted basis, the crop–soil combinations of the system provided an average plant-available soil water storage of about </a:t>
          </a:r>
          <a:r>
            <a:rPr lang="en-GB" b="1"/>
            <a:t>67–69 mm</a:t>
          </a:r>
          <a:endParaRPr lang="en-GB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2</xdr:row>
      <xdr:rowOff>19050</xdr:rowOff>
    </xdr:from>
    <xdr:to>
      <xdr:col>11</xdr:col>
      <xdr:colOff>209550</xdr:colOff>
      <xdr:row>6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C336A9-24B3-4EDF-8BA8-0A58B245C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400050"/>
          <a:ext cx="3028950" cy="800100"/>
        </a:xfrm>
        <a:prstGeom prst="rect">
          <a:avLst/>
        </a:prstGeom>
        <a:solidFill>
          <a:schemeClr val="bg1"/>
        </a:solidFill>
      </xdr:spPr>
    </xdr:pic>
    <xdr:clientData/>
  </xdr:twoCellAnchor>
  <xdr:twoCellAnchor>
    <xdr:from>
      <xdr:col>12</xdr:col>
      <xdr:colOff>457200</xdr:colOff>
      <xdr:row>2</xdr:row>
      <xdr:rowOff>66675</xdr:rowOff>
    </xdr:from>
    <xdr:to>
      <xdr:col>15</xdr:col>
      <xdr:colOff>419100</xdr:colOff>
      <xdr:row>4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6CA659-D6C6-4607-9B06-60A03A913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2400" y="447675"/>
          <a:ext cx="1790700" cy="390525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Backup_words\Tool\Done\UPLOAD\CIS_integrated_resilience_framework_tool_v1.xlsx" TargetMode="External"/><Relationship Id="rId1" Type="http://schemas.openxmlformats.org/officeDocument/2006/relationships/externalLinkPath" Target="CIS_integrated_resilience_framework_tool_v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lisboa-my.sharepoint.com/personal/antoniaferreira_office365_ulisboa_pt/Documents/Ambiente%20de%20Trabalho/Paper_5/RI_SE.xlsx" TargetMode="External"/><Relationship Id="rId1" Type="http://schemas.openxmlformats.org/officeDocument/2006/relationships/externalLinkPath" Target="https://ulisboa-my.sharepoint.com/personal/antoniaferreira_office365_ulisboa_pt/Documents/Ambiente%20de%20Trabalho/Paper_5/RI_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CONTROL_YEARS"/>
      <sheetName val="THRESHOLDS_WEIGHTS"/>
      <sheetName val="CALC_NORMALISATION"/>
      <sheetName val="DASHBOARD_EXPORTS"/>
      <sheetName val="INPUT_A_TO_C"/>
      <sheetName val="INPUT_D_E"/>
      <sheetName val="INPUT_F"/>
      <sheetName val="QUALITY_GUIDE"/>
    </sheetNames>
    <sheetDataSet>
      <sheetData sheetId="0" refreshError="1"/>
      <sheetData sheetId="1">
        <row r="14">
          <cell r="A14">
            <v>2016</v>
          </cell>
        </row>
        <row r="15">
          <cell r="A15">
            <v>2017</v>
          </cell>
        </row>
        <row r="16">
          <cell r="A16">
            <v>2018</v>
          </cell>
        </row>
        <row r="17">
          <cell r="A17">
            <v>2019</v>
          </cell>
        </row>
        <row r="18">
          <cell r="A18">
            <v>2020</v>
          </cell>
        </row>
        <row r="19">
          <cell r="A19">
            <v>2021</v>
          </cell>
        </row>
        <row r="20">
          <cell r="A20">
            <v>2022</v>
          </cell>
        </row>
        <row r="21">
          <cell r="A21">
            <v>2023</v>
          </cell>
        </row>
        <row r="22">
          <cell r="A22">
            <v>2024</v>
          </cell>
        </row>
        <row r="23">
          <cell r="A23">
            <v>2025</v>
          </cell>
        </row>
        <row r="24">
          <cell r="A24" t="str">
            <v/>
          </cell>
        </row>
        <row r="25">
          <cell r="A25" t="str">
            <v/>
          </cell>
        </row>
        <row r="26">
          <cell r="A26" t="str">
            <v/>
          </cell>
        </row>
        <row r="27">
          <cell r="A27" t="str">
            <v/>
          </cell>
        </row>
        <row r="28">
          <cell r="A28" t="str">
            <v/>
          </cell>
        </row>
        <row r="29">
          <cell r="A29" t="str">
            <v/>
          </cell>
        </row>
        <row r="30">
          <cell r="A30" t="str">
            <v/>
          </cell>
        </row>
        <row r="31">
          <cell r="A31" t="str">
            <v/>
          </cell>
        </row>
        <row r="32">
          <cell r="A32" t="str">
            <v/>
          </cell>
        </row>
        <row r="33">
          <cell r="A33" t="str">
            <v/>
          </cell>
        </row>
        <row r="34">
          <cell r="A34" t="str">
            <v/>
          </cell>
        </row>
        <row r="35">
          <cell r="A35" t="str">
            <v/>
          </cell>
        </row>
        <row r="36">
          <cell r="A36" t="str">
            <v/>
          </cell>
        </row>
        <row r="37">
          <cell r="A37" t="str">
            <v/>
          </cell>
        </row>
        <row r="38">
          <cell r="A38" t="str">
            <v/>
          </cell>
        </row>
        <row r="39">
          <cell r="A39" t="str">
            <v/>
          </cell>
        </row>
        <row r="40">
          <cell r="A40" t="str">
            <v/>
          </cell>
        </row>
        <row r="41">
          <cell r="A41" t="str">
            <v/>
          </cell>
        </row>
        <row r="42">
          <cell r="A42" t="str">
            <v/>
          </cell>
        </row>
        <row r="43">
          <cell r="A43" t="str">
            <v/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hly GIR_Col"/>
      <sheetName val="HUA"/>
      <sheetName val="Montly_GIR_Tidy"/>
      <sheetName val="GIR50%ISW_EF_H"/>
      <sheetName val="GIR50%ISW_EF_L"/>
      <sheetName val="GIR90%ISW_EF_H"/>
      <sheetName val="GIR90%ISW_EF_L"/>
      <sheetName val="Tabela"/>
      <sheetName val="Area"/>
      <sheetName val="Peak_demand"/>
      <sheetName val="E1_GIR"/>
      <sheetName val="E2_DPF"/>
      <sheetName val="E_3_PDS"/>
      <sheetName val="E4_WAFAE"/>
      <sheetName val="E5_OFTC"/>
      <sheetName val="E6_WSDT"/>
      <sheetName val="E7_CPRI"/>
      <sheetName val="E9_SWBI"/>
      <sheetName val="E8_SWBC"/>
      <sheetName val="E10_PSLSB"/>
      <sheetName val="E11_WCEA"/>
      <sheetName val="Treshold"/>
      <sheetName val="SM_TABLE"/>
      <sheetName val="Resum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4">
          <cell r="C14">
            <v>2016</v>
          </cell>
          <cell r="D14">
            <v>2017</v>
          </cell>
          <cell r="E14">
            <v>2018</v>
          </cell>
          <cell r="F14">
            <v>2019</v>
          </cell>
          <cell r="G14">
            <v>2020</v>
          </cell>
          <cell r="H14">
            <v>2021</v>
          </cell>
          <cell r="I14">
            <v>2022</v>
          </cell>
          <cell r="J14">
            <v>2023</v>
          </cell>
          <cell r="K14">
            <v>2024</v>
          </cell>
          <cell r="L14">
            <v>2025</v>
          </cell>
        </row>
        <row r="15">
          <cell r="B15" t="str">
            <v>GIR50%ISW_EF_L</v>
          </cell>
          <cell r="C15">
            <v>486.1140765508506</v>
          </cell>
          <cell r="D15">
            <v>556.50863219051871</v>
          </cell>
          <cell r="E15">
            <v>456.33536968816583</v>
          </cell>
          <cell r="F15">
            <v>531.31266277335021</v>
          </cell>
          <cell r="G15">
            <v>488.0984692539576</v>
          </cell>
          <cell r="H15">
            <v>554.01106802063509</v>
          </cell>
          <cell r="I15">
            <v>542.21077335292932</v>
          </cell>
          <cell r="J15">
            <v>587.32267345753189</v>
          </cell>
          <cell r="K15">
            <v>457.52973154936984</v>
          </cell>
          <cell r="L15">
            <v>527.52898415357106</v>
          </cell>
        </row>
        <row r="16">
          <cell r="B16" t="str">
            <v>GIR90%ISW_EF_L</v>
          </cell>
          <cell r="C16">
            <v>451.30255495180154</v>
          </cell>
          <cell r="D16">
            <v>500.53995328970967</v>
          </cell>
          <cell r="E16">
            <v>421.56791024916839</v>
          </cell>
          <cell r="F16">
            <v>486.50541188052216</v>
          </cell>
          <cell r="G16">
            <v>456.11989482234173</v>
          </cell>
          <cell r="H16">
            <v>499.24627195788236</v>
          </cell>
          <cell r="I16">
            <v>507.046169794935</v>
          </cell>
          <cell r="J16">
            <v>518.98307571143982</v>
          </cell>
          <cell r="K16">
            <v>426.72543170520896</v>
          </cell>
          <cell r="L16">
            <v>497.00604068155798</v>
          </cell>
        </row>
        <row r="17">
          <cell r="B17" t="str">
            <v>Mean</v>
          </cell>
          <cell r="C17">
            <v>428.00742356054241</v>
          </cell>
          <cell r="D17">
            <v>482.62173243018134</v>
          </cell>
          <cell r="E17">
            <v>400.87365243029393</v>
          </cell>
          <cell r="F17">
            <v>464.89143694789624</v>
          </cell>
          <cell r="G17">
            <v>431.36817740029494</v>
          </cell>
          <cell r="H17">
            <v>481.15038874506325</v>
          </cell>
          <cell r="I17">
            <v>479.99876616816732</v>
          </cell>
          <cell r="J17">
            <v>506.22936099883856</v>
          </cell>
          <cell r="K17">
            <v>404.86383094350265</v>
          </cell>
          <cell r="L17">
            <v>468.79179076980193</v>
          </cell>
        </row>
        <row r="18">
          <cell r="B18" t="str">
            <v>GIR50%ISW_EF_H</v>
          </cell>
          <cell r="C18">
            <v>401.6520710338574</v>
          </cell>
          <cell r="D18">
            <v>459.7871790571815</v>
          </cell>
          <cell r="E18">
            <v>377.14091787614188</v>
          </cell>
          <cell r="F18">
            <v>439.39035864132234</v>
          </cell>
          <cell r="G18">
            <v>403.83850667236698</v>
          </cell>
          <cell r="H18">
            <v>458.29651585170512</v>
          </cell>
          <cell r="I18">
            <v>449.92740180944668</v>
          </cell>
          <cell r="J18">
            <v>487.52440912273636</v>
          </cell>
          <cell r="K18">
            <v>380.36576449287679</v>
          </cell>
          <cell r="L18">
            <v>437.93319360479023</v>
          </cell>
        </row>
        <row r="19">
          <cell r="B19" t="str">
            <v>GIR90%ISW_EF_H</v>
          </cell>
          <cell r="C19">
            <v>372.96099170565998</v>
          </cell>
          <cell r="D19">
            <v>413.65116518331547</v>
          </cell>
          <cell r="E19">
            <v>348.45041190769962</v>
          </cell>
          <cell r="F19">
            <v>402.35731449639019</v>
          </cell>
          <cell r="G19">
            <v>377.4158388525135</v>
          </cell>
          <cell r="H19">
            <v>413.04769915003033</v>
          </cell>
          <cell r="I19">
            <v>420.81071971535835</v>
          </cell>
          <cell r="J19">
            <v>431.08728570364616</v>
          </cell>
          <cell r="K19">
            <v>354.83439602655528</v>
          </cell>
          <cell r="L19">
            <v>412.69894463928847</v>
          </cell>
        </row>
        <row r="23">
          <cell r="C23">
            <v>2016</v>
          </cell>
          <cell r="D23">
            <v>2017</v>
          </cell>
          <cell r="E23">
            <v>2018</v>
          </cell>
          <cell r="F23">
            <v>2019</v>
          </cell>
          <cell r="G23">
            <v>2020</v>
          </cell>
          <cell r="H23">
            <v>2021</v>
          </cell>
          <cell r="I23">
            <v>2022</v>
          </cell>
          <cell r="J23">
            <v>2023</v>
          </cell>
          <cell r="K23">
            <v>2024</v>
          </cell>
          <cell r="L23">
            <v>2025</v>
          </cell>
        </row>
        <row r="24">
          <cell r="B24" t="str">
            <v>Mean</v>
          </cell>
          <cell r="C24">
            <v>428.00742356054241</v>
          </cell>
          <cell r="D24">
            <v>482.62173243018134</v>
          </cell>
          <cell r="E24">
            <v>400.87365243029393</v>
          </cell>
          <cell r="F24">
            <v>464.89143694789624</v>
          </cell>
          <cell r="G24">
            <v>431.36817740029494</v>
          </cell>
          <cell r="H24">
            <v>481.15038874506325</v>
          </cell>
          <cell r="I24">
            <v>479.99876616816732</v>
          </cell>
          <cell r="J24">
            <v>506.22936099883856</v>
          </cell>
          <cell r="K24">
            <v>404.86383094350265</v>
          </cell>
          <cell r="L24">
            <v>468.79179076980193</v>
          </cell>
        </row>
        <row r="27">
          <cell r="C27">
            <v>55.046431854882428</v>
          </cell>
          <cell r="D27">
            <v>68.970567246865869</v>
          </cell>
          <cell r="E27">
            <v>52.423240522594313</v>
          </cell>
          <cell r="F27">
            <v>62.53412245150605</v>
          </cell>
          <cell r="G27">
            <v>53.952338547781437</v>
          </cell>
          <cell r="H27">
            <v>68.102689595032928</v>
          </cell>
          <cell r="I27">
            <v>59.188046452808976</v>
          </cell>
          <cell r="J27">
            <v>75.142075295192399</v>
          </cell>
          <cell r="K27">
            <v>50.029434916947366</v>
          </cell>
          <cell r="L27">
            <v>56.092846130513465</v>
          </cell>
        </row>
        <row r="28">
          <cell r="C28">
            <v>58.106652990308191</v>
          </cell>
          <cell r="D28">
            <v>73.886899760337371</v>
          </cell>
          <cell r="E28">
            <v>55.461717257871896</v>
          </cell>
          <cell r="F28">
            <v>66.421225825453973</v>
          </cell>
          <cell r="G28">
            <v>56.730291853662663</v>
          </cell>
          <cell r="H28">
            <v>72.86067927557184</v>
          </cell>
          <cell r="I28">
            <v>62.212007184762001</v>
          </cell>
          <cell r="J28">
            <v>81.093312458693333</v>
          </cell>
          <cell r="K28">
            <v>52.665900605867193</v>
          </cell>
          <cell r="L28">
            <v>58.737193383769124</v>
          </cell>
        </row>
      </sheetData>
      <sheetData sheetId="11">
        <row r="25">
          <cell r="X25" t="str">
            <v xml:space="preserve">DPF     </v>
          </cell>
          <cell r="Y25" t="str">
            <v>PDS</v>
          </cell>
        </row>
        <row r="26">
          <cell r="U26">
            <v>9.5867700033598902E-3</v>
          </cell>
          <cell r="V26">
            <v>9.6428180520185536E-3</v>
          </cell>
          <cell r="W26">
            <v>2016</v>
          </cell>
          <cell r="X26">
            <v>0.343929197257966</v>
          </cell>
          <cell r="Y26">
            <v>4.6709292578981931E-2</v>
          </cell>
          <cell r="Z26">
            <v>8.4119196843910338E-3</v>
          </cell>
          <cell r="AA26">
            <v>8.0394818597286921E-3</v>
          </cell>
        </row>
        <row r="27">
          <cell r="U27">
            <v>1.3340102629520845E-2</v>
          </cell>
          <cell r="V27">
            <v>1.3408050338841737E-2</v>
          </cell>
          <cell r="W27">
            <v>2017</v>
          </cell>
          <cell r="X27">
            <v>0.32670173013141895</v>
          </cell>
          <cell r="Y27">
            <v>5.1771968064457385E-2</v>
          </cell>
          <cell r="Z27">
            <v>8.3543121756555205E-3</v>
          </cell>
          <cell r="AA27">
            <v>8.1587720438287548E-3</v>
          </cell>
        </row>
        <row r="28">
          <cell r="U28">
            <v>8.4653366096059668E-3</v>
          </cell>
          <cell r="V28">
            <v>8.4875580158677022E-3</v>
          </cell>
          <cell r="W28">
            <v>2018</v>
          </cell>
          <cell r="X28">
            <v>0.36977340070940712</v>
          </cell>
          <cell r="Y28">
            <v>8.8749877199918226E-2</v>
          </cell>
          <cell r="Z28">
            <v>7.4228273275590562E-3</v>
          </cell>
          <cell r="AA28">
            <v>6.9669492992506799E-3</v>
          </cell>
        </row>
        <row r="29">
          <cell r="U29">
            <v>8.6566911197669683E-3</v>
          </cell>
          <cell r="V29">
            <v>8.6440526749481661E-3</v>
          </cell>
          <cell r="W29">
            <v>2019</v>
          </cell>
          <cell r="X29">
            <v>0.3165970146114836</v>
          </cell>
          <cell r="Y29">
            <v>0.11440084347860435</v>
          </cell>
          <cell r="Z29">
            <v>8.3162067730857547E-3</v>
          </cell>
          <cell r="AA29">
            <v>8.0680465704671134E-3</v>
          </cell>
        </row>
        <row r="30">
          <cell r="U30">
            <v>3.7805271581997646E-3</v>
          </cell>
          <cell r="V30">
            <v>3.7772474035416836E-3</v>
          </cell>
          <cell r="W30">
            <v>2020</v>
          </cell>
          <cell r="X30">
            <v>0.34901292434846415</v>
          </cell>
          <cell r="Y30">
            <v>9.0141394331893387E-2</v>
          </cell>
          <cell r="Z30">
            <v>8.9055808721550944E-3</v>
          </cell>
          <cell r="AA30">
            <v>8.5736093470143437E-3</v>
          </cell>
        </row>
        <row r="31">
          <cell r="U31">
            <v>1.4259937905504338E-2</v>
          </cell>
          <cell r="V31">
            <v>1.4316389598302393E-2</v>
          </cell>
          <cell r="W31">
            <v>2021</v>
          </cell>
          <cell r="X31">
            <v>0.32213914604684546</v>
          </cell>
          <cell r="Y31">
            <v>0.13938615849028069</v>
          </cell>
          <cell r="Z31">
            <v>7.8324037652901524E-3</v>
          </cell>
          <cell r="AA31">
            <v>7.531391485296357E-3</v>
          </cell>
        </row>
        <row r="32">
          <cell r="U32">
            <v>6.1152243962614428E-3</v>
          </cell>
          <cell r="V32">
            <v>6.1620550073847036E-3</v>
          </cell>
          <cell r="W32">
            <v>2022</v>
          </cell>
          <cell r="X32">
            <v>0.34101330968104654</v>
          </cell>
          <cell r="Y32">
            <v>0.11240620908722931</v>
          </cell>
          <cell r="Z32">
            <v>7.8953094072808927E-3</v>
          </cell>
          <cell r="AA32">
            <v>7.6802808846851978E-3</v>
          </cell>
        </row>
        <row r="33">
          <cell r="U33">
            <v>1.3371209410338036E-2</v>
          </cell>
          <cell r="V33">
            <v>1.3576031773020414E-2</v>
          </cell>
          <cell r="W33">
            <v>2023</v>
          </cell>
          <cell r="X33">
            <v>0.30720130681319668</v>
          </cell>
          <cell r="Y33">
            <v>7.242380927799974E-2</v>
          </cell>
          <cell r="Z33">
            <v>9.2328970139287092E-3</v>
          </cell>
          <cell r="AA33">
            <v>8.9395740737040486E-3</v>
          </cell>
        </row>
        <row r="34">
          <cell r="U34">
            <v>7.2447389308360477E-3</v>
          </cell>
          <cell r="V34">
            <v>7.3163646228874279E-3</v>
          </cell>
          <cell r="W34">
            <v>2024</v>
          </cell>
          <cell r="X34">
            <v>0.33385669098794291</v>
          </cell>
          <cell r="Y34">
            <v>9.8162464385345483E-2</v>
          </cell>
          <cell r="Z34">
            <v>8.2605648730440517E-3</v>
          </cell>
          <cell r="AA34">
            <v>7.861679967329005E-3</v>
          </cell>
        </row>
        <row r="35">
          <cell r="U35">
            <v>5.5154514010105071E-3</v>
          </cell>
          <cell r="V35">
            <v>5.5773538252453791E-3</v>
          </cell>
          <cell r="W35">
            <v>2025</v>
          </cell>
          <cell r="X35">
            <v>0.3192816307247251</v>
          </cell>
          <cell r="Y35">
            <v>9.2001146484195218E-2</v>
          </cell>
          <cell r="Z35">
            <v>7.820274918001191E-3</v>
          </cell>
          <cell r="AA35">
            <v>7.4984934194647357E-3</v>
          </cell>
        </row>
      </sheetData>
      <sheetData sheetId="12">
        <row r="15">
          <cell r="V15" t="str">
            <v>Real</v>
          </cell>
          <cell r="W15" t="str">
            <v>hipotetical</v>
          </cell>
        </row>
        <row r="16">
          <cell r="U16">
            <v>2016</v>
          </cell>
          <cell r="V16">
            <v>2364275.2996568098</v>
          </cell>
          <cell r="W16">
            <v>2480119.9479359179</v>
          </cell>
        </row>
        <row r="17">
          <cell r="U17">
            <v>2017</v>
          </cell>
          <cell r="V17">
            <v>2567368.3915558411</v>
          </cell>
          <cell r="W17">
            <v>2707543.233366847</v>
          </cell>
        </row>
        <row r="18">
          <cell r="U18">
            <v>2018</v>
          </cell>
          <cell r="V18">
            <v>2390281.1007751031</v>
          </cell>
          <cell r="W18">
            <v>2623079.0437978404</v>
          </cell>
        </row>
        <row r="19">
          <cell r="U19">
            <v>2019</v>
          </cell>
          <cell r="V19">
            <v>2407020.321957333</v>
          </cell>
          <cell r="W19">
            <v>2717956.881770337</v>
          </cell>
        </row>
        <row r="20">
          <cell r="U20">
            <v>2020</v>
          </cell>
          <cell r="V20">
            <v>2457940.036500229</v>
          </cell>
          <cell r="W20">
            <v>2701452.7545138407</v>
          </cell>
        </row>
        <row r="21">
          <cell r="U21">
            <v>2021</v>
          </cell>
          <cell r="V21">
            <v>2543116.500762132</v>
          </cell>
          <cell r="W21">
            <v>2955003.0200547399</v>
          </cell>
        </row>
        <row r="22">
          <cell r="U22">
            <v>2022</v>
          </cell>
          <cell r="V22">
            <v>3118045.880418628</v>
          </cell>
          <cell r="W22">
            <v>3512919.887837586</v>
          </cell>
        </row>
        <row r="23">
          <cell r="U23">
            <v>2023</v>
          </cell>
          <cell r="V23">
            <v>2839142.3742750902</v>
          </cell>
          <cell r="W23">
            <v>3060818.5102995997</v>
          </cell>
        </row>
        <row r="24">
          <cell r="U24">
            <v>2024</v>
          </cell>
          <cell r="V24">
            <v>2583357.7063894351</v>
          </cell>
          <cell r="W24">
            <v>2864548.8842164096</v>
          </cell>
        </row>
        <row r="25">
          <cell r="U25">
            <v>2025</v>
          </cell>
          <cell r="V25">
            <v>2624764.8711272711</v>
          </cell>
          <cell r="W25">
            <v>2890713.8604460629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lisboa-my.sharepoint.com/personal/antoniaferreira_office365_ulisboa_pt/Documents/Ambiente%20de%20Trabalho/Paper_5/RI_SE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ia Ferreira" refreshedDate="46128.729200578702" createdVersion="8" refreshedVersion="8" minRefreshableVersion="3" recordCount="75" xr:uid="{EC478E0D-2BE8-4413-A873-035B6EACCD48}">
  <cacheSource type="worksheet">
    <worksheetSource ref="I2:R1048576" sheet="E4_WAFAE" r:id="rId2"/>
  </cacheSource>
  <cacheFields count="10">
    <cacheField name="IS" numFmtId="0">
      <sharedItems containsBlank="1" count="3">
        <s v="drip"/>
        <s v="Sprinkler"/>
        <m/>
      </sharedItems>
    </cacheField>
    <cacheField name="Year" numFmtId="0">
      <sharedItems containsString="0" containsBlank="1" containsNumber="1" containsInteger="1" minValue="2016" maxValue="2025" count="11">
        <n v="2016"/>
        <n v="2017"/>
        <n v="2018"/>
        <n v="2019"/>
        <n v="2020"/>
        <n v="2021"/>
        <n v="2022"/>
        <n v="2023"/>
        <n v="2024"/>
        <n v="2025"/>
        <m/>
      </sharedItems>
    </cacheField>
    <cacheField name="Crop" numFmtId="0">
      <sharedItems containsBlank="1" count="9">
        <s v="Complex syst."/>
        <s v="Fodder crops"/>
        <s v="Olive grove"/>
        <s v="P. tomate"/>
        <s v="Pastures"/>
        <s v="Silage"/>
        <s v="Vineyard"/>
        <s v="Almond orchard"/>
        <m/>
      </sharedItems>
    </cacheField>
    <cacheField name="Area_ha" numFmtId="0">
      <sharedItems containsString="0" containsBlank="1" containsNumber="1" minValue="38.340081074907701" maxValue="711.5703743843078"/>
    </cacheField>
    <cacheField name="Area_total_ha" numFmtId="0">
      <sharedItems containsString="0" containsBlank="1" containsNumber="1" minValue="1510.461191366813" maxValue="1760.924320727989"/>
    </cacheField>
    <cacheField name="Area_share_pct" numFmtId="0">
      <sharedItems containsString="0" containsBlank="1" containsNumber="1" minValue="2.177270233797294" maxValue="45.906443150321273"/>
    </cacheField>
    <cacheField name="I j,low" numFmtId="0">
      <sharedItems containsString="0" containsBlank="1" containsNumber="1" minValue="0.6875" maxValue="1.4285714285714286"/>
    </cacheField>
    <cacheField name="I j,high" numFmtId="0">
      <sharedItems containsString="0" containsBlank="1" containsNumber="1" minValue="0.57894736842105265" maxValue="1.1764705882352942"/>
    </cacheField>
    <cacheField name="WAFAE_low_ef" numFmtId="0">
      <sharedItems containsString="0" containsBlank="1" containsNumber="1" minValue="1.4968732857356398E-2" maxValue="0.45906443150321274"/>
    </cacheField>
    <cacheField name="WAFAE_high_ef" numFmtId="0">
      <sharedItems containsString="0" containsBlank="1" containsNumber="1" minValue="1.2605248721984335E-2" maxValue="0.386580573897442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ia Ferreira" refreshedDate="46162.512213541668" createdVersion="8" refreshedVersion="8" minRefreshableVersion="3" recordCount="314" xr:uid="{5570F5A9-8B48-4715-8619-3688A3034FEF}">
  <cacheSource type="worksheet">
    <worksheetSource ref="M3:Z317" sheet="SWBC"/>
  </cacheSource>
  <cacheFields count="14">
    <cacheField name="Year" numFmtId="0">
      <sharedItems containsSemiMixedTypes="0" containsString="0" containsNumber="1" containsInteger="1" minValue="2016" maxValue="2025" count="10"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Crop" numFmtId="0">
      <sharedItems/>
    </cacheField>
    <cacheField name="Soil" numFmtId="0">
      <sharedItems/>
    </cacheField>
    <cacheField name="Soil2" numFmtId="0">
      <sharedItems/>
    </cacheField>
    <cacheField name="Area_ha_soil_crop" numFmtId="0">
      <sharedItems containsSemiMixedTypes="0" containsString="0" containsNumber="1" minValue="4.7423552851432023E-2" maxValue="451.92427448541628"/>
    </cacheField>
    <cacheField name="Crop_total_ha" numFmtId="0">
      <sharedItems containsSemiMixedTypes="0" containsString="0" containsNumber="1" minValue="38.340081074907708" maxValue="711.5703743843078"/>
    </cacheField>
    <cacheField name="Crop_soil_share_pct" numFmtId="0">
      <sharedItems containsSemiMixedTypes="0" containsString="0" containsNumber="1" minValue="1.747928763469932E-2" maxValue="81.342759242656882"/>
    </cacheField>
    <cacheField name="zr" numFmtId="0">
      <sharedItems containsSemiMixedTypes="0" containsString="0" containsNumber="1" minValue="0.6" maxValue="1"/>
    </cacheField>
    <cacheField name="Z" numFmtId="0">
      <sharedItems containsSemiMixedTypes="0" containsString="0" containsNumber="1" containsInteger="1" minValue="41" maxValue="109"/>
    </cacheField>
    <cacheField name="Z (cm)" numFmtId="0">
      <sharedItems containsSemiMixedTypes="0" containsString="0" containsNumber="1" minValue="0.41" maxValue="1.0900000000000001"/>
    </cacheField>
    <cacheField name="Zeff" numFmtId="0">
      <sharedItems containsSemiMixedTypes="0" containsString="0" containsNumber="1" minValue="0.41" maxValue="1"/>
    </cacheField>
    <cacheField name="CC-CE" numFmtId="0">
      <sharedItems containsSemiMixedTypes="0" containsString="0" containsNumber="1" minValue="0.98" maxValue="1.1699999999999997"/>
    </cacheField>
    <cacheField name="Taw" numFmtId="0">
      <sharedItems containsSemiMixedTypes="0" containsString="0" containsNumber="1" minValue="40.18" maxValue="116.99999999999997"/>
    </cacheField>
    <cacheField name="SWBC" numFmtId="0">
      <sharedItems containsSemiMixedTypes="0" containsString="0" containsNumber="1" minValue="1.9054783535705386" maxValue="28200.0747278899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x v="0"/>
    <x v="0"/>
    <x v="0"/>
    <n v="86.162063365852021"/>
    <n v="1545.520451737769"/>
    <n v="5.5749545901493676"/>
    <n v="1.25"/>
    <n v="1.0526315789473684"/>
    <n v="6.9686932376867114E-2"/>
    <n v="5.868373252788809E-2"/>
  </r>
  <r>
    <x v="1"/>
    <x v="0"/>
    <x v="1"/>
    <n v="84.586985591175548"/>
    <n v="1545.520451737769"/>
    <n v="5.4730421390455692"/>
    <n v="1.4285714285714286"/>
    <n v="1.1764705882352942"/>
    <n v="7.8186316272079573E-2"/>
    <n v="6.4388731047594946E-2"/>
  </r>
  <r>
    <x v="0"/>
    <x v="0"/>
    <x v="2"/>
    <n v="144.61536789027591"/>
    <n v="1545.520451737769"/>
    <n v="9.3570659467929822"/>
    <n v="0.6875"/>
    <n v="0.57894736842105265"/>
    <n v="6.4329828384201773E-2"/>
    <n v="5.4172487060380449E-2"/>
  </r>
  <r>
    <x v="0"/>
    <x v="0"/>
    <x v="3"/>
    <n v="69.46799923947809"/>
    <n v="1545.520451737769"/>
    <n v="4.4947965043988187"/>
    <n v="1.4285714285714286"/>
    <n v="1.1764705882352942"/>
    <n v="6.4211378634268859E-2"/>
    <n v="5.2879958875280228E-2"/>
  </r>
  <r>
    <x v="1"/>
    <x v="0"/>
    <x v="4"/>
    <n v="308.72395152890567"/>
    <n v="1545.520451737769"/>
    <n v="19.975403831232342"/>
    <n v="1.4285714285714286"/>
    <n v="1.1764705882352942"/>
    <n v="0.28536291187474772"/>
    <n v="0.23500475095567458"/>
  </r>
  <r>
    <x v="1"/>
    <x v="0"/>
    <x v="5"/>
    <n v="708.58388490072753"/>
    <n v="1545.520451737769"/>
    <n v="45.847590311988583"/>
    <n v="1"/>
    <n v="0.8421052631578948"/>
    <n v="0.45847590311988579"/>
    <n v="0.3860849710483249"/>
  </r>
  <r>
    <x v="0"/>
    <x v="0"/>
    <x v="6"/>
    <n v="143.38019922135439"/>
    <n v="1545.520451737769"/>
    <n v="9.2771466763923449"/>
    <n v="0.74999999999999989"/>
    <n v="0.63157894736842102"/>
    <n v="6.9578600072942573E-2"/>
    <n v="5.8592505324583231E-2"/>
  </r>
  <r>
    <x v="0"/>
    <x v="1"/>
    <x v="0"/>
    <n v="86.162063365852021"/>
    <n v="1550.0446681400711"/>
    <n v="5.5586826068205877"/>
    <n v="1.25"/>
    <n v="1.0526315789473684"/>
    <n v="6.9483532585257343E-2"/>
    <n v="5.8512448492848278E-2"/>
  </r>
  <r>
    <x v="1"/>
    <x v="1"/>
    <x v="1"/>
    <n v="106.5153859793645"/>
    <n v="1550.0446681400711"/>
    <n v="6.8717623542535948"/>
    <n v="1.4285714285714286"/>
    <n v="1.1764705882352942"/>
    <n v="9.8168033632194229E-2"/>
    <n v="8.0844262991218788E-2"/>
  </r>
  <r>
    <x v="0"/>
    <x v="1"/>
    <x v="2"/>
    <n v="144.61536789027591"/>
    <n v="1550.0446681400711"/>
    <n v="9.329754868535673"/>
    <n v="0.6875"/>
    <n v="0.57894736842105265"/>
    <n v="6.4142064721182751E-2"/>
    <n v="5.4014370291522326E-2"/>
  </r>
  <r>
    <x v="0"/>
    <x v="1"/>
    <x v="3"/>
    <n v="81.964214271856974"/>
    <n v="1550.0446681400711"/>
    <n v="5.2878614375808564"/>
    <n v="1.4285714285714286"/>
    <n v="1.1764705882352942"/>
    <n v="7.5540877679726517E-2"/>
    <n v="6.2210134559774775E-2"/>
  </r>
  <r>
    <x v="1"/>
    <x v="1"/>
    <x v="4"/>
    <n v="271.3128466247577"/>
    <n v="1550.0446681400711"/>
    <n v="17.503550200931389"/>
    <n v="1.4285714285714286"/>
    <n v="1.1764705882352942"/>
    <n v="0.25005071715616273"/>
    <n v="0.20592412001095753"/>
  </r>
  <r>
    <x v="1"/>
    <x v="1"/>
    <x v="5"/>
    <n v="711.5703743843078"/>
    <n v="1550.0446681400711"/>
    <n v="45.906443150321273"/>
    <n v="1"/>
    <n v="0.8421052631578948"/>
    <n v="0.45906443150321274"/>
    <n v="0.38658057389744238"/>
  </r>
  <r>
    <x v="0"/>
    <x v="1"/>
    <x v="6"/>
    <n v="147.90441562365609"/>
    <n v="1550.0446681400711"/>
    <n v="9.5419453815566175"/>
    <n v="0.74999999999999989"/>
    <n v="0.63157894736842102"/>
    <n v="7.1564590361674604E-2"/>
    <n v="6.0264918199304941E-2"/>
  </r>
  <r>
    <x v="0"/>
    <x v="2"/>
    <x v="0"/>
    <n v="86.162063365852021"/>
    <n v="1542.0221847762141"/>
    <n v="5.5876020602360086"/>
    <n v="1.25"/>
    <n v="1.0526315789473684"/>
    <n v="6.9845025752950082E-2"/>
    <n v="5.8816863791957955E-2"/>
  </r>
  <r>
    <x v="1"/>
    <x v="2"/>
    <x v="1"/>
    <n v="145.93257151774321"/>
    <n v="1542.0221847762141"/>
    <n v="9.4637141383878127"/>
    <n v="1.4285714285714286"/>
    <n v="1.1764705882352942"/>
    <n v="0.13519591626268304"/>
    <n v="0.1113378133927978"/>
  </r>
  <r>
    <x v="0"/>
    <x v="2"/>
    <x v="2"/>
    <n v="144.61536789027591"/>
    <n v="1542.0221847762141"/>
    <n v="9.378293601610098"/>
    <n v="0.6875"/>
    <n v="0.57894736842105265"/>
    <n v="6.4475768511069412E-2"/>
    <n v="5.4295384009321615E-2"/>
  </r>
  <r>
    <x v="0"/>
    <x v="2"/>
    <x v="3"/>
    <n v="69.46799923947809"/>
    <n v="1542.0221847762141"/>
    <n v="4.5049935030318418"/>
    <n v="1.4285714285714286"/>
    <n v="1.1764705882352942"/>
    <n v="6.435705004331202E-2"/>
    <n v="5.2999923565080473E-2"/>
  </r>
  <r>
    <x v="1"/>
    <x v="2"/>
    <x v="4"/>
    <n v="263.29036326090022"/>
    <n v="1542.0221847762141"/>
    <n v="17.074356378284548"/>
    <n v="1.4285714285714286"/>
    <n v="1.1764705882352942"/>
    <n v="0.24391937683263637"/>
    <n v="0.20087478092099467"/>
  </r>
  <r>
    <x v="1"/>
    <x v="2"/>
    <x v="5"/>
    <n v="684.64940387830802"/>
    <n v="1542.0221847762141"/>
    <n v="44.39945226713246"/>
    <n v="1"/>
    <n v="0.8421052631578948"/>
    <n v="0.44399452267132444"/>
    <n v="0.37389012435479957"/>
  </r>
  <r>
    <x v="0"/>
    <x v="2"/>
    <x v="6"/>
    <n v="147.90441562365609"/>
    <n v="1542.0221847762141"/>
    <n v="9.5915880513172223"/>
    <n v="0.74999999999999989"/>
    <n v="0.63157894736842102"/>
    <n v="7.1936910384879135E-2"/>
    <n v="6.0578450850424542E-2"/>
  </r>
  <r>
    <x v="0"/>
    <x v="3"/>
    <x v="0"/>
    <n v="95.634456177845038"/>
    <n v="1542.022184776213"/>
    <n v="6.2018858821881366"/>
    <n v="1.25"/>
    <n v="1.0526315789473684"/>
    <n v="7.752357352735173E-2"/>
    <n v="6.5283009286190921E-2"/>
  </r>
  <r>
    <x v="1"/>
    <x v="3"/>
    <x v="1"/>
    <n v="153.09053231094549"/>
    <n v="1542.022184776213"/>
    <n v="9.9279072520712717"/>
    <n v="1.4285714285714286"/>
    <n v="1.1764705882352942"/>
    <n v="0.141827246458161"/>
    <n v="0.1167989088478973"/>
  </r>
  <r>
    <x v="0"/>
    <x v="3"/>
    <x v="2"/>
    <n v="144.61536789027591"/>
    <n v="1542.022184776213"/>
    <n v="9.3782936016100997"/>
    <n v="0.6875"/>
    <n v="0.57894736842105265"/>
    <n v="6.4475768511069453E-2"/>
    <n v="5.4295384009321657E-2"/>
  </r>
  <r>
    <x v="0"/>
    <x v="3"/>
    <x v="3"/>
    <n v="69.46799923947809"/>
    <n v="1542.022184776213"/>
    <n v="4.5049935030318426"/>
    <n v="1.4285714285714286"/>
    <n v="1.1764705882352942"/>
    <n v="6.4357050043312061E-2"/>
    <n v="5.2999923565080514E-2"/>
  </r>
  <r>
    <x v="1"/>
    <x v="3"/>
    <x v="4"/>
    <n v="246.66000965570481"/>
    <n v="1542.022184776213"/>
    <n v="15.99587944264897"/>
    <n v="1.4285714285714286"/>
    <n v="1.1764705882352942"/>
    <n v="0.22851256346641391"/>
    <n v="0.18818681697234085"/>
  </r>
  <r>
    <x v="1"/>
    <x v="3"/>
    <x v="5"/>
    <n v="660.46976559897587"/>
    <n v="1542.022184776213"/>
    <n v="42.831404899328788"/>
    <n v="1"/>
    <n v="0.8421052631578948"/>
    <n v="0.42831404899328801"/>
    <n v="0.36068551494171619"/>
  </r>
  <r>
    <x v="0"/>
    <x v="3"/>
    <x v="6"/>
    <n v="172.08405390298819"/>
    <n v="1542.022184776213"/>
    <n v="11.1596354191209"/>
    <n v="0.74999999999999989"/>
    <n v="0.63157894736842102"/>
    <n v="8.3697265643406737E-2"/>
    <n v="7.0481907910237257E-2"/>
  </r>
  <r>
    <x v="0"/>
    <x v="4"/>
    <x v="0"/>
    <n v="86.162063365852021"/>
    <n v="1578.8449218652081"/>
    <n v="5.457284763855232"/>
    <n v="1.25"/>
    <n v="1.0526315789473684"/>
    <n v="6.8216059548190378E-2"/>
    <n v="5.7445102777423471E-2"/>
  </r>
  <r>
    <x v="1"/>
    <x v="4"/>
    <x v="1"/>
    <n v="230.0855296355117"/>
    <n v="1578.8449218652081"/>
    <n v="14.57302908278632"/>
    <n v="1.4285714285714286"/>
    <n v="1.1764705882352942"/>
    <n v="0.20818612975409026"/>
    <n v="0.17144740097395669"/>
  </r>
  <r>
    <x v="0"/>
    <x v="4"/>
    <x v="2"/>
    <n v="144.61536789027591"/>
    <n v="1578.8449218652081"/>
    <n v="9.1595675982813383"/>
    <n v="0.6875"/>
    <n v="0.57894736842105265"/>
    <n v="6.2972027238184194E-2"/>
    <n v="5.3029075568997219E-2"/>
  </r>
  <r>
    <x v="0"/>
    <x v="4"/>
    <x v="3"/>
    <n v="106.2907363284726"/>
    <n v="1578.8449218652081"/>
    <n v="6.732183437174017"/>
    <n v="1.4285714285714286"/>
    <n v="1.1764705882352942"/>
    <n v="9.6174049102485976E-2"/>
    <n v="7.9202158084400204E-2"/>
  </r>
  <r>
    <x v="1"/>
    <x v="4"/>
    <x v="4"/>
    <n v="187.31651068916989"/>
    <n v="1578.8449218652081"/>
    <n v="11.864148789729059"/>
    <n v="1.4285714285714286"/>
    <n v="1.1764705882352942"/>
    <n v="0.16948783985327234"/>
    <n v="0.13957822105563605"/>
  </r>
  <r>
    <x v="1"/>
    <x v="4"/>
    <x v="5"/>
    <n v="676.47029833226975"/>
    <n v="1578.8449218652081"/>
    <n v="42.845898857064739"/>
    <n v="1"/>
    <n v="0.8421052631578948"/>
    <n v="0.42845898857064729"/>
    <n v="0.3608075693226504"/>
  </r>
  <r>
    <x v="0"/>
    <x v="4"/>
    <x v="6"/>
    <n v="147.90441562365609"/>
    <n v="1578.8449218652081"/>
    <n v="9.3678874711092917"/>
    <n v="0.74999999999999989"/>
    <n v="0.63157894736842102"/>
    <n v="7.025915603331967E-2"/>
    <n v="5.9165605080690249E-2"/>
  </r>
  <r>
    <x v="0"/>
    <x v="5"/>
    <x v="0"/>
    <n v="86.162063365852021"/>
    <n v="1510.461191366813"/>
    <n v="5.7043546605711946"/>
    <n v="1.25"/>
    <n v="1.0526315789473684"/>
    <n v="7.1304433257139962E-2"/>
    <n v="6.004583853232838E-2"/>
  </r>
  <r>
    <x v="1"/>
    <x v="5"/>
    <x v="1"/>
    <n v="227.67010509021191"/>
    <n v="1510.461191366813"/>
    <n v="15.07288677070833"/>
    <n v="1.4285714285714286"/>
    <n v="1.1764705882352942"/>
    <n v="0.21532695386726197"/>
    <n v="0.17732807965539221"/>
  </r>
  <r>
    <x v="0"/>
    <x v="5"/>
    <x v="2"/>
    <n v="41.279659431150378"/>
    <n v="1510.461191366813"/>
    <n v="2.732917579550421"/>
    <n v="0.6875"/>
    <n v="0.57894736842105265"/>
    <n v="1.8788808359409152E-2"/>
    <n v="1.5822154407923499E-2"/>
  </r>
  <r>
    <x v="0"/>
    <x v="5"/>
    <x v="3"/>
    <n v="133.22023092534599"/>
    <n v="1510.461191366813"/>
    <n v="8.819838052561634"/>
    <n v="1.4285714285714286"/>
    <n v="1.1764705882352942"/>
    <n v="0.12599768646516624"/>
    <n v="0.10376280061837218"/>
  </r>
  <r>
    <x v="1"/>
    <x v="5"/>
    <x v="4"/>
    <n v="205.85695641829341"/>
    <n v="1510.461191366813"/>
    <n v="13.628748464037921"/>
    <n v="1.4285714285714286"/>
    <n v="1.1764705882352942"/>
    <n v="0.19469640662911317"/>
    <n v="0.16033821722397557"/>
  </r>
  <r>
    <x v="1"/>
    <x v="5"/>
    <x v="5"/>
    <n v="668.36776051230356"/>
    <n v="1510.461191366813"/>
    <n v="44.249250780650563"/>
    <n v="1"/>
    <n v="0.8421052631578948"/>
    <n v="0.44249250780650584"/>
    <n v="0.37262526973179438"/>
  </r>
  <r>
    <x v="0"/>
    <x v="5"/>
    <x v="6"/>
    <n v="147.90441562365609"/>
    <n v="1510.461191366813"/>
    <n v="9.7920036919199287"/>
    <n v="0.74999999999999989"/>
    <n v="0.63157894736842102"/>
    <n v="7.3440027689399459E-2"/>
    <n v="6.184423384370482E-2"/>
  </r>
  <r>
    <x v="0"/>
    <x v="6"/>
    <x v="7"/>
    <n v="166.53088985912621"/>
    <n v="1676.320858616258"/>
    <n v="9.9343087573694842"/>
    <n v="0.74999999999999989"/>
    <n v="0.63157894736842102"/>
    <n v="7.4507315680271108E-2"/>
    <n v="6.2743002678123036E-2"/>
  </r>
  <r>
    <x v="0"/>
    <x v="6"/>
    <x v="0"/>
    <n v="86.162063365852021"/>
    <n v="1676.320858616258"/>
    <n v="5.1399505603584563"/>
    <n v="1.25"/>
    <n v="1.0526315789473684"/>
    <n v="6.4249382004480687E-2"/>
    <n v="5.4104742740615309E-2"/>
  </r>
  <r>
    <x v="1"/>
    <x v="6"/>
    <x v="1"/>
    <n v="180.53456039247521"/>
    <n v="1676.320858616258"/>
    <n v="10.76969003067229"/>
    <n v="1.4285714285714286"/>
    <n v="1.1764705882352942"/>
    <n v="0.15385271472388981"/>
    <n v="0.12670223565496808"/>
  </r>
  <r>
    <x v="0"/>
    <x v="6"/>
    <x v="2"/>
    <n v="41.279659431150378"/>
    <n v="1676.320858616258"/>
    <n v="2.462515408012357"/>
    <n v="0.6875"/>
    <n v="0.57894736842105265"/>
    <n v="1.6929793430084949E-2"/>
    <n v="1.4256668151650484E-2"/>
  </r>
  <r>
    <x v="0"/>
    <x v="6"/>
    <x v="3"/>
    <n v="217.29429224631139"/>
    <n v="1676.320858616258"/>
    <n v="12.962571641903921"/>
    <n v="1.4285714285714286"/>
    <n v="1.1764705882352942"/>
    <n v="0.18517959488434174"/>
    <n v="0.15250084284592849"/>
  </r>
  <r>
    <x v="1"/>
    <x v="6"/>
    <x v="4"/>
    <n v="239.77057536173379"/>
    <n v="1676.320858616258"/>
    <n v="14.30338196469474"/>
    <n v="1.4285714285714286"/>
    <n v="1.1764705882352942"/>
    <n v="0.20433402806706766"/>
    <n v="0.16827508193758514"/>
  </r>
  <r>
    <x v="1"/>
    <x v="6"/>
    <x v="5"/>
    <n v="596.84440233595251"/>
    <n v="1676.320858616258"/>
    <n v="35.604424968417199"/>
    <n v="1"/>
    <n v="0.8421052631578948"/>
    <n v="0.35604424968417198"/>
    <n v="0.29982673657614484"/>
  </r>
  <r>
    <x v="0"/>
    <x v="6"/>
    <x v="6"/>
    <n v="147.90441562365609"/>
    <n v="1676.320858616258"/>
    <n v="8.8231566685715439"/>
    <n v="0.74999999999999989"/>
    <n v="0.63157894736842102"/>
    <n v="6.6173675014286545E-2"/>
    <n v="5.5725200012030789E-2"/>
  </r>
  <r>
    <x v="0"/>
    <x v="7"/>
    <x v="7"/>
    <n v="291.17195202384909"/>
    <n v="1733.550097899192"/>
    <n v="16.796281363700231"/>
    <n v="0.74999999999999989"/>
    <n v="0.63157894736842102"/>
    <n v="0.1259721102277517"/>
    <n v="0.10608177703389619"/>
  </r>
  <r>
    <x v="0"/>
    <x v="7"/>
    <x v="0"/>
    <n v="93.320024159054441"/>
    <n v="1733.550097899192"/>
    <n v="5.3831743468010869"/>
    <n v="1.25"/>
    <n v="1.0526315789473684"/>
    <n v="6.7289679335013591E-2"/>
    <n v="5.666499312422197E-2"/>
  </r>
  <r>
    <x v="1"/>
    <x v="7"/>
    <x v="1"/>
    <n v="106.5153859793645"/>
    <n v="1733.550097899192"/>
    <n v="6.1443500310977717"/>
    <n v="1.4285714285714286"/>
    <n v="1.1764705882352942"/>
    <n v="8.7776429015682486E-2"/>
    <n v="7.2286470954091464E-2"/>
  </r>
  <r>
    <x v="0"/>
    <x v="7"/>
    <x v="2"/>
    <n v="41.279659431150378"/>
    <n v="1733.550097899192"/>
    <n v="2.3812210262152358"/>
    <n v="0.6875"/>
    <n v="0.57894736842105265"/>
    <n v="1.6370894555229751E-2"/>
    <n v="1.3786016467561895E-2"/>
  </r>
  <r>
    <x v="0"/>
    <x v="7"/>
    <x v="3"/>
    <n v="180.47155515731691"/>
    <n v="1733.550097899192"/>
    <n v="10.41051858703258"/>
    <n v="1.4285714285714286"/>
    <n v="1.1764705882352942"/>
    <n v="0.14872169410046546"/>
    <n v="0.12247668925920685"/>
  </r>
  <r>
    <x v="1"/>
    <x v="7"/>
    <x v="4"/>
    <n v="264.1548858315553"/>
    <n v="1733.550097899192"/>
    <n v="15.23779936626419"/>
    <n v="1.4285714285714286"/>
    <n v="1.1764705882352942"/>
    <n v="0.21768284808948843"/>
    <n v="0.17926822783840224"/>
  </r>
  <r>
    <x v="1"/>
    <x v="7"/>
    <x v="5"/>
    <n v="608.73221969324538"/>
    <n v="1733.550097899192"/>
    <n v="35.114775190572182"/>
    <n v="1"/>
    <n v="0.8421052631578948"/>
    <n v="0.35114775190572189"/>
    <n v="0.2957033700258711"/>
  </r>
  <r>
    <x v="0"/>
    <x v="7"/>
    <x v="6"/>
    <n v="147.90441562365609"/>
    <n v="1733.550097899192"/>
    <n v="8.531880088316715"/>
    <n v="0.74999999999999989"/>
    <n v="0.63157894736842102"/>
    <n v="6.3989100662375356E-2"/>
    <n v="5.388555845252662E-2"/>
  </r>
  <r>
    <x v="0"/>
    <x v="8"/>
    <x v="7"/>
    <n v="291.17195202384909"/>
    <n v="1748.8122600675099"/>
    <n v="16.649697550302449"/>
    <n v="0.74999999999999989"/>
    <n v="0.63157894736842102"/>
    <n v="0.12487273162726835"/>
    <n v="0.10515598452822598"/>
  </r>
  <r>
    <x v="0"/>
    <x v="8"/>
    <x v="0"/>
    <n v="93.320024159054441"/>
    <n v="1748.8122600675099"/>
    <n v="5.3361945298491902"/>
    <n v="1.25"/>
    <n v="1.0526315789473684"/>
    <n v="6.6702431623114872E-2"/>
    <n v="5.6170468735254622E-2"/>
  </r>
  <r>
    <x v="1"/>
    <x v="8"/>
    <x v="1"/>
    <n v="134.04475416045031"/>
    <n v="1748.8122600675099"/>
    <n v="7.6649024724515442"/>
    <n v="1.4285714285714286"/>
    <n v="1.1764705882352942"/>
    <n v="0.10949860674930779"/>
    <n v="9.0175323205312297E-2"/>
  </r>
  <r>
    <x v="0"/>
    <x v="8"/>
    <x v="2"/>
    <n v="38.340081074907701"/>
    <n v="1748.8122600675099"/>
    <n v="2.1923497421860279"/>
    <n v="0.6875"/>
    <n v="0.57894736842105265"/>
    <n v="1.5072404477528943E-2"/>
    <n v="1.269255113897174E-2"/>
  </r>
  <r>
    <x v="0"/>
    <x v="8"/>
    <x v="3"/>
    <n v="217.29429224631139"/>
    <n v="1748.8122600675099"/>
    <n v="12.425249822866819"/>
    <n v="1.4285714285714286"/>
    <n v="1.1764705882352942"/>
    <n v="0.17750356889809732"/>
    <n v="0.14617940968078605"/>
  </r>
  <r>
    <x v="1"/>
    <x v="8"/>
    <x v="4"/>
    <n v="242.59431091087831"/>
    <n v="1748.8122600675099"/>
    <n v="13.871947060887679"/>
    <n v="1.4285714285714286"/>
    <n v="1.1764705882352942"/>
    <n v="0.19817067229839541"/>
    <n v="0.16319937718691385"/>
  </r>
  <r>
    <x v="1"/>
    <x v="8"/>
    <x v="5"/>
    <n v="584.14242986840225"/>
    <n v="1748.8122600675099"/>
    <n v="33.402237804866061"/>
    <n v="1"/>
    <n v="0.8421052631578948"/>
    <n v="0.33402237804866053"/>
    <n v="0.28128200256729308"/>
  </r>
  <r>
    <x v="0"/>
    <x v="8"/>
    <x v="6"/>
    <n v="147.90441562365609"/>
    <n v="1748.8122600675099"/>
    <n v="8.4574210165902262"/>
    <n v="0.74999999999999989"/>
    <n v="0.63157894736842102"/>
    <n v="6.3430657624426678E-2"/>
    <n v="5.3415290631096159E-2"/>
  </r>
  <r>
    <x v="0"/>
    <x v="9"/>
    <x v="7"/>
    <n v="291.17195202384909"/>
    <n v="1760.924320727989"/>
    <n v="16.535176929322819"/>
    <n v="0.74999999999999989"/>
    <n v="0.63157894736842102"/>
    <n v="0.12401382696992115"/>
    <n v="0.1044326963957231"/>
  </r>
  <r>
    <x v="0"/>
    <x v="9"/>
    <x v="0"/>
    <n v="110.1550521446958"/>
    <n v="1760.924320727989"/>
    <n v="6.255524490635481"/>
    <n v="1.25"/>
    <n v="1.0526315789473684"/>
    <n v="7.8194056132943487E-2"/>
    <n v="6.5847626217215571E-2"/>
  </r>
  <r>
    <x v="1"/>
    <x v="9"/>
    <x v="1"/>
    <n v="209.4542030099409"/>
    <n v="1760.924320727989"/>
    <n v="11.89456017754072"/>
    <n v="1.4285714285714286"/>
    <n v="1.1764705882352942"/>
    <n v="0.16992228825058178"/>
    <n v="0.13993600208871443"/>
  </r>
  <r>
    <x v="0"/>
    <x v="9"/>
    <x v="2"/>
    <n v="38.340081074907701"/>
    <n v="1760.924320727989"/>
    <n v="2.177270233797294"/>
    <n v="0.6875"/>
    <n v="0.57894736842105265"/>
    <n v="1.4968732857356398E-2"/>
    <n v="1.2605248721984335E-2"/>
  </r>
  <r>
    <x v="0"/>
    <x v="9"/>
    <x v="3"/>
    <n v="123.1593343465393"/>
    <n v="1760.924320727989"/>
    <n v="6.994016318408482"/>
    <n v="1.4285714285714286"/>
    <n v="1.1764705882352942"/>
    <n v="9.9914518834406912E-2"/>
    <n v="8.2282544922452752E-2"/>
  </r>
  <r>
    <x v="1"/>
    <x v="9"/>
    <x v="4"/>
    <n v="243.7005266998307"/>
    <n v="1760.924320727989"/>
    <n v="13.83935265310447"/>
    <n v="1.4285714285714286"/>
    <n v="1.1764705882352942"/>
    <n v="0.19770503790149235"/>
    <n v="0.16281591356593486"/>
  </r>
  <r>
    <x v="1"/>
    <x v="9"/>
    <x v="5"/>
    <n v="597.03875580456929"/>
    <n v="1760.924320727989"/>
    <n v="33.904850354826479"/>
    <n v="1"/>
    <n v="0.8421052631578948"/>
    <n v="0.33904850354826477"/>
    <n v="0.28551452930380194"/>
  </r>
  <r>
    <x v="0"/>
    <x v="9"/>
    <x v="6"/>
    <n v="147.90441562365609"/>
    <n v="1760.924320727989"/>
    <n v="8.3992488423642477"/>
    <n v="0.74999999999999989"/>
    <n v="0.63157894736842102"/>
    <n v="6.2994366317731837E-2"/>
    <n v="5.30478874254584E-2"/>
  </r>
  <r>
    <x v="2"/>
    <x v="10"/>
    <x v="8"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4">
  <r>
    <x v="0"/>
    <s v="Complex syst."/>
    <s v="N2"/>
    <s v="N"/>
    <n v="2.395712466219154"/>
    <n v="86.162063365852021"/>
    <n v="2.780472487116215"/>
    <n v="0.6"/>
    <n v="41"/>
    <n v="0.41"/>
    <n v="0.41"/>
    <n v="0.98"/>
    <n v="40.18"/>
    <n v="96.259726892685606"/>
  </r>
  <r>
    <x v="0"/>
    <s v="Complex syst."/>
    <s v="S1"/>
    <s v="S1"/>
    <n v="5.6030118129227517"/>
    <n v="86.162063365852021"/>
    <n v="6.5028756207147103"/>
    <n v="0.6"/>
    <n v="109"/>
    <n v="1.0900000000000001"/>
    <n v="0.6"/>
    <n v="1.1699999999999997"/>
    <n v="70.199999999999989"/>
    <n v="393.3314292671771"/>
  </r>
  <r>
    <x v="0"/>
    <s v="Complex syst."/>
    <s v="S2"/>
    <s v="S2"/>
    <n v="39.206095638516793"/>
    <n v="86.162063365852021"/>
    <n v="45.502735318726202"/>
    <n v="0.6"/>
    <n v="81"/>
    <n v="0.81"/>
    <n v="0.6"/>
    <n v="1.04"/>
    <n v="62.4"/>
    <n v="2446.4603678434478"/>
  </r>
  <r>
    <x v="0"/>
    <s v="Complex syst."/>
    <s v="S3"/>
    <s v="S3"/>
    <n v="38.957243448193317"/>
    <n v="86.162063365852021"/>
    <n v="45.213916573442887"/>
    <n v="0.6"/>
    <n v="59"/>
    <n v="0.59"/>
    <n v="0.59"/>
    <n v="0.99999999999999978"/>
    <n v="58.999999999999986"/>
    <n v="2298.477363443405"/>
  </r>
  <r>
    <x v="0"/>
    <s v="Fodder crops"/>
    <s v="N2"/>
    <s v="N"/>
    <n v="0.81287046447513356"/>
    <n v="84.586985591175548"/>
    <n v="0.9609876256897083"/>
    <n v="0.7"/>
    <n v="41"/>
    <n v="0.41"/>
    <n v="0.41"/>
    <n v="0.98"/>
    <n v="40.18"/>
    <n v="32.661135262610863"/>
  </r>
  <r>
    <x v="0"/>
    <s v="Fodder crops"/>
    <s v="S1"/>
    <s v="S1"/>
    <n v="12.803480333514919"/>
    <n v="84.586985591175548"/>
    <n v="15.136466022558711"/>
    <n v="0.7"/>
    <n v="109"/>
    <n v="1.0900000000000001"/>
    <n v="0.7"/>
    <n v="1.1699999999999997"/>
    <n v="81.899999999999977"/>
    <n v="1048.6050393148716"/>
  </r>
  <r>
    <x v="0"/>
    <s v="Fodder crops"/>
    <s v="S2"/>
    <s v="S2"/>
    <n v="52.394497803108372"/>
    <n v="84.586985591175548"/>
    <n v="61.941559256338323"/>
    <n v="0.7"/>
    <n v="81"/>
    <n v="0.81"/>
    <n v="0.7"/>
    <n v="1.04"/>
    <n v="72.8"/>
    <n v="3814.3194400662892"/>
  </r>
  <r>
    <x v="0"/>
    <s v="Fodder crops"/>
    <s v="S3"/>
    <s v="S3"/>
    <n v="18.576136990077131"/>
    <n v="84.586985591175548"/>
    <n v="21.960987095413248"/>
    <n v="0.7"/>
    <n v="59"/>
    <n v="0.59"/>
    <n v="0.59"/>
    <n v="0.99999999999999978"/>
    <n v="58.999999999999986"/>
    <n v="1095.9920824145504"/>
  </r>
  <r>
    <x v="0"/>
    <s v="Olive grove"/>
    <s v="N1"/>
    <s v="N"/>
    <n v="1.8977526839733281"/>
    <n v="144.61536789027591"/>
    <n v="1.31227594387701"/>
    <n v="1"/>
    <n v="41"/>
    <n v="0.41"/>
    <n v="0.41"/>
    <n v="0.98"/>
    <n v="40.18"/>
    <n v="76.251702842048317"/>
  </r>
  <r>
    <x v="0"/>
    <s v="Olive grove"/>
    <s v="N2"/>
    <s v="N"/>
    <n v="0.31127806736506458"/>
    <n v="144.61536789027591"/>
    <n v="0.2152454970077875"/>
    <n v="1"/>
    <n v="41"/>
    <n v="0.41"/>
    <n v="0.41"/>
    <n v="0.98"/>
    <n v="40.18"/>
    <n v="12.507152746728295"/>
  </r>
  <r>
    <x v="0"/>
    <s v="Olive grove"/>
    <s v="S1"/>
    <s v="S1"/>
    <n v="22.20406942202391"/>
    <n v="144.61536789027591"/>
    <n v="15.353879567537261"/>
    <n v="1"/>
    <n v="109"/>
    <n v="1.0900000000000001"/>
    <n v="1"/>
    <n v="1.1699999999999997"/>
    <n v="116.99999999999997"/>
    <n v="2597.876122376797"/>
  </r>
  <r>
    <x v="0"/>
    <s v="Olive grove"/>
    <s v="S2"/>
    <s v="S2"/>
    <n v="90.895999168663451"/>
    <n v="144.61536789027591"/>
    <n v="62.853623715585357"/>
    <n v="1"/>
    <n v="81"/>
    <n v="0.81"/>
    <n v="0.81"/>
    <n v="1.04"/>
    <n v="84.240000000000009"/>
    <n v="7657.07896996821"/>
  </r>
  <r>
    <x v="0"/>
    <s v="Olive grove"/>
    <s v="S3"/>
    <s v="S3"/>
    <n v="29.30626854825012"/>
    <n v="144.61536789027591"/>
    <n v="20.26497527599258"/>
    <n v="1"/>
    <n v="59"/>
    <n v="0.59"/>
    <n v="0.59"/>
    <n v="0.99999999999999978"/>
    <n v="58.999999999999986"/>
    <n v="1729.0698443467568"/>
  </r>
  <r>
    <x v="0"/>
    <s v="P. tomate"/>
    <s v="S1"/>
    <s v="S1"/>
    <n v="7.7471967371413273"/>
    <n v="69.467999239478104"/>
    <n v="11.152180603955919"/>
    <n v="0.6"/>
    <n v="109"/>
    <n v="1.0900000000000001"/>
    <n v="0.6"/>
    <n v="1.1699999999999997"/>
    <n v="70.199999999999989"/>
    <n v="543.85321094732103"/>
  </r>
  <r>
    <x v="0"/>
    <s v="P. tomate"/>
    <s v="S2"/>
    <s v="S2"/>
    <n v="52.815683314845778"/>
    <n v="69.467999239478104"/>
    <n v="76.028795838460042"/>
    <n v="0.6"/>
    <n v="81"/>
    <n v="0.81"/>
    <n v="0.6"/>
    <n v="1.04"/>
    <n v="62.4"/>
    <n v="3295.6986388463765"/>
  </r>
  <r>
    <x v="0"/>
    <s v="P. tomate"/>
    <s v="S3"/>
    <s v="S3"/>
    <n v="8.9051191874909854"/>
    <n v="69.467999239478104"/>
    <n v="12.819023557584019"/>
    <n v="0.6"/>
    <n v="59"/>
    <n v="0.59"/>
    <n v="0.59"/>
    <n v="0.99999999999999978"/>
    <n v="58.999999999999986"/>
    <n v="525.40203206196804"/>
  </r>
  <r>
    <x v="0"/>
    <s v="Pastures"/>
    <s v="N1"/>
    <s v="N"/>
    <n v="0.27743819546739251"/>
    <n v="308.72395152890567"/>
    <n v="8.9866106628081324E-2"/>
    <n v="0.6"/>
    <n v="41"/>
    <n v="0.41"/>
    <n v="0.41"/>
    <n v="0.98"/>
    <n v="40.18"/>
    <n v="11.147466693879831"/>
  </r>
  <r>
    <x v="0"/>
    <s v="Pastures"/>
    <s v="N2"/>
    <s v="N"/>
    <n v="7.4883093095167913E-2"/>
    <n v="308.72395152890567"/>
    <n v="2.4255679782641239E-2"/>
    <n v="0.6"/>
    <n v="41"/>
    <n v="0.41"/>
    <n v="0.41"/>
    <n v="0.98"/>
    <n v="40.18"/>
    <n v="3.0088026805638468"/>
  </r>
  <r>
    <x v="0"/>
    <s v="Pastures"/>
    <s v="S1"/>
    <s v="S1"/>
    <n v="31.05331898998201"/>
    <n v="308.72395152890567"/>
    <n v="10.05860375788644"/>
    <n v="0.6"/>
    <n v="109"/>
    <n v="1.0900000000000001"/>
    <n v="0.6"/>
    <n v="1.1699999999999997"/>
    <n v="70.199999999999989"/>
    <n v="2179.9429930967367"/>
  </r>
  <r>
    <x v="0"/>
    <s v="Pastures"/>
    <s v="S2"/>
    <s v="S2"/>
    <n v="167.8586371107256"/>
    <n v="308.72395152890567"/>
    <n v="54.371757124587432"/>
    <n v="0.6"/>
    <n v="81"/>
    <n v="0.81"/>
    <n v="0.6"/>
    <n v="1.04"/>
    <n v="62.4"/>
    <n v="10474.378955709277"/>
  </r>
  <r>
    <x v="0"/>
    <s v="Pastures"/>
    <s v="S3"/>
    <s v="S3"/>
    <n v="109.4596741396355"/>
    <n v="308.72395152890567"/>
    <n v="35.455517331115423"/>
    <n v="0.6"/>
    <n v="59"/>
    <n v="0.59"/>
    <n v="0.59"/>
    <n v="0.99999999999999978"/>
    <n v="58.999999999999986"/>
    <n v="6458.1207742384931"/>
  </r>
  <r>
    <x v="0"/>
    <s v="Silage"/>
    <s v="N2"/>
    <s v="N"/>
    <n v="0.27323829650385978"/>
    <n v="708.58388490072753"/>
    <n v="3.8561178475310723E-2"/>
    <n v="0.6"/>
    <n v="41"/>
    <n v="0.41"/>
    <n v="0.41"/>
    <n v="0.98"/>
    <n v="40.18"/>
    <n v="10.978714753525086"/>
  </r>
  <r>
    <x v="0"/>
    <s v="Silage"/>
    <s v="S1"/>
    <s v="S1"/>
    <n v="127.04570272738481"/>
    <n v="708.58388490072753"/>
    <n v="17.92952188648545"/>
    <n v="0.6"/>
    <n v="109"/>
    <n v="1.0900000000000001"/>
    <n v="0.6"/>
    <n v="1.1699999999999997"/>
    <n v="70.199999999999989"/>
    <n v="8918.608331462412"/>
  </r>
  <r>
    <x v="0"/>
    <s v="Silage"/>
    <s v="S2"/>
    <s v="S2"/>
    <n v="448.85800342187258"/>
    <n v="708.58388490072753"/>
    <n v="63.345782057230608"/>
    <n v="0.6"/>
    <n v="81"/>
    <n v="0.81"/>
    <n v="0.6"/>
    <n v="1.04"/>
    <n v="62.4"/>
    <n v="28008.739413524847"/>
  </r>
  <r>
    <x v="0"/>
    <s v="Silage"/>
    <s v="S3"/>
    <s v="S3"/>
    <n v="132.40694045496619"/>
    <n v="708.58388490072753"/>
    <n v="18.68613487780863"/>
    <n v="0.6"/>
    <n v="59"/>
    <n v="0.59"/>
    <n v="0.59"/>
    <n v="0.99999999999999978"/>
    <n v="58.999999999999986"/>
    <n v="7812.0094868430033"/>
  </r>
  <r>
    <x v="0"/>
    <s v="Vineyard"/>
    <s v="N2"/>
    <s v="N"/>
    <n v="0.510724725922025"/>
    <n v="143.38019922135439"/>
    <n v="0.35620310802717858"/>
    <n v="1"/>
    <n v="41"/>
    <n v="0.41"/>
    <n v="0.41"/>
    <n v="0.98"/>
    <n v="40.18"/>
    <n v="20.520919487546966"/>
  </r>
  <r>
    <x v="0"/>
    <s v="Vineyard"/>
    <s v="S1"/>
    <s v="S1"/>
    <n v="21.39123429202315"/>
    <n v="143.38019922135439"/>
    <n v="14.919238784846961"/>
    <n v="1"/>
    <n v="109"/>
    <n v="1.0900000000000001"/>
    <n v="1"/>
    <n v="1.1699999999999997"/>
    <n v="116.99999999999997"/>
    <n v="2502.7744121667079"/>
  </r>
  <r>
    <x v="0"/>
    <s v="Vineyard"/>
    <s v="S2"/>
    <s v="S2"/>
    <n v="101.94433712452231"/>
    <n v="143.38019922135439"/>
    <n v="71.100708241545789"/>
    <n v="1"/>
    <n v="81"/>
    <n v="0.81"/>
    <n v="0.81"/>
    <n v="1.04"/>
    <n v="84.240000000000009"/>
    <n v="8587.7909593697605"/>
  </r>
  <r>
    <x v="0"/>
    <s v="Vineyard"/>
    <s v="S3"/>
    <s v="S3"/>
    <n v="19.533903078886912"/>
    <n v="143.38019922135439"/>
    <n v="13.62384986558005"/>
    <n v="1"/>
    <n v="59"/>
    <n v="0.59"/>
    <n v="0.59"/>
    <n v="0.99999999999999978"/>
    <n v="58.999999999999986"/>
    <n v="1152.5002816543274"/>
  </r>
  <r>
    <x v="1"/>
    <s v="Complex syst."/>
    <s v="N2"/>
    <s v="N"/>
    <n v="2.395712466219154"/>
    <n v="86.162063365852021"/>
    <n v="2.780472487116215"/>
    <n v="0.6"/>
    <n v="41"/>
    <n v="0.41"/>
    <n v="0.41"/>
    <n v="0.98"/>
    <n v="40.18"/>
    <n v="96.259726892685606"/>
  </r>
  <r>
    <x v="1"/>
    <s v="Complex syst."/>
    <s v="S1"/>
    <s v="S1"/>
    <n v="5.6030118129227517"/>
    <n v="86.162063365852021"/>
    <n v="6.5028756207147103"/>
    <n v="0.6"/>
    <n v="109"/>
    <n v="1.0900000000000001"/>
    <n v="0.6"/>
    <n v="1.1699999999999997"/>
    <n v="70.199999999999989"/>
    <n v="393.3314292671771"/>
  </r>
  <r>
    <x v="1"/>
    <s v="Complex syst."/>
    <s v="S2"/>
    <s v="S2"/>
    <n v="39.206095638516793"/>
    <n v="86.162063365852021"/>
    <n v="45.502735318726202"/>
    <n v="0.6"/>
    <n v="81"/>
    <n v="0.81"/>
    <n v="0.6"/>
    <n v="1.04"/>
    <n v="62.4"/>
    <n v="2446.4603678434478"/>
  </r>
  <r>
    <x v="1"/>
    <s v="Complex syst."/>
    <s v="S3"/>
    <s v="S3"/>
    <n v="38.957243448193317"/>
    <n v="86.162063365852021"/>
    <n v="45.213916573442887"/>
    <n v="0.6"/>
    <n v="59"/>
    <n v="0.59"/>
    <n v="0.59"/>
    <n v="0.99999999999999978"/>
    <n v="58.999999999999986"/>
    <n v="2298.477363443405"/>
  </r>
  <r>
    <x v="1"/>
    <s v="Fodder crops"/>
    <s v="N1"/>
    <s v="N"/>
    <n v="0.13728521239821001"/>
    <n v="106.5153859793645"/>
    <n v="0.12888768240938139"/>
    <n v="0.7"/>
    <n v="41"/>
    <n v="0.41"/>
    <n v="0.41"/>
    <n v="0.98"/>
    <n v="40.18"/>
    <n v="5.5161198341600786"/>
  </r>
  <r>
    <x v="1"/>
    <s v="Fodder crops"/>
    <s v="N2"/>
    <s v="N"/>
    <n v="0.84052104396595462"/>
    <n v="106.5153859793645"/>
    <n v="0.78910763570700582"/>
    <n v="0.7"/>
    <n v="41"/>
    <n v="0.41"/>
    <n v="0.41"/>
    <n v="0.98"/>
    <n v="40.18"/>
    <n v="33.772135546552057"/>
  </r>
  <r>
    <x v="1"/>
    <s v="Fodder crops"/>
    <s v="S1"/>
    <s v="S1"/>
    <n v="19.16080253004348"/>
    <n v="106.5153859793645"/>
    <n v="17.988765053863251"/>
    <n v="0.7"/>
    <n v="109"/>
    <n v="1.0900000000000001"/>
    <n v="0.7"/>
    <n v="1.1699999999999997"/>
    <n v="81.899999999999977"/>
    <n v="1569.2697272105606"/>
  </r>
  <r>
    <x v="1"/>
    <s v="Fodder crops"/>
    <s v="S2"/>
    <s v="S2"/>
    <n v="68.168214136618218"/>
    <n v="106.5153859793645"/>
    <n v="63.99846699126136"/>
    <n v="0.7"/>
    <n v="81"/>
    <n v="0.81"/>
    <n v="0.7"/>
    <n v="1.04"/>
    <n v="72.8"/>
    <n v="4962.6459891458062"/>
  </r>
  <r>
    <x v="1"/>
    <s v="Fodder crops"/>
    <s v="S3"/>
    <s v="S3"/>
    <n v="18.20856305633863"/>
    <n v="106.5153859793645"/>
    <n v="17.094772636759"/>
    <n v="0.7"/>
    <n v="59"/>
    <n v="0.59"/>
    <n v="0.59"/>
    <n v="0.99999999999999978"/>
    <n v="58.999999999999986"/>
    <n v="1074.3052203239788"/>
  </r>
  <r>
    <x v="1"/>
    <s v="Olive grove"/>
    <s v="N1"/>
    <s v="N"/>
    <n v="1.8977526839733281"/>
    <n v="144.61536789027591"/>
    <n v="1.31227594387701"/>
    <n v="1"/>
    <n v="41"/>
    <n v="0.41"/>
    <n v="0.41"/>
    <n v="0.98"/>
    <n v="40.18"/>
    <n v="76.251702842048317"/>
  </r>
  <r>
    <x v="1"/>
    <s v="Olive grove"/>
    <s v="N2"/>
    <s v="N"/>
    <n v="0.31127806736506458"/>
    <n v="144.61536789027591"/>
    <n v="0.2152454970077875"/>
    <n v="1"/>
    <n v="41"/>
    <n v="0.41"/>
    <n v="0.41"/>
    <n v="0.98"/>
    <n v="40.18"/>
    <n v="12.507152746728295"/>
  </r>
  <r>
    <x v="1"/>
    <s v="Olive grove"/>
    <s v="S1"/>
    <s v="S1"/>
    <n v="22.20406942202391"/>
    <n v="144.61536789027591"/>
    <n v="15.353879567537261"/>
    <n v="1"/>
    <n v="109"/>
    <n v="1.0900000000000001"/>
    <n v="1"/>
    <n v="1.1699999999999997"/>
    <n v="116.99999999999997"/>
    <n v="2597.876122376797"/>
  </r>
  <r>
    <x v="1"/>
    <s v="Olive grove"/>
    <s v="S2"/>
    <s v="S2"/>
    <n v="90.895999168663451"/>
    <n v="144.61536789027591"/>
    <n v="62.853623715585357"/>
    <n v="1"/>
    <n v="81"/>
    <n v="0.81"/>
    <n v="0.81"/>
    <n v="1.04"/>
    <n v="84.240000000000009"/>
    <n v="7657.07896996821"/>
  </r>
  <r>
    <x v="1"/>
    <s v="Olive grove"/>
    <s v="S3"/>
    <s v="S3"/>
    <n v="29.30626854825012"/>
    <n v="144.61536789027591"/>
    <n v="20.26497527599258"/>
    <n v="1"/>
    <n v="59"/>
    <n v="0.59"/>
    <n v="0.59"/>
    <n v="0.99999999999999978"/>
    <n v="58.999999999999986"/>
    <n v="1729.0698443467568"/>
  </r>
  <r>
    <x v="1"/>
    <s v="P. tomate"/>
    <s v="N2"/>
    <s v="N"/>
    <n v="0.13245160810103621"/>
    <n v="81.964214271856974"/>
    <n v="0.161596874047647"/>
    <n v="0.6"/>
    <n v="41"/>
    <n v="0.41"/>
    <n v="0.41"/>
    <n v="0.98"/>
    <n v="40.18"/>
    <n v="5.3219056134996343"/>
  </r>
  <r>
    <x v="1"/>
    <s v="P. tomate"/>
    <s v="S1"/>
    <s v="S1"/>
    <n v="9.0826024712641011"/>
    <n v="81.964214271856974"/>
    <n v="11.08118042971673"/>
    <n v="0.6"/>
    <n v="109"/>
    <n v="1.0900000000000001"/>
    <n v="0.6"/>
    <n v="1.1699999999999997"/>
    <n v="70.199999999999989"/>
    <n v="637.5986934827398"/>
  </r>
  <r>
    <x v="1"/>
    <s v="P. tomate"/>
    <s v="S2"/>
    <s v="S2"/>
    <n v="60.555688364558392"/>
    <n v="81.964214271856974"/>
    <n v="73.880642793339916"/>
    <n v="0.6"/>
    <n v="81"/>
    <n v="0.81"/>
    <n v="0.6"/>
    <n v="1.04"/>
    <n v="62.4"/>
    <n v="3778.6749539484435"/>
  </r>
  <r>
    <x v="1"/>
    <s v="P. tomate"/>
    <s v="S3"/>
    <s v="S3"/>
    <n v="12.19347182793345"/>
    <n v="81.964214271856974"/>
    <n v="14.87657990289571"/>
    <n v="0.6"/>
    <n v="59"/>
    <n v="0.59"/>
    <n v="0.59"/>
    <n v="0.99999999999999978"/>
    <n v="58.999999999999986"/>
    <n v="719.41483784807338"/>
  </r>
  <r>
    <x v="1"/>
    <s v="Pastures"/>
    <s v="N1"/>
    <s v="N"/>
    <n v="0.14015298306918239"/>
    <n v="271.3128466247577"/>
    <n v="5.1657333890651552E-2"/>
    <n v="0.6"/>
    <n v="41"/>
    <n v="0.41"/>
    <n v="0.41"/>
    <n v="0.98"/>
    <n v="40.18"/>
    <n v="5.6313468597197485"/>
  </r>
  <r>
    <x v="1"/>
    <s v="Pastures"/>
    <s v="N2"/>
    <s v="N"/>
    <n v="4.7423552851432023E-2"/>
    <n v="271.3128466247577"/>
    <n v="1.747928763469932E-2"/>
    <n v="0.6"/>
    <n v="41"/>
    <n v="0.41"/>
    <n v="0.41"/>
    <n v="0.98"/>
    <n v="40.18"/>
    <n v="1.9054783535705386"/>
  </r>
  <r>
    <x v="1"/>
    <s v="Pastures"/>
    <s v="S1"/>
    <s v="S1"/>
    <n v="26.10341828218376"/>
    <n v="271.3128466247577"/>
    <n v="9.6211508621581743"/>
    <n v="0.6"/>
    <n v="109"/>
    <n v="1.0900000000000001"/>
    <n v="0.6"/>
    <n v="1.1699999999999997"/>
    <n v="70.199999999999989"/>
    <n v="1832.4599634092997"/>
  </r>
  <r>
    <x v="1"/>
    <s v="Pastures"/>
    <s v="S2"/>
    <s v="S2"/>
    <n v="141.27864466395951"/>
    <n v="271.3128466247577"/>
    <n v="52.072228212384111"/>
    <n v="0.6"/>
    <n v="81"/>
    <n v="0.81"/>
    <n v="0.6"/>
    <n v="1.04"/>
    <n v="62.4"/>
    <n v="8815.7874270310731"/>
  </r>
  <r>
    <x v="1"/>
    <s v="Pastures"/>
    <s v="S3"/>
    <s v="S3"/>
    <n v="103.74320714269381"/>
    <n v="271.3128466247577"/>
    <n v="38.237484303932369"/>
    <n v="0.6"/>
    <n v="59"/>
    <n v="0.59"/>
    <n v="0.59"/>
    <n v="0.99999999999999978"/>
    <n v="58.999999999999986"/>
    <n v="6120.8492214189328"/>
  </r>
  <r>
    <x v="1"/>
    <s v="Silage"/>
    <s v="N2"/>
    <s v="N"/>
    <n v="0.14059564915573841"/>
    <n v="711.5703743843078"/>
    <n v="1.9758502351561499E-2"/>
    <n v="0.6"/>
    <n v="41"/>
    <n v="0.41"/>
    <n v="0.41"/>
    <n v="0.98"/>
    <n v="40.18"/>
    <n v="5.6491331830775691"/>
  </r>
  <r>
    <x v="1"/>
    <s v="Silage"/>
    <s v="S1"/>
    <s v="S1"/>
    <n v="124.3028755045318"/>
    <n v="711.5703743843078"/>
    <n v="17.46880982953876"/>
    <n v="0.6"/>
    <n v="109"/>
    <n v="1.0900000000000001"/>
    <n v="0.6"/>
    <n v="1.1699999999999997"/>
    <n v="70.199999999999989"/>
    <n v="8726.0618604181309"/>
  </r>
  <r>
    <x v="1"/>
    <s v="Silage"/>
    <s v="S2"/>
    <s v="S2"/>
    <n v="451.92427448541628"/>
    <n v="711.5703743843078"/>
    <n v="63.510833327827562"/>
    <n v="0.6"/>
    <n v="81"/>
    <n v="0.81"/>
    <n v="0.6"/>
    <n v="1.04"/>
    <n v="62.4"/>
    <n v="28200.074727889976"/>
  </r>
  <r>
    <x v="1"/>
    <s v="Silage"/>
    <s v="S3"/>
    <s v="S3"/>
    <n v="135.20262874520401"/>
    <n v="711.5703743843078"/>
    <n v="19.00059834028211"/>
    <n v="0.6"/>
    <n v="59"/>
    <n v="0.59"/>
    <n v="0.59"/>
    <n v="0.99999999999999978"/>
    <n v="58.999999999999986"/>
    <n v="7976.955095967035"/>
  </r>
  <r>
    <x v="1"/>
    <s v="Vineyard"/>
    <s v="N2"/>
    <s v="N"/>
    <n v="0.510724725922025"/>
    <n v="147.90441562365609"/>
    <n v="0.34530728766176122"/>
    <n v="1"/>
    <n v="41"/>
    <n v="0.41"/>
    <n v="0.41"/>
    <n v="0.98"/>
    <n v="40.18"/>
    <n v="20.520919487546966"/>
  </r>
  <r>
    <x v="1"/>
    <s v="Vineyard"/>
    <s v="S1"/>
    <s v="S1"/>
    <n v="21.657352576372801"/>
    <n v="147.90441562365609"/>
    <n v="14.64280324901191"/>
    <n v="1"/>
    <n v="109"/>
    <n v="1.0900000000000001"/>
    <n v="1"/>
    <n v="1.1699999999999997"/>
    <n v="116.99999999999997"/>
    <n v="2533.9102514356173"/>
  </r>
  <r>
    <x v="1"/>
    <s v="Vineyard"/>
    <s v="S2"/>
    <s v="S2"/>
    <n v="103.9683090520862"/>
    <n v="147.90441562365609"/>
    <n v="70.294256336899608"/>
    <n v="1"/>
    <n v="81"/>
    <n v="0.81"/>
    <n v="0.81"/>
    <n v="1.04"/>
    <n v="84.240000000000009"/>
    <n v="8758.290354547742"/>
  </r>
  <r>
    <x v="1"/>
    <s v="Vineyard"/>
    <s v="S3"/>
    <s v="S3"/>
    <n v="21.768029269275061"/>
    <n v="147.90441562365609"/>
    <n v="14.717633126426721"/>
    <n v="1"/>
    <n v="59"/>
    <n v="0.59"/>
    <n v="0.59"/>
    <n v="0.99999999999999978"/>
    <n v="58.999999999999986"/>
    <n v="1284.3137268872283"/>
  </r>
  <r>
    <x v="2"/>
    <s v="Complex syst."/>
    <s v="N2"/>
    <s v="N"/>
    <n v="2.395712466219154"/>
    <n v="86.162063365852021"/>
    <n v="2.780472487116215"/>
    <n v="0.6"/>
    <n v="41"/>
    <n v="0.41"/>
    <n v="0.41"/>
    <n v="0.98"/>
    <n v="40.18"/>
    <n v="96.259726892685606"/>
  </r>
  <r>
    <x v="2"/>
    <s v="Complex syst."/>
    <s v="S1"/>
    <s v="S1"/>
    <n v="5.6030118129227517"/>
    <n v="86.162063365852021"/>
    <n v="6.5028756207147103"/>
    <n v="0.6"/>
    <n v="109"/>
    <n v="1.0900000000000001"/>
    <n v="0.6"/>
    <n v="1.1699999999999997"/>
    <n v="70.199999999999989"/>
    <n v="393.3314292671771"/>
  </r>
  <r>
    <x v="2"/>
    <s v="Complex syst."/>
    <s v="S2"/>
    <s v="S2"/>
    <n v="39.206095638516793"/>
    <n v="86.162063365852021"/>
    <n v="45.502735318726202"/>
    <n v="0.6"/>
    <n v="81"/>
    <n v="0.81"/>
    <n v="0.6"/>
    <n v="1.04"/>
    <n v="62.4"/>
    <n v="2446.4603678434478"/>
  </r>
  <r>
    <x v="2"/>
    <s v="Complex syst."/>
    <s v="S3"/>
    <s v="S3"/>
    <n v="38.957243448193317"/>
    <n v="86.162063365852021"/>
    <n v="45.213916573442887"/>
    <n v="0.6"/>
    <n v="59"/>
    <n v="0.59"/>
    <n v="0.59"/>
    <n v="0.99999999999999978"/>
    <n v="58.999999999999986"/>
    <n v="2298.477363443405"/>
  </r>
  <r>
    <x v="2"/>
    <s v="Fodder crops"/>
    <s v="N1"/>
    <s v="N"/>
    <n v="0.13728521239821001"/>
    <n v="145.93257151774321"/>
    <n v="9.407441462204226E-2"/>
    <n v="0.7"/>
    <n v="41"/>
    <n v="0.41"/>
    <n v="0.41"/>
    <n v="0.98"/>
    <n v="40.18"/>
    <n v="5.5161198341600786"/>
  </r>
  <r>
    <x v="2"/>
    <s v="Fodder crops"/>
    <s v="N2"/>
    <s v="N"/>
    <n v="0.84052104396595462"/>
    <n v="145.93257151774321"/>
    <n v="0.57596534839637237"/>
    <n v="0.7"/>
    <n v="41"/>
    <n v="0.41"/>
    <n v="0.41"/>
    <n v="0.98"/>
    <n v="40.18"/>
    <n v="33.772135546552057"/>
  </r>
  <r>
    <x v="2"/>
    <s v="Fodder crops"/>
    <s v="S1"/>
    <s v="S1"/>
    <n v="22.912526533864689"/>
    <n v="145.93257151774321"/>
    <n v="15.700762547776311"/>
    <n v="0.7"/>
    <n v="109"/>
    <n v="1.0900000000000001"/>
    <n v="0.7"/>
    <n v="1.1699999999999997"/>
    <n v="81.899999999999977"/>
    <n v="1876.5359231235175"/>
  </r>
  <r>
    <x v="2"/>
    <s v="Fodder crops"/>
    <s v="S2"/>
    <s v="S2"/>
    <n v="101.0991089678117"/>
    <n v="145.93257151774321"/>
    <n v="69.277960304783392"/>
    <n v="0.7"/>
    <n v="81"/>
    <n v="0.81"/>
    <n v="0.7"/>
    <n v="1.04"/>
    <n v="72.8"/>
    <n v="7360.0151328566917"/>
  </r>
  <r>
    <x v="2"/>
    <s v="Fodder crops"/>
    <s v="S3"/>
    <s v="S3"/>
    <n v="20.943129759702561"/>
    <n v="145.93257151774321"/>
    <n v="14.351237384421889"/>
    <n v="0.7"/>
    <n v="59"/>
    <n v="0.59"/>
    <n v="0.59"/>
    <n v="0.99999999999999978"/>
    <n v="58.999999999999986"/>
    <n v="1235.6446558224509"/>
  </r>
  <r>
    <x v="2"/>
    <s v="Olive grove"/>
    <s v="N1"/>
    <s v="N"/>
    <n v="1.8977526839733281"/>
    <n v="144.61536789027591"/>
    <n v="1.31227594387701"/>
    <n v="1"/>
    <n v="41"/>
    <n v="0.41"/>
    <n v="0.41"/>
    <n v="0.98"/>
    <n v="40.18"/>
    <n v="76.251702842048317"/>
  </r>
  <r>
    <x v="2"/>
    <s v="Olive grove"/>
    <s v="N2"/>
    <s v="N"/>
    <n v="0.31127806736506458"/>
    <n v="144.61536789027591"/>
    <n v="0.2152454970077875"/>
    <n v="1"/>
    <n v="41"/>
    <n v="0.41"/>
    <n v="0.41"/>
    <n v="0.98"/>
    <n v="40.18"/>
    <n v="12.507152746728295"/>
  </r>
  <r>
    <x v="2"/>
    <s v="Olive grove"/>
    <s v="S1"/>
    <s v="S1"/>
    <n v="22.20406942202391"/>
    <n v="144.61536789027591"/>
    <n v="15.353879567537261"/>
    <n v="1"/>
    <n v="109"/>
    <n v="1.0900000000000001"/>
    <n v="1"/>
    <n v="1.1699999999999997"/>
    <n v="116.99999999999997"/>
    <n v="2597.876122376797"/>
  </r>
  <r>
    <x v="2"/>
    <s v="Olive grove"/>
    <s v="S2"/>
    <s v="S2"/>
    <n v="90.895999168663451"/>
    <n v="144.61536789027591"/>
    <n v="62.853623715585357"/>
    <n v="1"/>
    <n v="81"/>
    <n v="0.81"/>
    <n v="0.81"/>
    <n v="1.04"/>
    <n v="84.240000000000009"/>
    <n v="7657.07896996821"/>
  </r>
  <r>
    <x v="2"/>
    <s v="Olive grove"/>
    <s v="S3"/>
    <s v="S3"/>
    <n v="29.30626854825012"/>
    <n v="144.61536789027591"/>
    <n v="20.26497527599258"/>
    <n v="1"/>
    <n v="59"/>
    <n v="0.59"/>
    <n v="0.59"/>
    <n v="0.99999999999999978"/>
    <n v="58.999999999999986"/>
    <n v="1729.0698443467568"/>
  </r>
  <r>
    <x v="2"/>
    <s v="P. tomate"/>
    <s v="S1"/>
    <s v="S1"/>
    <n v="7.7471967371413273"/>
    <n v="69.467999239478104"/>
    <n v="11.152180603955919"/>
    <n v="0.6"/>
    <n v="109"/>
    <n v="1.0900000000000001"/>
    <n v="0.6"/>
    <n v="1.1699999999999997"/>
    <n v="70.199999999999989"/>
    <n v="543.85321094732103"/>
  </r>
  <r>
    <x v="2"/>
    <s v="P. tomate"/>
    <s v="S2"/>
    <s v="S2"/>
    <n v="52.815683314845778"/>
    <n v="69.467999239478104"/>
    <n v="76.028795838460042"/>
    <n v="0.6"/>
    <n v="81"/>
    <n v="0.81"/>
    <n v="0.6"/>
    <n v="1.04"/>
    <n v="62.4"/>
    <n v="3295.6986388463765"/>
  </r>
  <r>
    <x v="2"/>
    <s v="P. tomate"/>
    <s v="S3"/>
    <s v="S3"/>
    <n v="8.9051191874909854"/>
    <n v="69.467999239478104"/>
    <n v="12.819023557584019"/>
    <n v="0.6"/>
    <n v="59"/>
    <n v="0.59"/>
    <n v="0.59"/>
    <n v="0.99999999999999978"/>
    <n v="58.999999999999986"/>
    <n v="525.40203206196804"/>
  </r>
  <r>
    <x v="2"/>
    <s v="Pastures"/>
    <s v="N1"/>
    <s v="N"/>
    <n v="0.14015298306918239"/>
    <n v="263.29036326090022"/>
    <n v="5.3231337954553898E-2"/>
    <n v="0.6"/>
    <n v="41"/>
    <n v="0.41"/>
    <n v="0.41"/>
    <n v="0.98"/>
    <n v="40.18"/>
    <n v="5.6313468597197485"/>
  </r>
  <r>
    <x v="2"/>
    <s v="Pastures"/>
    <s v="N2"/>
    <s v="N"/>
    <n v="4.7423552851432023E-2"/>
    <n v="263.29036326090022"/>
    <n v="1.801188325470119E-2"/>
    <n v="0.6"/>
    <n v="41"/>
    <n v="0.41"/>
    <n v="0.41"/>
    <n v="0.98"/>
    <n v="40.18"/>
    <n v="1.9054783535705386"/>
  </r>
  <r>
    <x v="2"/>
    <s v="Pastures"/>
    <s v="S1"/>
    <s v="S1"/>
    <n v="24.052778921812301"/>
    <n v="263.29036326090022"/>
    <n v="9.1354573801768311"/>
    <n v="0.6"/>
    <n v="109"/>
    <n v="1.0900000000000001"/>
    <n v="0.6"/>
    <n v="1.1699999999999997"/>
    <n v="70.199999999999989"/>
    <n v="1688.5050803112233"/>
  </r>
  <r>
    <x v="2"/>
    <s v="Pastures"/>
    <s v="S2"/>
    <s v="S2"/>
    <n v="135.52890614595111"/>
    <n v="263.29036326090022"/>
    <n v="51.475072793170391"/>
    <n v="0.6"/>
    <n v="81"/>
    <n v="0.81"/>
    <n v="0.6"/>
    <n v="1.04"/>
    <n v="62.4"/>
    <n v="8457.00374350735"/>
  </r>
  <r>
    <x v="2"/>
    <s v="Pastures"/>
    <s v="S3"/>
    <s v="S3"/>
    <n v="103.52110165721609"/>
    <n v="263.29036326090022"/>
    <n v="39.318226605443513"/>
    <n v="0.6"/>
    <n v="59"/>
    <n v="0.59"/>
    <n v="0.59"/>
    <n v="0.99999999999999978"/>
    <n v="58.999999999999986"/>
    <n v="6107.7449977757478"/>
  </r>
  <r>
    <x v="2"/>
    <s v="Silage"/>
    <s v="N2"/>
    <s v="N"/>
    <n v="0.27304725725677459"/>
    <n v="684.64940387830802"/>
    <n v="3.9881325494487238E-2"/>
    <n v="0.6"/>
    <n v="41"/>
    <n v="0.41"/>
    <n v="0.41"/>
    <n v="0.98"/>
    <n v="40.18"/>
    <n v="10.971038796577202"/>
  </r>
  <r>
    <x v="2"/>
    <s v="Silage"/>
    <s v="S1"/>
    <s v="S1"/>
    <n v="121.8865572348333"/>
    <n v="684.64940387830802"/>
    <n v="17.80276978909016"/>
    <n v="0.6"/>
    <n v="109"/>
    <n v="1.0900000000000001"/>
    <n v="0.6"/>
    <n v="1.1699999999999997"/>
    <n v="70.199999999999989"/>
    <n v="8556.4363178852964"/>
  </r>
  <r>
    <x v="2"/>
    <s v="Silage"/>
    <s v="S2"/>
    <s v="S2"/>
    <n v="426.73338470393543"/>
    <n v="684.64940387830802"/>
    <n v="62.328745528241861"/>
    <n v="0.6"/>
    <n v="81"/>
    <n v="0.81"/>
    <n v="0.6"/>
    <n v="1.04"/>
    <n v="62.4"/>
    <n v="26628.163205525569"/>
  </r>
  <r>
    <x v="2"/>
    <s v="Silage"/>
    <s v="S3"/>
    <s v="S3"/>
    <n v="135.7564146822825"/>
    <n v="684.64940387830802"/>
    <n v="19.828603357173488"/>
    <n v="0.6"/>
    <n v="59"/>
    <n v="0.59"/>
    <n v="0.59"/>
    <n v="0.99999999999999978"/>
    <n v="58.999999999999986"/>
    <n v="8009.628466254665"/>
  </r>
  <r>
    <x v="2"/>
    <s v="Vineyard"/>
    <s v="N2"/>
    <s v="N"/>
    <n v="0.510724725922025"/>
    <n v="147.90441562365609"/>
    <n v="0.34530728766176122"/>
    <n v="1"/>
    <n v="41"/>
    <n v="0.41"/>
    <n v="0.41"/>
    <n v="0.98"/>
    <n v="40.18"/>
    <n v="20.520919487546966"/>
  </r>
  <r>
    <x v="2"/>
    <s v="Vineyard"/>
    <s v="S1"/>
    <s v="S1"/>
    <n v="21.657352576372801"/>
    <n v="147.90441562365609"/>
    <n v="14.64280324901191"/>
    <n v="1"/>
    <n v="109"/>
    <n v="1.0900000000000001"/>
    <n v="1"/>
    <n v="1.1699999999999997"/>
    <n v="116.99999999999997"/>
    <n v="2533.9102514356173"/>
  </r>
  <r>
    <x v="2"/>
    <s v="Vineyard"/>
    <s v="S2"/>
    <s v="S2"/>
    <n v="103.9683090520862"/>
    <n v="147.90441562365609"/>
    <n v="70.294256336899608"/>
    <n v="1"/>
    <n v="81"/>
    <n v="0.81"/>
    <n v="0.81"/>
    <n v="1.04"/>
    <n v="84.240000000000009"/>
    <n v="8758.290354547742"/>
  </r>
  <r>
    <x v="2"/>
    <s v="Vineyard"/>
    <s v="S3"/>
    <s v="S3"/>
    <n v="21.768029269275061"/>
    <n v="147.90441562365609"/>
    <n v="14.717633126426721"/>
    <n v="1"/>
    <n v="59"/>
    <n v="0.59"/>
    <n v="0.59"/>
    <n v="0.99999999999999978"/>
    <n v="58.999999999999986"/>
    <n v="1284.3137268872283"/>
  </r>
  <r>
    <x v="3"/>
    <s v="Complex syst."/>
    <s v="N2"/>
    <s v="N"/>
    <n v="2.395712466219154"/>
    <n v="95.634456177845038"/>
    <n v="2.5050725041652431"/>
    <n v="0.6"/>
    <n v="41"/>
    <n v="0.41"/>
    <n v="0.41"/>
    <n v="0.98"/>
    <n v="40.18"/>
    <n v="96.259726892685606"/>
  </r>
  <r>
    <x v="3"/>
    <s v="Complex syst."/>
    <s v="S1"/>
    <s v="S1"/>
    <n v="5.6030118129227517"/>
    <n v="95.634456177845038"/>
    <n v="5.8587793948482361"/>
    <n v="0.6"/>
    <n v="109"/>
    <n v="1.0900000000000001"/>
    <n v="0.6"/>
    <n v="1.1699999999999997"/>
    <n v="70.199999999999989"/>
    <n v="393.3314292671771"/>
  </r>
  <r>
    <x v="3"/>
    <s v="Complex syst."/>
    <s v="S2"/>
    <s v="S2"/>
    <n v="40.824640067879763"/>
    <n v="95.634456177845038"/>
    <n v="42.688212700201781"/>
    <n v="0.6"/>
    <n v="81"/>
    <n v="0.81"/>
    <n v="0.6"/>
    <n v="1.04"/>
    <n v="62.4"/>
    <n v="2547.4575402356973"/>
  </r>
  <r>
    <x v="3"/>
    <s v="Complex syst."/>
    <s v="S3"/>
    <s v="S3"/>
    <n v="46.811091830823372"/>
    <n v="95.634456177845038"/>
    <n v="48.947935400784729"/>
    <n v="0.6"/>
    <n v="59"/>
    <n v="0.59"/>
    <n v="0.59"/>
    <n v="0.99999999999999978"/>
    <n v="58.999999999999986"/>
    <n v="2761.8544180185781"/>
  </r>
  <r>
    <x v="3"/>
    <s v="Fodder crops"/>
    <s v="N1"/>
    <s v="N"/>
    <n v="0.13728521239821001"/>
    <n v="153.09053231094549"/>
    <n v="8.9675834505145643E-2"/>
    <n v="0.7"/>
    <n v="41"/>
    <n v="0.41"/>
    <n v="0.41"/>
    <n v="0.98"/>
    <n v="40.18"/>
    <n v="5.5161198341600786"/>
  </r>
  <r>
    <x v="3"/>
    <s v="Fodder crops"/>
    <s v="N2"/>
    <s v="N"/>
    <n v="0.84052104396595462"/>
    <n v="153.09053231094549"/>
    <n v="0.54903528734144957"/>
    <n v="0.7"/>
    <n v="41"/>
    <n v="0.41"/>
    <n v="0.41"/>
    <n v="0.98"/>
    <n v="40.18"/>
    <n v="33.772135546552057"/>
  </r>
  <r>
    <x v="3"/>
    <s v="Fodder crops"/>
    <s v="S1"/>
    <s v="S1"/>
    <n v="22.912526533864689"/>
    <n v="153.09053231094549"/>
    <n v="14.96665155447141"/>
    <n v="0.7"/>
    <n v="109"/>
    <n v="1.0900000000000001"/>
    <n v="0.7"/>
    <n v="1.1699999999999997"/>
    <n v="81.899999999999977"/>
    <n v="1876.5359231235175"/>
  </r>
  <r>
    <x v="3"/>
    <s v="Fodder crops"/>
    <s v="S2"/>
    <s v="S2"/>
    <n v="103.2214101735939"/>
    <n v="153.09053231094549"/>
    <n v="67.425077576932438"/>
    <n v="0.7"/>
    <n v="81"/>
    <n v="0.81"/>
    <n v="0.7"/>
    <n v="1.04"/>
    <n v="72.8"/>
    <n v="7514.5186606376355"/>
  </r>
  <r>
    <x v="3"/>
    <s v="Fodder crops"/>
    <s v="S3"/>
    <s v="S3"/>
    <n v="25.978789347122849"/>
    <n v="153.09053231094549"/>
    <n v="16.96955974674956"/>
    <n v="0.7"/>
    <n v="59"/>
    <n v="0.59"/>
    <n v="0.59"/>
    <n v="0.99999999999999978"/>
    <n v="58.999999999999986"/>
    <n v="1532.7485714802476"/>
  </r>
  <r>
    <x v="3"/>
    <s v="Olive grove"/>
    <s v="N1"/>
    <s v="N"/>
    <n v="1.8977526839733281"/>
    <n v="144.61536789027591"/>
    <n v="1.31227594387701"/>
    <n v="1"/>
    <n v="41"/>
    <n v="0.41"/>
    <n v="0.41"/>
    <n v="0.98"/>
    <n v="40.18"/>
    <n v="76.251702842048317"/>
  </r>
  <r>
    <x v="3"/>
    <s v="Olive grove"/>
    <s v="N2"/>
    <s v="N"/>
    <n v="0.31127806736506458"/>
    <n v="144.61536789027591"/>
    <n v="0.2152454970077875"/>
    <n v="1"/>
    <n v="41"/>
    <n v="0.41"/>
    <n v="0.41"/>
    <n v="0.98"/>
    <n v="40.18"/>
    <n v="12.507152746728295"/>
  </r>
  <r>
    <x v="3"/>
    <s v="Olive grove"/>
    <s v="S1"/>
    <s v="S1"/>
    <n v="22.20406942202391"/>
    <n v="144.61536789027591"/>
    <n v="15.353879567537261"/>
    <n v="1"/>
    <n v="109"/>
    <n v="1.0900000000000001"/>
    <n v="1"/>
    <n v="1.1699999999999997"/>
    <n v="116.99999999999997"/>
    <n v="2597.876122376797"/>
  </r>
  <r>
    <x v="3"/>
    <s v="Olive grove"/>
    <s v="S2"/>
    <s v="S2"/>
    <n v="90.895999168663451"/>
    <n v="144.61536789027591"/>
    <n v="62.853623715585357"/>
    <n v="1"/>
    <n v="81"/>
    <n v="0.81"/>
    <n v="0.81"/>
    <n v="1.04"/>
    <n v="84.240000000000009"/>
    <n v="7657.07896996821"/>
  </r>
  <r>
    <x v="3"/>
    <s v="Olive grove"/>
    <s v="S3"/>
    <s v="S3"/>
    <n v="29.30626854825012"/>
    <n v="144.61536789027591"/>
    <n v="20.26497527599258"/>
    <n v="1"/>
    <n v="59"/>
    <n v="0.59"/>
    <n v="0.59"/>
    <n v="0.99999999999999978"/>
    <n v="58.999999999999986"/>
    <n v="1729.0698443467568"/>
  </r>
  <r>
    <x v="3"/>
    <s v="P. tomate"/>
    <s v="S1"/>
    <s v="S1"/>
    <n v="7.7471967371413273"/>
    <n v="69.467999239478104"/>
    <n v="11.152180603955919"/>
    <n v="0.6"/>
    <n v="109"/>
    <n v="1.0900000000000001"/>
    <n v="0.6"/>
    <n v="1.1699999999999997"/>
    <n v="70.199999999999989"/>
    <n v="543.85321094732103"/>
  </r>
  <r>
    <x v="3"/>
    <s v="P. tomate"/>
    <s v="S2"/>
    <s v="S2"/>
    <n v="52.815683314845778"/>
    <n v="69.467999239478104"/>
    <n v="76.028795838460042"/>
    <n v="0.6"/>
    <n v="81"/>
    <n v="0.81"/>
    <n v="0.6"/>
    <n v="1.04"/>
    <n v="62.4"/>
    <n v="3295.6986388463765"/>
  </r>
  <r>
    <x v="3"/>
    <s v="P. tomate"/>
    <s v="S3"/>
    <s v="S3"/>
    <n v="8.9051191874909854"/>
    <n v="69.467999239478104"/>
    <n v="12.819023557584019"/>
    <n v="0.6"/>
    <n v="59"/>
    <n v="0.59"/>
    <n v="0.59"/>
    <n v="0.99999999999999978"/>
    <n v="58.999999999999986"/>
    <n v="525.40203206196804"/>
  </r>
  <r>
    <x v="3"/>
    <s v="Pastures"/>
    <s v="N1"/>
    <s v="N"/>
    <n v="0.14015298306918239"/>
    <n v="246.66000965570481"/>
    <n v="5.682031037978634E-2"/>
    <n v="0.6"/>
    <n v="41"/>
    <n v="0.41"/>
    <n v="0.41"/>
    <n v="0.98"/>
    <n v="40.18"/>
    <n v="5.6313468597197485"/>
  </r>
  <r>
    <x v="3"/>
    <s v="Pastures"/>
    <s v="N2"/>
    <s v="N"/>
    <n v="4.7423552851432023E-2"/>
    <n v="246.66000965570481"/>
    <n v="1.9226283546176452E-2"/>
    <n v="0.6"/>
    <n v="41"/>
    <n v="0.41"/>
    <n v="0.41"/>
    <n v="0.98"/>
    <n v="40.18"/>
    <n v="1.9054783535705386"/>
  </r>
  <r>
    <x v="3"/>
    <s v="Pastures"/>
    <s v="S1"/>
    <s v="S1"/>
    <n v="24.052778921812301"/>
    <n v="246.66000965570481"/>
    <n v="9.7513897592827732"/>
    <n v="0.6"/>
    <n v="109"/>
    <n v="1.0900000000000001"/>
    <n v="0.6"/>
    <n v="1.1699999999999997"/>
    <n v="70.199999999999989"/>
    <n v="1688.5050803112233"/>
  </r>
  <r>
    <x v="3"/>
    <s v="Pastures"/>
    <s v="S2"/>
    <s v="S2"/>
    <n v="131.7880605108061"/>
    <n v="246.66000965570481"/>
    <n v="53.429034035456212"/>
    <n v="0.6"/>
    <n v="81"/>
    <n v="0.81"/>
    <n v="0.6"/>
    <n v="1.04"/>
    <n v="62.4"/>
    <n v="8223.5749758743004"/>
  </r>
  <r>
    <x v="3"/>
    <s v="Pastures"/>
    <s v="S3"/>
    <s v="S3"/>
    <n v="90.631593687165804"/>
    <n v="246.66000965570481"/>
    <n v="36.743529611335063"/>
    <n v="0.6"/>
    <n v="59"/>
    <n v="0.59"/>
    <n v="0.59"/>
    <n v="0.99999999999999978"/>
    <n v="58.999999999999986"/>
    <n v="5347.2640275427812"/>
  </r>
  <r>
    <x v="3"/>
    <s v="Silage"/>
    <s v="N2"/>
    <s v="N"/>
    <n v="0.27304725725677459"/>
    <n v="660.46976559897587"/>
    <n v="4.1341371169223727E-2"/>
    <n v="0.6"/>
    <n v="41"/>
    <n v="0.41"/>
    <n v="0.41"/>
    <n v="0.98"/>
    <n v="40.18"/>
    <n v="10.971038796577202"/>
  </r>
  <r>
    <x v="3"/>
    <s v="Silage"/>
    <s v="S1"/>
    <s v="S1"/>
    <n v="118.6440011359941"/>
    <n v="660.46976559897587"/>
    <n v="17.963577943404669"/>
    <n v="0.6"/>
    <n v="109"/>
    <n v="1.0900000000000001"/>
    <n v="0.6"/>
    <n v="1.1699999999999997"/>
    <n v="70.199999999999989"/>
    <n v="8328.8088797467844"/>
  </r>
  <r>
    <x v="3"/>
    <s v="Silage"/>
    <s v="S2"/>
    <s v="S2"/>
    <n v="408.6125125264528"/>
    <n v="660.46976559897587"/>
    <n v="61.866951949857182"/>
    <n v="0.6"/>
    <n v="81"/>
    <n v="0.81"/>
    <n v="0.6"/>
    <n v="1.04"/>
    <n v="62.4"/>
    <n v="25497.420781650653"/>
  </r>
  <r>
    <x v="3"/>
    <s v="Silage"/>
    <s v="S3"/>
    <s v="S3"/>
    <n v="132.94020467927211"/>
    <n v="660.46976559897587"/>
    <n v="20.128128735568911"/>
    <n v="0.6"/>
    <n v="59"/>
    <n v="0.59"/>
    <n v="0.59"/>
    <n v="0.99999999999999978"/>
    <n v="58.999999999999986"/>
    <n v="7843.4720760770524"/>
  </r>
  <r>
    <x v="3"/>
    <s v="Vineyard"/>
    <s v="N2"/>
    <s v="N"/>
    <n v="0.510724725922025"/>
    <n v="172.08405390298819"/>
    <n v="0.29678794422750188"/>
    <n v="1"/>
    <n v="41"/>
    <n v="0.41"/>
    <n v="0.41"/>
    <n v="0.98"/>
    <n v="40.18"/>
    <n v="20.520919487546966"/>
  </r>
  <r>
    <x v="3"/>
    <s v="Vineyard"/>
    <s v="S1"/>
    <s v="S1"/>
    <n v="24.899908675211961"/>
    <n v="172.08405390298819"/>
    <n v="14.469619997009829"/>
    <n v="1"/>
    <n v="109"/>
    <n v="1.0900000000000001"/>
    <n v="1"/>
    <n v="1.1699999999999997"/>
    <n v="116.99999999999997"/>
    <n v="2913.2893149997985"/>
  </r>
  <r>
    <x v="3"/>
    <s v="Vineyard"/>
    <s v="S2"/>
    <s v="S2"/>
    <n v="122.08918122956879"/>
    <n v="172.08405390298819"/>
    <n v="70.947411140369894"/>
    <n v="1"/>
    <n v="81"/>
    <n v="0.81"/>
    <n v="0.81"/>
    <n v="1.04"/>
    <n v="84.240000000000009"/>
    <n v="10284.792626778877"/>
  </r>
  <r>
    <x v="3"/>
    <s v="Vineyard"/>
    <s v="S3"/>
    <s v="S3"/>
    <n v="24.584239272285441"/>
    <n v="172.08405390298819"/>
    <n v="14.28618091839278"/>
    <n v="1"/>
    <n v="59"/>
    <n v="0.59"/>
    <n v="0.59"/>
    <n v="0.99999999999999978"/>
    <n v="58.999999999999986"/>
    <n v="1450.4701170648407"/>
  </r>
  <r>
    <x v="4"/>
    <s v="Complex syst."/>
    <s v="N2"/>
    <s v="N"/>
    <n v="2.395712466219154"/>
    <n v="86.162063365852021"/>
    <n v="2.780472487116215"/>
    <n v="0.6"/>
    <n v="41"/>
    <n v="0.41"/>
    <n v="0.41"/>
    <n v="0.98"/>
    <n v="40.18"/>
    <n v="96.259726892685606"/>
  </r>
  <r>
    <x v="4"/>
    <s v="Complex syst."/>
    <s v="S1"/>
    <s v="S1"/>
    <n v="5.6030118129227517"/>
    <n v="86.162063365852021"/>
    <n v="6.5028756207147103"/>
    <n v="0.6"/>
    <n v="109"/>
    <n v="1.0900000000000001"/>
    <n v="0.6"/>
    <n v="1.1699999999999997"/>
    <n v="70.199999999999989"/>
    <n v="393.3314292671771"/>
  </r>
  <r>
    <x v="4"/>
    <s v="Complex syst."/>
    <s v="S2"/>
    <s v="S2"/>
    <n v="39.206095638516793"/>
    <n v="86.162063365852021"/>
    <n v="45.502735318726202"/>
    <n v="0.6"/>
    <n v="81"/>
    <n v="0.81"/>
    <n v="0.6"/>
    <n v="1.04"/>
    <n v="62.4"/>
    <n v="2446.4603678434478"/>
  </r>
  <r>
    <x v="4"/>
    <s v="Complex syst."/>
    <s v="S3"/>
    <s v="S3"/>
    <n v="38.957243448193317"/>
    <n v="86.162063365852021"/>
    <n v="45.213916573442887"/>
    <n v="0.6"/>
    <n v="59"/>
    <n v="0.59"/>
    <n v="0.59"/>
    <n v="0.99999999999999978"/>
    <n v="58.999999999999986"/>
    <n v="2298.477363443405"/>
  </r>
  <r>
    <x v="4"/>
    <s v="Fodder crops"/>
    <s v="N1"/>
    <s v="N"/>
    <n v="0.13728521239821001"/>
    <n v="230.0855296355117"/>
    <n v="5.9667034522201109E-2"/>
    <n v="0.7"/>
    <n v="41"/>
    <n v="0.41"/>
    <n v="0.41"/>
    <n v="0.98"/>
    <n v="40.18"/>
    <n v="5.5161198341600786"/>
  </r>
  <r>
    <x v="4"/>
    <s v="Fodder crops"/>
    <s v="N2"/>
    <s v="N"/>
    <n v="0.84546783656509894"/>
    <n v="230.0855296355117"/>
    <n v="0.36745806566125228"/>
    <n v="0.7"/>
    <n v="41"/>
    <n v="0.41"/>
    <n v="0.41"/>
    <n v="0.98"/>
    <n v="40.18"/>
    <n v="33.970897673185675"/>
  </r>
  <r>
    <x v="4"/>
    <s v="Fodder crops"/>
    <s v="S1"/>
    <s v="S1"/>
    <n v="52.807014223574313"/>
    <n v="230.0855296355117"/>
    <n v="22.951036645906481"/>
    <n v="0.7"/>
    <n v="109"/>
    <n v="1.0900000000000001"/>
    <n v="0.7"/>
    <n v="1.1699999999999997"/>
    <n v="81.899999999999977"/>
    <n v="4324.8944649107352"/>
  </r>
  <r>
    <x v="4"/>
    <s v="Fodder crops"/>
    <s v="S2"/>
    <s v="S2"/>
    <n v="126.84376869584349"/>
    <n v="230.0855296355117"/>
    <n v="55.128963953874923"/>
    <n v="0.7"/>
    <n v="81"/>
    <n v="0.81"/>
    <n v="0.7"/>
    <n v="1.04"/>
    <n v="72.8"/>
    <n v="9234.2263610574064"/>
  </r>
  <r>
    <x v="4"/>
    <s v="Fodder crops"/>
    <s v="S3"/>
    <s v="S3"/>
    <n v="49.451993667130637"/>
    <n v="230.0855296355117"/>
    <n v="21.49287430003514"/>
    <n v="0.7"/>
    <n v="59"/>
    <n v="0.59"/>
    <n v="0.59"/>
    <n v="0.99999999999999978"/>
    <n v="58.999999999999986"/>
    <n v="2917.6676263607069"/>
  </r>
  <r>
    <x v="4"/>
    <s v="Olive grove"/>
    <s v="N1"/>
    <s v="N"/>
    <n v="1.8977526839733281"/>
    <n v="144.61536789027591"/>
    <n v="1.31227594387701"/>
    <n v="1"/>
    <n v="41"/>
    <n v="0.41"/>
    <n v="0.41"/>
    <n v="0.98"/>
    <n v="40.18"/>
    <n v="76.251702842048317"/>
  </r>
  <r>
    <x v="4"/>
    <s v="Olive grove"/>
    <s v="N2"/>
    <s v="N"/>
    <n v="0.31127806736506458"/>
    <n v="144.61536789027591"/>
    <n v="0.2152454970077875"/>
    <n v="1"/>
    <n v="41"/>
    <n v="0.41"/>
    <n v="0.41"/>
    <n v="0.98"/>
    <n v="40.18"/>
    <n v="12.507152746728295"/>
  </r>
  <r>
    <x v="4"/>
    <s v="Olive grove"/>
    <s v="S1"/>
    <s v="S1"/>
    <n v="22.20406942202391"/>
    <n v="144.61536789027591"/>
    <n v="15.353879567537261"/>
    <n v="1"/>
    <n v="109"/>
    <n v="1.0900000000000001"/>
    <n v="1"/>
    <n v="1.1699999999999997"/>
    <n v="116.99999999999997"/>
    <n v="2597.876122376797"/>
  </r>
  <r>
    <x v="4"/>
    <s v="Olive grove"/>
    <s v="S2"/>
    <s v="S2"/>
    <n v="90.895999168663451"/>
    <n v="144.61536789027591"/>
    <n v="62.853623715585357"/>
    <n v="1"/>
    <n v="81"/>
    <n v="0.81"/>
    <n v="0.81"/>
    <n v="1.04"/>
    <n v="84.240000000000009"/>
    <n v="7657.07896996821"/>
  </r>
  <r>
    <x v="4"/>
    <s v="Olive grove"/>
    <s v="S3"/>
    <s v="S3"/>
    <n v="29.30626854825012"/>
    <n v="144.61536789027591"/>
    <n v="20.26497527599258"/>
    <n v="1"/>
    <n v="59"/>
    <n v="0.59"/>
    <n v="0.59"/>
    <n v="0.99999999999999978"/>
    <n v="58.999999999999986"/>
    <n v="1729.0698443467568"/>
  </r>
  <r>
    <x v="4"/>
    <s v="P. tomate"/>
    <s v="S1"/>
    <s v="S1"/>
    <n v="17.247163642448971"/>
    <n v="106.2907363284726"/>
    <n v="16.22640338961401"/>
    <n v="0.6"/>
    <n v="109"/>
    <n v="1.0900000000000001"/>
    <n v="0.6"/>
    <n v="1.1699999999999997"/>
    <n v="70.199999999999989"/>
    <n v="1210.7508876999175"/>
  </r>
  <r>
    <x v="4"/>
    <s v="P. tomate"/>
    <s v="S2"/>
    <s v="S2"/>
    <n v="75.534097640439683"/>
    <n v="106.2907363284726"/>
    <n v="71.063669562900586"/>
    <n v="0.6"/>
    <n v="81"/>
    <n v="0.81"/>
    <n v="0.6"/>
    <n v="1.04"/>
    <n v="62.4"/>
    <n v="4713.3276927634361"/>
  </r>
  <r>
    <x v="4"/>
    <s v="P. tomate"/>
    <s v="S3"/>
    <s v="S3"/>
    <n v="13.50947504558393"/>
    <n v="106.2907363284726"/>
    <n v="12.70992704748541"/>
    <n v="0.6"/>
    <n v="59"/>
    <n v="0.59"/>
    <n v="0.59"/>
    <n v="0.99999999999999978"/>
    <n v="58.999999999999986"/>
    <n v="797.05902768945168"/>
  </r>
  <r>
    <x v="4"/>
    <s v="Pastures"/>
    <s v="N1"/>
    <s v="N"/>
    <n v="0.14015298306918239"/>
    <n v="187.31651068916989"/>
    <n v="7.4821478658520443E-2"/>
    <n v="0.6"/>
    <n v="41"/>
    <n v="0.41"/>
    <n v="0.41"/>
    <n v="0.98"/>
    <n v="40.18"/>
    <n v="5.6313468597197485"/>
  </r>
  <r>
    <x v="4"/>
    <s v="Pastures"/>
    <s v="N2"/>
    <s v="N"/>
    <n v="4.7423552851432023E-2"/>
    <n v="187.31651068916989"/>
    <n v="2.5317337311565619E-2"/>
    <n v="0.6"/>
    <n v="41"/>
    <n v="0.41"/>
    <n v="0.41"/>
    <n v="0.98"/>
    <n v="40.18"/>
    <n v="1.9054783535705386"/>
  </r>
  <r>
    <x v="4"/>
    <s v="Pastures"/>
    <s v="S1"/>
    <s v="S1"/>
    <n v="13.09910079860312"/>
    <n v="187.31651068916989"/>
    <n v="6.9930305398116062"/>
    <n v="0.6"/>
    <n v="109"/>
    <n v="1.0900000000000001"/>
    <n v="0.6"/>
    <n v="1.1699999999999997"/>
    <n v="70.199999999999989"/>
    <n v="919.55687606193885"/>
  </r>
  <r>
    <x v="4"/>
    <s v="Pastures"/>
    <s v="S2"/>
    <s v="S2"/>
    <n v="107.73121477001681"/>
    <n v="187.31651068916989"/>
    <n v="57.512930586660502"/>
    <n v="0.6"/>
    <n v="81"/>
    <n v="0.81"/>
    <n v="0.6"/>
    <n v="1.04"/>
    <n v="62.4"/>
    <n v="6722.4278016490489"/>
  </r>
  <r>
    <x v="4"/>
    <s v="Pastures"/>
    <s v="S3"/>
    <s v="S3"/>
    <n v="66.298618584629381"/>
    <n v="187.31651068916989"/>
    <n v="35.393900057557808"/>
    <n v="0.6"/>
    <n v="59"/>
    <n v="0.59"/>
    <n v="0.59"/>
    <n v="0.99999999999999978"/>
    <n v="58.999999999999986"/>
    <n v="3911.6184964931326"/>
  </r>
  <r>
    <x v="4"/>
    <s v="Silage"/>
    <s v="N2"/>
    <s v="N"/>
    <n v="0.26810046465763038"/>
    <n v="676.47029833226975"/>
    <n v="3.9632259586058628E-2"/>
    <n v="0.6"/>
    <n v="41"/>
    <n v="0.41"/>
    <n v="0.41"/>
    <n v="0.98"/>
    <n v="40.18"/>
    <n v="10.772276669943588"/>
  </r>
  <r>
    <x v="4"/>
    <s v="Silage"/>
    <s v="S1"/>
    <s v="S1"/>
    <n v="102.9457476683329"/>
    <n v="676.47029833226975"/>
    <n v="15.218073568363501"/>
    <n v="0.6"/>
    <n v="109"/>
    <n v="1.0900000000000001"/>
    <n v="0.6"/>
    <n v="1.1699999999999997"/>
    <n v="70.199999999999989"/>
    <n v="7226.7914863169681"/>
  </r>
  <r>
    <x v="4"/>
    <s v="Silage"/>
    <s v="S2"/>
    <s v="S2"/>
    <n v="428.78641635183811"/>
    <n v="676.47029833226975"/>
    <n v="63.385845233551713"/>
    <n v="0.6"/>
    <n v="81"/>
    <n v="0.81"/>
    <n v="0.6"/>
    <n v="1.04"/>
    <n v="62.4"/>
    <n v="26756.272380354698"/>
  </r>
  <r>
    <x v="4"/>
    <s v="Silage"/>
    <s v="S3"/>
    <s v="S3"/>
    <n v="144.47003384744119"/>
    <n v="676.47029833226975"/>
    <n v="21.356448938498719"/>
    <n v="0.6"/>
    <n v="59"/>
    <n v="0.59"/>
    <n v="0.59"/>
    <n v="0.99999999999999978"/>
    <n v="58.999999999999986"/>
    <n v="8523.7319969990276"/>
  </r>
  <r>
    <x v="4"/>
    <s v="Vineyard"/>
    <s v="N2"/>
    <s v="N"/>
    <n v="0.510724725922025"/>
    <n v="147.90441562365609"/>
    <n v="0.34530728766176122"/>
    <n v="1"/>
    <n v="41"/>
    <n v="0.41"/>
    <n v="0.41"/>
    <n v="0.98"/>
    <n v="40.18"/>
    <n v="20.520919487546966"/>
  </r>
  <r>
    <x v="4"/>
    <s v="Vineyard"/>
    <s v="S1"/>
    <s v="S1"/>
    <n v="21.657352576372801"/>
    <n v="147.90441562365609"/>
    <n v="14.64280324901191"/>
    <n v="1"/>
    <n v="109"/>
    <n v="1.0900000000000001"/>
    <n v="1"/>
    <n v="1.1699999999999997"/>
    <n v="116.99999999999997"/>
    <n v="2533.9102514356173"/>
  </r>
  <r>
    <x v="4"/>
    <s v="Vineyard"/>
    <s v="S2"/>
    <s v="S2"/>
    <n v="103.9683090520862"/>
    <n v="147.90441562365609"/>
    <n v="70.294256336899608"/>
    <n v="1"/>
    <n v="81"/>
    <n v="0.81"/>
    <n v="0.81"/>
    <n v="1.04"/>
    <n v="84.240000000000009"/>
    <n v="8758.290354547742"/>
  </r>
  <r>
    <x v="4"/>
    <s v="Vineyard"/>
    <s v="S3"/>
    <s v="S3"/>
    <n v="21.768029269275061"/>
    <n v="147.90441562365609"/>
    <n v="14.717633126426721"/>
    <n v="1"/>
    <n v="59"/>
    <n v="0.59"/>
    <n v="0.59"/>
    <n v="0.99999999999999978"/>
    <n v="58.999999999999986"/>
    <n v="1284.3137268872283"/>
  </r>
  <r>
    <x v="5"/>
    <s v="Complex syst."/>
    <s v="N2"/>
    <s v="N"/>
    <n v="2.395712466219154"/>
    <n v="86.162063365852021"/>
    <n v="2.780472487116215"/>
    <n v="0.6"/>
    <n v="41"/>
    <n v="0.41"/>
    <n v="0.41"/>
    <n v="0.98"/>
    <n v="40.18"/>
    <n v="96.259726892685606"/>
  </r>
  <r>
    <x v="5"/>
    <s v="Complex syst."/>
    <s v="S1"/>
    <s v="S1"/>
    <n v="5.6030118129227517"/>
    <n v="86.162063365852021"/>
    <n v="6.5028756207147103"/>
    <n v="0.6"/>
    <n v="109"/>
    <n v="1.0900000000000001"/>
    <n v="0.6"/>
    <n v="1.1699999999999997"/>
    <n v="70.199999999999989"/>
    <n v="393.3314292671771"/>
  </r>
  <r>
    <x v="5"/>
    <s v="Complex syst."/>
    <s v="S2"/>
    <s v="S2"/>
    <n v="39.206095638516793"/>
    <n v="86.162063365852021"/>
    <n v="45.502735318726202"/>
    <n v="0.6"/>
    <n v="81"/>
    <n v="0.81"/>
    <n v="0.6"/>
    <n v="1.04"/>
    <n v="62.4"/>
    <n v="2446.4603678434478"/>
  </r>
  <r>
    <x v="5"/>
    <s v="Complex syst."/>
    <s v="S3"/>
    <s v="S3"/>
    <n v="38.957243448193317"/>
    <n v="86.162063365852021"/>
    <n v="45.213916573442887"/>
    <n v="0.6"/>
    <n v="59"/>
    <n v="0.59"/>
    <n v="0.59"/>
    <n v="0.99999999999999978"/>
    <n v="58.999999999999986"/>
    <n v="2298.477363443405"/>
  </r>
  <r>
    <x v="5"/>
    <s v="Fodder crops"/>
    <s v="N1"/>
    <s v="N"/>
    <n v="0.13728521239821001"/>
    <n v="227.67010509021191"/>
    <n v="6.0300061065905963E-2"/>
    <n v="0.7"/>
    <n v="41"/>
    <n v="0.41"/>
    <n v="0.41"/>
    <n v="0.98"/>
    <n v="40.18"/>
    <n v="5.5161198341600786"/>
  </r>
  <r>
    <x v="5"/>
    <s v="Fodder crops"/>
    <s v="N2"/>
    <s v="N"/>
    <n v="0.84546783656509894"/>
    <n v="227.67010509021191"/>
    <n v="0.37135654513362271"/>
    <n v="0.7"/>
    <n v="41"/>
    <n v="0.41"/>
    <n v="0.41"/>
    <n v="0.98"/>
    <n v="40.18"/>
    <n v="33.970897673185675"/>
  </r>
  <r>
    <x v="5"/>
    <s v="Fodder crops"/>
    <s v="S1"/>
    <s v="S1"/>
    <n v="50.862119867772563"/>
    <n v="227.67010509021191"/>
    <n v="22.340271616960411"/>
    <n v="0.7"/>
    <n v="109"/>
    <n v="1.0900000000000001"/>
    <n v="0.7"/>
    <n v="1.1699999999999997"/>
    <n v="81.899999999999977"/>
    <n v="4165.6076171705718"/>
  </r>
  <r>
    <x v="5"/>
    <s v="Fodder crops"/>
    <s v="S2"/>
    <s v="S2"/>
    <n v="119.6180392478046"/>
    <n v="227.67010509021191"/>
    <n v="52.540072927188767"/>
    <n v="0.7"/>
    <n v="81"/>
    <n v="0.81"/>
    <n v="0.7"/>
    <n v="1.04"/>
    <n v="72.8"/>
    <n v="8708.1932572401747"/>
  </r>
  <r>
    <x v="5"/>
    <s v="Fodder crops"/>
    <s v="S3"/>
    <s v="S3"/>
    <n v="56.207192925671393"/>
    <n v="227.67010509021191"/>
    <n v="24.68799884965129"/>
    <n v="0.7"/>
    <n v="59"/>
    <n v="0.59"/>
    <n v="0.59"/>
    <n v="0.99999999999999978"/>
    <n v="58.999999999999986"/>
    <n v="3316.2243826146114"/>
  </r>
  <r>
    <x v="5"/>
    <s v="Olive grove"/>
    <s v="N2"/>
    <s v="N"/>
    <n v="0.19488702910159861"/>
    <n v="41.279659431150392"/>
    <n v="0.47211394615948138"/>
    <n v="1"/>
    <n v="41"/>
    <n v="0.41"/>
    <n v="0.41"/>
    <n v="0.98"/>
    <n v="40.18"/>
    <n v="7.8305608293022324"/>
  </r>
  <r>
    <x v="5"/>
    <s v="Olive grove"/>
    <s v="S1"/>
    <s v="S1"/>
    <n v="3.8555269707811699"/>
    <n v="41.279659431150392"/>
    <n v="9.3400164243402628"/>
    <n v="1"/>
    <n v="109"/>
    <n v="1.0900000000000001"/>
    <n v="1"/>
    <n v="1.1699999999999997"/>
    <n v="116.99999999999997"/>
    <n v="451.09665558139676"/>
  </r>
  <r>
    <x v="5"/>
    <s v="Olive grove"/>
    <s v="S2"/>
    <s v="S2"/>
    <n v="33.377219081740911"/>
    <n v="41.279659431150392"/>
    <n v="80.856333462271365"/>
    <n v="1"/>
    <n v="81"/>
    <n v="0.81"/>
    <n v="0.81"/>
    <n v="1.04"/>
    <n v="84.240000000000009"/>
    <n v="2811.6969354458547"/>
  </r>
  <r>
    <x v="5"/>
    <s v="Olive grove"/>
    <s v="S3"/>
    <s v="S3"/>
    <n v="3.852026349526704"/>
    <n v="41.279659431150392"/>
    <n v="9.3315361672288759"/>
    <n v="1"/>
    <n v="59"/>
    <n v="0.59"/>
    <n v="0.59"/>
    <n v="0.99999999999999978"/>
    <n v="58.999999999999986"/>
    <n v="227.26955462207547"/>
  </r>
  <r>
    <x v="5"/>
    <s v="P. tomate"/>
    <s v="S1"/>
    <s v="S1"/>
    <n v="12.140759365455031"/>
    <n v="133.22023092534599"/>
    <n v="9.1133000454401465"/>
    <n v="0.6"/>
    <n v="109"/>
    <n v="1.0900000000000001"/>
    <n v="0.6"/>
    <n v="1.1699999999999997"/>
    <n v="70.199999999999989"/>
    <n v="852.28130745494298"/>
  </r>
  <r>
    <x v="5"/>
    <s v="P. tomate"/>
    <s v="S2"/>
    <s v="S2"/>
    <n v="67.782594545486063"/>
    <n v="133.22023092534599"/>
    <n v="50.880105877815282"/>
    <n v="0.6"/>
    <n v="81"/>
    <n v="0.81"/>
    <n v="0.6"/>
    <n v="1.04"/>
    <n v="62.4"/>
    <n v="4229.6338996383301"/>
  </r>
  <r>
    <x v="5"/>
    <s v="P. tomate"/>
    <s v="S3"/>
    <s v="S3"/>
    <n v="53.296877014404927"/>
    <n v="133.22023092534599"/>
    <n v="40.006594076744577"/>
    <n v="0.6"/>
    <n v="59"/>
    <n v="0.59"/>
    <n v="0.59"/>
    <n v="0.99999999999999978"/>
    <n v="58.999999999999986"/>
    <n v="3144.51574384989"/>
  </r>
  <r>
    <x v="5"/>
    <s v="Pastures"/>
    <s v="N1"/>
    <s v="N"/>
    <n v="0.14015298306918239"/>
    <n v="205.85695641829341"/>
    <n v="6.8082704372834979E-2"/>
    <n v="0.6"/>
    <n v="41"/>
    <n v="0.41"/>
    <n v="0.41"/>
    <n v="0.98"/>
    <n v="40.18"/>
    <n v="5.6313468597197485"/>
  </r>
  <r>
    <x v="5"/>
    <s v="Pastures"/>
    <s v="N2"/>
    <s v="N"/>
    <n v="4.7423552851432023E-2"/>
    <n v="205.85695641829341"/>
    <n v="2.3037138834924378E-2"/>
    <n v="0.6"/>
    <n v="41"/>
    <n v="0.41"/>
    <n v="0.41"/>
    <n v="0.98"/>
    <n v="40.18"/>
    <n v="1.9054783535705386"/>
  </r>
  <r>
    <x v="5"/>
    <s v="Pastures"/>
    <s v="S1"/>
    <s v="S1"/>
    <n v="17.26860144678626"/>
    <n v="205.85695641829341"/>
    <n v="8.3886411939838119"/>
    <n v="0.6"/>
    <n v="109"/>
    <n v="1.0900000000000001"/>
    <n v="0.6"/>
    <n v="1.1699999999999997"/>
    <n v="70.199999999999989"/>
    <n v="1212.2558215643953"/>
  </r>
  <r>
    <x v="5"/>
    <s v="Pastures"/>
    <s v="S2"/>
    <s v="S2"/>
    <n v="121.25292747176179"/>
    <n v="205.85695641829341"/>
    <n v="58.901544830664143"/>
    <n v="0.6"/>
    <n v="81"/>
    <n v="0.81"/>
    <n v="0.6"/>
    <n v="1.04"/>
    <n v="62.4"/>
    <n v="7566.1826742379353"/>
  </r>
  <r>
    <x v="5"/>
    <s v="Pastures"/>
    <s v="S3"/>
    <s v="S3"/>
    <n v="67.147850963824681"/>
    <n v="205.85695641829341"/>
    <n v="32.618694132144277"/>
    <n v="0.6"/>
    <n v="59"/>
    <n v="0.59"/>
    <n v="0.59"/>
    <n v="0.99999999999999978"/>
    <n v="58.999999999999986"/>
    <n v="3961.7232068656554"/>
  </r>
  <r>
    <x v="5"/>
    <s v="Silage"/>
    <s v="N2"/>
    <s v="N"/>
    <n v="0.26810046465763038"/>
    <n v="668.36776051230356"/>
    <n v="4.011271645600193E-2"/>
    <n v="0.6"/>
    <n v="41"/>
    <n v="0.41"/>
    <n v="0.41"/>
    <n v="0.98"/>
    <n v="40.18"/>
    <n v="10.772276669943588"/>
  </r>
  <r>
    <x v="5"/>
    <s v="Silage"/>
    <s v="S1"/>
    <s v="S1"/>
    <n v="102.7717807363229"/>
    <n v="668.36776051230356"/>
    <n v="15.37653172522092"/>
    <n v="0.6"/>
    <n v="109"/>
    <n v="1.0900000000000001"/>
    <n v="0.6"/>
    <n v="1.1699999999999997"/>
    <n v="70.199999999999989"/>
    <n v="7214.5790076898666"/>
  </r>
  <r>
    <x v="5"/>
    <s v="Silage"/>
    <s v="S2"/>
    <s v="S2"/>
    <n v="428.24017161614017"/>
    <n v="668.36776051230356"/>
    <n v="64.072535648322457"/>
    <n v="0.6"/>
    <n v="81"/>
    <n v="0.81"/>
    <n v="0.6"/>
    <n v="1.04"/>
    <n v="62.4"/>
    <n v="26722.186708847144"/>
  </r>
  <r>
    <x v="5"/>
    <s v="Silage"/>
    <s v="S3"/>
    <s v="S3"/>
    <n v="137.08770769518279"/>
    <n v="668.36776051230356"/>
    <n v="20.51081991000061"/>
    <n v="0.6"/>
    <n v="59"/>
    <n v="0.59"/>
    <n v="0.59"/>
    <n v="0.99999999999999978"/>
    <n v="58.999999999999986"/>
    <n v="8088.1747540157821"/>
  </r>
  <r>
    <x v="5"/>
    <s v="Vineyard"/>
    <s v="N2"/>
    <s v="N"/>
    <n v="0.510724725922025"/>
    <n v="147.90441562365609"/>
    <n v="0.34530728766176122"/>
    <n v="1"/>
    <n v="41"/>
    <n v="0.41"/>
    <n v="0.41"/>
    <n v="0.98"/>
    <n v="40.18"/>
    <n v="20.520919487546966"/>
  </r>
  <r>
    <x v="5"/>
    <s v="Vineyard"/>
    <s v="S1"/>
    <s v="S1"/>
    <n v="21.657352576372801"/>
    <n v="147.90441562365609"/>
    <n v="14.64280324901191"/>
    <n v="1"/>
    <n v="109"/>
    <n v="1.0900000000000001"/>
    <n v="1"/>
    <n v="1.1699999999999997"/>
    <n v="116.99999999999997"/>
    <n v="2533.9102514356173"/>
  </r>
  <r>
    <x v="5"/>
    <s v="Vineyard"/>
    <s v="S2"/>
    <s v="S2"/>
    <n v="103.9683090520862"/>
    <n v="147.90441562365609"/>
    <n v="70.294256336899608"/>
    <n v="1"/>
    <n v="81"/>
    <n v="0.81"/>
    <n v="0.81"/>
    <n v="1.04"/>
    <n v="84.240000000000009"/>
    <n v="8758.290354547742"/>
  </r>
  <r>
    <x v="5"/>
    <s v="Vineyard"/>
    <s v="S3"/>
    <s v="S3"/>
    <n v="21.768029269275061"/>
    <n v="147.90441562365609"/>
    <n v="14.717633126426721"/>
    <n v="1"/>
    <n v="59"/>
    <n v="0.59"/>
    <n v="0.59"/>
    <n v="0.99999999999999978"/>
    <n v="58.999999999999986"/>
    <n v="1284.3137268872283"/>
  </r>
  <r>
    <x v="6"/>
    <s v="Almond orchard"/>
    <s v="N1"/>
    <s v="N"/>
    <n v="1.8977526839733281"/>
    <n v="166.53088985912621"/>
    <n v="1.1395799815750081"/>
    <n v="1"/>
    <n v="41"/>
    <n v="0.41"/>
    <n v="0.41"/>
    <n v="0.98"/>
    <n v="40.18"/>
    <n v="76.251702842048317"/>
  </r>
  <r>
    <x v="6"/>
    <s v="Almond orchard"/>
    <s v="N2"/>
    <s v="N"/>
    <n v="0.116391038263466"/>
    <n v="166.53088985912621"/>
    <n v="6.9891560876138306E-2"/>
    <n v="1"/>
    <n v="41"/>
    <n v="0.41"/>
    <n v="0.41"/>
    <n v="0.98"/>
    <n v="40.18"/>
    <n v="4.6765919174260642"/>
  </r>
  <r>
    <x v="6"/>
    <s v="Almond orchard"/>
    <s v="S1"/>
    <s v="S1"/>
    <n v="22.627530201544051"/>
    <n v="166.53088985912621"/>
    <n v="13.587587396359559"/>
    <n v="1"/>
    <n v="109"/>
    <n v="1.0900000000000001"/>
    <n v="1"/>
    <n v="1.1699999999999997"/>
    <n v="116.99999999999997"/>
    <n v="2647.4210335806533"/>
  </r>
  <r>
    <x v="6"/>
    <s v="Almond orchard"/>
    <s v="S2"/>
    <s v="S2"/>
    <n v="88.908587192457475"/>
    <n v="166.53088985912621"/>
    <n v="53.38864595491448"/>
    <n v="1"/>
    <n v="81"/>
    <n v="0.81"/>
    <n v="0.81"/>
    <n v="1.04"/>
    <n v="84.240000000000009"/>
    <n v="7489.6593850926183"/>
  </r>
  <r>
    <x v="6"/>
    <s v="Almond orchard"/>
    <s v="S3"/>
    <s v="S3"/>
    <n v="52.980628742887887"/>
    <n v="166.53088985912621"/>
    <n v="31.81429510627482"/>
    <n v="1"/>
    <n v="59"/>
    <n v="0.59"/>
    <n v="0.59"/>
    <n v="0.99999999999999978"/>
    <n v="58.999999999999986"/>
    <n v="3125.8570958303844"/>
  </r>
  <r>
    <x v="6"/>
    <s v="Complex syst."/>
    <s v="N2"/>
    <s v="N"/>
    <n v="2.395712466219154"/>
    <n v="86.162063365852021"/>
    <n v="2.780472487116215"/>
    <n v="0.6"/>
    <n v="41"/>
    <n v="0.41"/>
    <n v="0.41"/>
    <n v="0.98"/>
    <n v="40.18"/>
    <n v="96.259726892685606"/>
  </r>
  <r>
    <x v="6"/>
    <s v="Complex syst."/>
    <s v="S1"/>
    <s v="S1"/>
    <n v="5.6030118129227517"/>
    <n v="86.162063365852021"/>
    <n v="6.5028756207147103"/>
    <n v="0.6"/>
    <n v="109"/>
    <n v="1.0900000000000001"/>
    <n v="0.6"/>
    <n v="1.1699999999999997"/>
    <n v="70.199999999999989"/>
    <n v="393.3314292671771"/>
  </r>
  <r>
    <x v="6"/>
    <s v="Complex syst."/>
    <s v="S2"/>
    <s v="S2"/>
    <n v="39.206095638516793"/>
    <n v="86.162063365852021"/>
    <n v="45.502735318726202"/>
    <n v="0.6"/>
    <n v="81"/>
    <n v="0.81"/>
    <n v="0.6"/>
    <n v="1.04"/>
    <n v="62.4"/>
    <n v="2446.4603678434478"/>
  </r>
  <r>
    <x v="6"/>
    <s v="Complex syst."/>
    <s v="S3"/>
    <s v="S3"/>
    <n v="38.957243448193317"/>
    <n v="86.162063365852021"/>
    <n v="45.213916573442887"/>
    <n v="0.6"/>
    <n v="59"/>
    <n v="0.59"/>
    <n v="0.59"/>
    <n v="0.99999999999999978"/>
    <n v="58.999999999999986"/>
    <n v="2298.477363443405"/>
  </r>
  <r>
    <x v="6"/>
    <s v="Fodder crops"/>
    <s v="N1"/>
    <s v="N"/>
    <n v="0.13728521239821001"/>
    <n v="180.53456039247521"/>
    <n v="7.604372930022775E-2"/>
    <n v="0.7"/>
    <n v="41"/>
    <n v="0.41"/>
    <n v="0.41"/>
    <n v="0.98"/>
    <n v="40.18"/>
    <n v="5.5161198341600786"/>
  </r>
  <r>
    <x v="6"/>
    <s v="Fodder crops"/>
    <s v="N2"/>
    <s v="N"/>
    <n v="0.84052104396595462"/>
    <n v="180.53456039247521"/>
    <n v="0.46557348473261528"/>
    <n v="0.7"/>
    <n v="41"/>
    <n v="0.41"/>
    <n v="0.41"/>
    <n v="0.98"/>
    <n v="40.18"/>
    <n v="33.772135546552057"/>
  </r>
  <r>
    <x v="6"/>
    <s v="Fodder crops"/>
    <s v="S1"/>
    <s v="S1"/>
    <n v="33.254947837555868"/>
    <n v="180.53456039247521"/>
    <n v="18.420266881455209"/>
    <n v="0.7"/>
    <n v="109"/>
    <n v="1.0900000000000001"/>
    <n v="0.7"/>
    <n v="1.1699999999999997"/>
    <n v="81.899999999999977"/>
    <n v="2723.5802278958249"/>
  </r>
  <r>
    <x v="6"/>
    <s v="Fodder crops"/>
    <s v="S2"/>
    <s v="S2"/>
    <n v="113.9407864203355"/>
    <n v="180.53456039247521"/>
    <n v="63.113005162353723"/>
    <n v="0.7"/>
    <n v="81"/>
    <n v="0.81"/>
    <n v="0.7"/>
    <n v="1.04"/>
    <n v="72.8"/>
    <n v="8294.8892514004237"/>
  </r>
  <r>
    <x v="6"/>
    <s v="Fodder crops"/>
    <s v="S3"/>
    <s v="S3"/>
    <n v="32.36101987821975"/>
    <n v="180.53456039247521"/>
    <n v="17.92511074215825"/>
    <n v="0.7"/>
    <n v="59"/>
    <n v="0.59"/>
    <n v="0.59"/>
    <n v="0.99999999999999978"/>
    <n v="58.999999999999986"/>
    <n v="1909.3001728149648"/>
  </r>
  <r>
    <x v="6"/>
    <s v="Olive grove"/>
    <s v="N2"/>
    <s v="N"/>
    <n v="0.19488702910159861"/>
    <n v="41.279659431150392"/>
    <n v="0.47211394615948138"/>
    <n v="1"/>
    <n v="41"/>
    <n v="0.41"/>
    <n v="0.41"/>
    <n v="0.98"/>
    <n v="40.18"/>
    <n v="7.8305608293022324"/>
  </r>
  <r>
    <x v="6"/>
    <s v="Olive grove"/>
    <s v="S1"/>
    <s v="S1"/>
    <n v="3.8555269707811699"/>
    <n v="41.279659431150392"/>
    <n v="9.3400164243402628"/>
    <n v="1"/>
    <n v="109"/>
    <n v="1.0900000000000001"/>
    <n v="1"/>
    <n v="1.1699999999999997"/>
    <n v="116.99999999999997"/>
    <n v="451.09665558139676"/>
  </r>
  <r>
    <x v="6"/>
    <s v="Olive grove"/>
    <s v="S2"/>
    <s v="S2"/>
    <n v="33.377219081740911"/>
    <n v="41.279659431150392"/>
    <n v="80.856333462271365"/>
    <n v="1"/>
    <n v="81"/>
    <n v="0.81"/>
    <n v="0.81"/>
    <n v="1.04"/>
    <n v="84.240000000000009"/>
    <n v="2811.6969354458547"/>
  </r>
  <r>
    <x v="6"/>
    <s v="Olive grove"/>
    <s v="S3"/>
    <s v="S3"/>
    <n v="3.852026349526704"/>
    <n v="41.279659431150392"/>
    <n v="9.3315361672288759"/>
    <n v="1"/>
    <n v="59"/>
    <n v="0.59"/>
    <n v="0.59"/>
    <n v="0.99999999999999978"/>
    <n v="58.999999999999986"/>
    <n v="227.26955462207547"/>
  </r>
  <r>
    <x v="6"/>
    <s v="P. tomate"/>
    <s v="S1"/>
    <s v="S1"/>
    <n v="34.353808964377897"/>
    <n v="217.29429224631139"/>
    <n v="15.809807339732849"/>
    <n v="0.6"/>
    <n v="109"/>
    <n v="1.0900000000000001"/>
    <n v="0.6"/>
    <n v="1.1699999999999997"/>
    <n v="70.199999999999989"/>
    <n v="2411.6373892993279"/>
  </r>
  <r>
    <x v="6"/>
    <s v="P. tomate"/>
    <s v="S2"/>
    <s v="S2"/>
    <n v="121.5330781208624"/>
    <n v="217.29429224631139"/>
    <n v="55.930175093186513"/>
    <n v="0.6"/>
    <n v="81"/>
    <n v="0.81"/>
    <n v="0.6"/>
    <n v="1.04"/>
    <n v="62.4"/>
    <n v="7583.6640747418132"/>
  </r>
  <r>
    <x v="6"/>
    <s v="P. tomate"/>
    <s v="S3"/>
    <s v="S3"/>
    <n v="61.407405161071168"/>
    <n v="217.29429224631139"/>
    <n v="28.260017567080649"/>
    <n v="0.6"/>
    <n v="59"/>
    <n v="0.59"/>
    <n v="0.59"/>
    <n v="0.99999999999999978"/>
    <n v="58.999999999999986"/>
    <n v="3623.036904503198"/>
  </r>
  <r>
    <x v="6"/>
    <s v="Pastures"/>
    <s v="N1"/>
    <s v="N"/>
    <n v="0.14015298306918239"/>
    <n v="239.77057536173379"/>
    <n v="5.8452953561019039E-2"/>
    <n v="0.6"/>
    <n v="41"/>
    <n v="0.41"/>
    <n v="0.41"/>
    <n v="0.98"/>
    <n v="40.18"/>
    <n v="5.6313468597197485"/>
  </r>
  <r>
    <x v="6"/>
    <s v="Pastures"/>
    <s v="N2"/>
    <s v="N"/>
    <n v="4.7423552851432023E-2"/>
    <n v="239.77057536173379"/>
    <n v="1.9778720879276242E-2"/>
    <n v="0.6"/>
    <n v="41"/>
    <n v="0.41"/>
    <n v="0.41"/>
    <n v="0.98"/>
    <n v="40.18"/>
    <n v="1.9054783535705386"/>
  </r>
  <r>
    <x v="6"/>
    <s v="Pastures"/>
    <s v="S1"/>
    <s v="S1"/>
    <n v="25.21672896111852"/>
    <n v="239.77057536173379"/>
    <n v="10.51702400224668"/>
    <n v="0.6"/>
    <n v="109"/>
    <n v="1.0900000000000001"/>
    <n v="0.6"/>
    <n v="1.1699999999999997"/>
    <n v="70.199999999999989"/>
    <n v="1770.2143730705197"/>
  </r>
  <r>
    <x v="6"/>
    <s v="Pastures"/>
    <s v="S2"/>
    <s v="S2"/>
    <n v="125.03143039495581"/>
    <n v="239.77057536173379"/>
    <n v="52.146277835103433"/>
    <n v="0.6"/>
    <n v="81"/>
    <n v="0.81"/>
    <n v="0.6"/>
    <n v="1.04"/>
    <n v="62.4"/>
    <n v="7801.9612566452424"/>
  </r>
  <r>
    <x v="6"/>
    <s v="Pastures"/>
    <s v="S3"/>
    <s v="S3"/>
    <n v="89.334839469738881"/>
    <n v="239.77057536173379"/>
    <n v="37.258466488209578"/>
    <n v="0.6"/>
    <n v="59"/>
    <n v="0.59"/>
    <n v="0.59"/>
    <n v="0.99999999999999978"/>
    <n v="58.999999999999986"/>
    <n v="5270.7555287145924"/>
  </r>
  <r>
    <x v="6"/>
    <s v="Silage"/>
    <s v="N2"/>
    <s v="N"/>
    <n v="0.27304725725677459"/>
    <n v="596.84440233595251"/>
    <n v="4.5748482550579637E-2"/>
    <n v="0.6"/>
    <n v="41"/>
    <n v="0.41"/>
    <n v="0.41"/>
    <n v="0.98"/>
    <n v="40.18"/>
    <n v="10.971038796577202"/>
  </r>
  <r>
    <x v="6"/>
    <s v="Silage"/>
    <s v="S1"/>
    <s v="S1"/>
    <n v="98.831053237526902"/>
    <n v="596.84440233595251"/>
    <n v="16.558931079979661"/>
    <n v="0.6"/>
    <n v="109"/>
    <n v="1.0900000000000001"/>
    <n v="0.6"/>
    <n v="1.1699999999999997"/>
    <n v="70.199999999999989"/>
    <n v="6937.9399372743874"/>
  </r>
  <r>
    <x v="6"/>
    <s v="Silage"/>
    <s v="S2"/>
    <s v="S2"/>
    <n v="367.91646789178282"/>
    <n v="596.84440233595251"/>
    <n v="61.643615396545087"/>
    <n v="0.6"/>
    <n v="81"/>
    <n v="0.81"/>
    <n v="0.6"/>
    <n v="1.04"/>
    <n v="62.4"/>
    <n v="22957.987596447249"/>
  </r>
  <r>
    <x v="6"/>
    <s v="Silage"/>
    <s v="S3"/>
    <s v="S3"/>
    <n v="129.82383394938611"/>
    <n v="596.84440233595251"/>
    <n v="21.751705040924659"/>
    <n v="0.6"/>
    <n v="59"/>
    <n v="0.59"/>
    <n v="0.59"/>
    <n v="0.99999999999999978"/>
    <n v="58.999999999999986"/>
    <n v="7659.6062030137791"/>
  </r>
  <r>
    <x v="6"/>
    <s v="Vineyard"/>
    <s v="N2"/>
    <s v="N"/>
    <n v="0.510724725922025"/>
    <n v="147.90441562365609"/>
    <n v="0.34530728766176122"/>
    <n v="1"/>
    <n v="41"/>
    <n v="0.41"/>
    <n v="0.41"/>
    <n v="0.98"/>
    <n v="40.18"/>
    <n v="20.520919487546966"/>
  </r>
  <r>
    <x v="6"/>
    <s v="Vineyard"/>
    <s v="S1"/>
    <s v="S1"/>
    <n v="21.657352576372801"/>
    <n v="147.90441562365609"/>
    <n v="14.64280324901191"/>
    <n v="1"/>
    <n v="109"/>
    <n v="1.0900000000000001"/>
    <n v="1"/>
    <n v="1.1699999999999997"/>
    <n v="116.99999999999997"/>
    <n v="2533.9102514356173"/>
  </r>
  <r>
    <x v="6"/>
    <s v="Vineyard"/>
    <s v="S2"/>
    <s v="S2"/>
    <n v="103.9683090520862"/>
    <n v="147.90441562365609"/>
    <n v="70.294256336899608"/>
    <n v="1"/>
    <n v="81"/>
    <n v="0.81"/>
    <n v="0.81"/>
    <n v="1.04"/>
    <n v="84.240000000000009"/>
    <n v="8758.290354547742"/>
  </r>
  <r>
    <x v="6"/>
    <s v="Vineyard"/>
    <s v="S3"/>
    <s v="S3"/>
    <n v="21.768029269275061"/>
    <n v="147.90441562365609"/>
    <n v="14.717633126426721"/>
    <n v="1"/>
    <n v="59"/>
    <n v="0.59"/>
    <n v="0.59"/>
    <n v="0.99999999999999978"/>
    <n v="58.999999999999986"/>
    <n v="1284.3137268872283"/>
  </r>
  <r>
    <x v="7"/>
    <s v="Almond orchard"/>
    <s v="N1"/>
    <s v="N"/>
    <n v="1.8977526839733281"/>
    <n v="291.17195202384909"/>
    <n v="0.65176356128487523"/>
    <n v="1"/>
    <n v="41"/>
    <n v="0.41"/>
    <n v="0.41"/>
    <n v="0.98"/>
    <n v="40.18"/>
    <n v="76.251702842048317"/>
  </r>
  <r>
    <x v="7"/>
    <s v="Almond orchard"/>
    <s v="N2"/>
    <s v="N"/>
    <n v="0.116391038263466"/>
    <n v="291.17195202384909"/>
    <n v="3.9973300125395572E-2"/>
    <n v="1"/>
    <n v="41"/>
    <n v="0.41"/>
    <n v="0.41"/>
    <n v="0.98"/>
    <n v="40.18"/>
    <n v="4.6765919174260642"/>
  </r>
  <r>
    <x v="7"/>
    <s v="Almond orchard"/>
    <s v="S1"/>
    <s v="S1"/>
    <n v="49.92205319917818"/>
    <n v="291.17195202384909"/>
    <n v="17.14521362795589"/>
    <n v="1"/>
    <n v="109"/>
    <n v="1.0900000000000001"/>
    <n v="1"/>
    <n v="1.1699999999999997"/>
    <n v="116.99999999999997"/>
    <n v="5840.8802243038454"/>
  </r>
  <r>
    <x v="7"/>
    <s v="Almond orchard"/>
    <s v="S2"/>
    <s v="S2"/>
    <n v="156.4064185232771"/>
    <n v="291.17195202384909"/>
    <n v="53.716169238191704"/>
    <n v="1"/>
    <n v="81"/>
    <n v="0.81"/>
    <n v="0.81"/>
    <n v="1.04"/>
    <n v="84.240000000000009"/>
    <n v="13175.676696400864"/>
  </r>
  <r>
    <x v="7"/>
    <s v="Almond orchard"/>
    <s v="S3"/>
    <s v="S3"/>
    <n v="82.829336579157015"/>
    <n v="291.17195202384909"/>
    <n v="28.446880272442129"/>
    <n v="1"/>
    <n v="59"/>
    <n v="0.59"/>
    <n v="0.59"/>
    <n v="0.99999999999999978"/>
    <n v="58.999999999999986"/>
    <n v="4886.9308581702626"/>
  </r>
  <r>
    <x v="7"/>
    <s v="Complex syst."/>
    <s v="N2"/>
    <s v="N"/>
    <n v="2.395712466219154"/>
    <n v="93.320024159054441"/>
    <n v="2.5672008637030652"/>
    <n v="0.6"/>
    <n v="41"/>
    <n v="0.41"/>
    <n v="0.41"/>
    <n v="0.98"/>
    <n v="40.18"/>
    <n v="96.259726892685606"/>
  </r>
  <r>
    <x v="7"/>
    <s v="Complex syst."/>
    <s v="S1"/>
    <s v="S1"/>
    <n v="5.6030118129227517"/>
    <n v="93.320024159054441"/>
    <n v="6.0040831144374662"/>
    <n v="0.6"/>
    <n v="109"/>
    <n v="1.0900000000000001"/>
    <n v="0.6"/>
    <n v="1.1699999999999997"/>
    <n v="70.199999999999989"/>
    <n v="393.3314292671771"/>
  </r>
  <r>
    <x v="7"/>
    <s v="Complex syst."/>
    <s v="S2"/>
    <s v="S2"/>
    <n v="41.328396844298922"/>
    <n v="93.320024159054441"/>
    <n v="44.286740404030432"/>
    <n v="0.6"/>
    <n v="81"/>
    <n v="0.81"/>
    <n v="0.6"/>
    <n v="1.04"/>
    <n v="62.4"/>
    <n v="2578.8919630842529"/>
  </r>
  <r>
    <x v="7"/>
    <s v="Complex syst."/>
    <s v="S3"/>
    <s v="S3"/>
    <n v="43.992903035613622"/>
    <n v="93.320024159054441"/>
    <n v="47.14197561782904"/>
    <n v="0.6"/>
    <n v="59"/>
    <n v="0.59"/>
    <n v="0.59"/>
    <n v="0.99999999999999978"/>
    <n v="58.999999999999986"/>
    <n v="2595.5812791012031"/>
  </r>
  <r>
    <x v="7"/>
    <s v="Fodder crops"/>
    <s v="N1"/>
    <s v="N"/>
    <n v="0.13728521239821001"/>
    <n v="106.5153859793645"/>
    <n v="0.12888768240938139"/>
    <n v="0.7"/>
    <n v="41"/>
    <n v="0.41"/>
    <n v="0.41"/>
    <n v="0.98"/>
    <n v="40.18"/>
    <n v="5.5161198341600786"/>
  </r>
  <r>
    <x v="7"/>
    <s v="Fodder crops"/>
    <s v="N2"/>
    <s v="N"/>
    <n v="0.84052104396595462"/>
    <n v="106.5153859793645"/>
    <n v="0.78910763570700582"/>
    <n v="0.7"/>
    <n v="41"/>
    <n v="0.41"/>
    <n v="0.41"/>
    <n v="0.98"/>
    <n v="40.18"/>
    <n v="33.772135546552057"/>
  </r>
  <r>
    <x v="7"/>
    <s v="Fodder crops"/>
    <s v="S1"/>
    <s v="S1"/>
    <n v="19.16080253004348"/>
    <n v="106.5153859793645"/>
    <n v="17.988765053863251"/>
    <n v="0.7"/>
    <n v="109"/>
    <n v="1.0900000000000001"/>
    <n v="0.7"/>
    <n v="1.1699999999999997"/>
    <n v="81.899999999999977"/>
    <n v="1569.2697272105606"/>
  </r>
  <r>
    <x v="7"/>
    <s v="Fodder crops"/>
    <s v="S2"/>
    <s v="S2"/>
    <n v="68.168214136618218"/>
    <n v="106.5153859793645"/>
    <n v="63.99846699126136"/>
    <n v="0.7"/>
    <n v="81"/>
    <n v="0.81"/>
    <n v="0.7"/>
    <n v="1.04"/>
    <n v="72.8"/>
    <n v="4962.6459891458062"/>
  </r>
  <r>
    <x v="7"/>
    <s v="Fodder crops"/>
    <s v="S3"/>
    <s v="S3"/>
    <n v="18.20856305633863"/>
    <n v="106.5153859793645"/>
    <n v="17.094772636759"/>
    <n v="0.7"/>
    <n v="59"/>
    <n v="0.59"/>
    <n v="0.59"/>
    <n v="0.99999999999999978"/>
    <n v="58.999999999999986"/>
    <n v="1074.3052203239788"/>
  </r>
  <r>
    <x v="7"/>
    <s v="Olive grove"/>
    <s v="N2"/>
    <s v="N"/>
    <n v="0.19488702910159861"/>
    <n v="41.279659431150392"/>
    <n v="0.47211394615948138"/>
    <n v="1"/>
    <n v="41"/>
    <n v="0.41"/>
    <n v="0.41"/>
    <n v="0.98"/>
    <n v="40.18"/>
    <n v="7.8305608293022324"/>
  </r>
  <r>
    <x v="7"/>
    <s v="Olive grove"/>
    <s v="S1"/>
    <s v="S1"/>
    <n v="3.8555269707811699"/>
    <n v="41.279659431150392"/>
    <n v="9.3400164243402628"/>
    <n v="1"/>
    <n v="109"/>
    <n v="1.0900000000000001"/>
    <n v="1"/>
    <n v="1.1699999999999997"/>
    <n v="116.99999999999997"/>
    <n v="451.09665558139676"/>
  </r>
  <r>
    <x v="7"/>
    <s v="Olive grove"/>
    <s v="S2"/>
    <s v="S2"/>
    <n v="33.377219081740911"/>
    <n v="41.279659431150392"/>
    <n v="80.856333462271365"/>
    <n v="1"/>
    <n v="81"/>
    <n v="0.81"/>
    <n v="0.81"/>
    <n v="1.04"/>
    <n v="84.240000000000009"/>
    <n v="2811.6969354458547"/>
  </r>
  <r>
    <x v="7"/>
    <s v="Olive grove"/>
    <s v="S3"/>
    <s v="S3"/>
    <n v="3.852026349526704"/>
    <n v="41.279659431150392"/>
    <n v="9.3315361672288759"/>
    <n v="1"/>
    <n v="59"/>
    <n v="0.59"/>
    <n v="0.59"/>
    <n v="0.99999999999999978"/>
    <n v="58.999999999999986"/>
    <n v="227.26955462207547"/>
  </r>
  <r>
    <x v="7"/>
    <s v="P. tomate"/>
    <s v="S1"/>
    <s v="S1"/>
    <n v="24.85384205907026"/>
    <n v="180.47155515731691"/>
    <n v="13.77161184066108"/>
    <n v="0.6"/>
    <n v="109"/>
    <n v="1.0900000000000001"/>
    <n v="0.6"/>
    <n v="1.1699999999999997"/>
    <n v="70.199999999999989"/>
    <n v="1744.7397125467319"/>
  </r>
  <r>
    <x v="7"/>
    <s v="P. tomate"/>
    <s v="S2"/>
    <s v="S2"/>
    <n v="98.814663795268459"/>
    <n v="180.47155515731691"/>
    <n v="54.753594664340199"/>
    <n v="0.6"/>
    <n v="81"/>
    <n v="0.81"/>
    <n v="0.6"/>
    <n v="1.04"/>
    <n v="62.4"/>
    <n v="6166.0350208247519"/>
  </r>
  <r>
    <x v="7"/>
    <s v="P. tomate"/>
    <s v="S3"/>
    <s v="S3"/>
    <n v="56.803049302978224"/>
    <n v="180.47155515731691"/>
    <n v="31.474793494998721"/>
    <n v="0.6"/>
    <n v="59"/>
    <n v="0.59"/>
    <n v="0.59"/>
    <n v="0.99999999999999978"/>
    <n v="58.999999999999986"/>
    <n v="3351.3799088757146"/>
  </r>
  <r>
    <x v="7"/>
    <s v="Pastures"/>
    <s v="N1"/>
    <s v="N"/>
    <n v="0.14015298306918239"/>
    <n v="264.1548858315553"/>
    <n v="5.3057123144999982E-2"/>
    <n v="0.6"/>
    <n v="41"/>
    <n v="0.41"/>
    <n v="0.41"/>
    <n v="0.98"/>
    <n v="40.18"/>
    <n v="5.6313468597197485"/>
  </r>
  <r>
    <x v="7"/>
    <s v="Pastures"/>
    <s v="N2"/>
    <s v="N"/>
    <n v="4.7423552851432023E-2"/>
    <n v="264.1548858315553"/>
    <n v="1.7952934204545731E-2"/>
    <n v="0.6"/>
    <n v="41"/>
    <n v="0.41"/>
    <n v="0.41"/>
    <n v="0.98"/>
    <n v="40.18"/>
    <n v="1.9054783535705386"/>
  </r>
  <r>
    <x v="7"/>
    <s v="Pastures"/>
    <s v="S1"/>
    <s v="S1"/>
    <n v="26.10341828218376"/>
    <n v="264.1548858315553"/>
    <n v="9.8818608635651852"/>
    <n v="0.6"/>
    <n v="109"/>
    <n v="1.0900000000000001"/>
    <n v="0.6"/>
    <n v="1.1699999999999997"/>
    <n v="70.199999999999989"/>
    <n v="1832.4599634092997"/>
  </r>
  <r>
    <x v="7"/>
    <s v="Pastures"/>
    <s v="S2"/>
    <s v="S2"/>
    <n v="139.15634345817739"/>
    <n v="264.1548858315553"/>
    <n v="52.679829494773678"/>
    <n v="0.6"/>
    <n v="81"/>
    <n v="0.81"/>
    <n v="0.6"/>
    <n v="1.04"/>
    <n v="62.4"/>
    <n v="8683.355831790268"/>
  </r>
  <r>
    <x v="7"/>
    <s v="Pastures"/>
    <s v="S3"/>
    <s v="S3"/>
    <n v="98.707547555273536"/>
    <n v="264.1548858315553"/>
    <n v="37.367299584311603"/>
    <n v="0.6"/>
    <n v="59"/>
    <n v="0.59"/>
    <n v="0.59"/>
    <n v="0.99999999999999978"/>
    <n v="58.999999999999986"/>
    <n v="5823.7453057611374"/>
  </r>
  <r>
    <x v="7"/>
    <s v="Silage"/>
    <s v="N2"/>
    <s v="N"/>
    <n v="0.27304725725677459"/>
    <n v="608.73221969324538"/>
    <n v="4.4855069014478909E-2"/>
    <n v="0.6"/>
    <n v="41"/>
    <n v="0.41"/>
    <n v="0.41"/>
    <n v="0.98"/>
    <n v="40.18"/>
    <n v="10.971038796577202"/>
  </r>
  <r>
    <x v="7"/>
    <s v="Silage"/>
    <s v="S1"/>
    <s v="S1"/>
    <n v="100.7759475933287"/>
    <n v="608.73221969324538"/>
    <n v="16.555053984839521"/>
    <n v="0.6"/>
    <n v="109"/>
    <n v="1.0900000000000001"/>
    <n v="0.6"/>
    <n v="1.1699999999999997"/>
    <n v="70.199999999999989"/>
    <n v="7074.4715210516733"/>
  </r>
  <r>
    <x v="7"/>
    <s v="Silage"/>
    <s v="S2"/>
    <s v="S2"/>
    <n v="376.76074176918462"/>
    <n v="608.73221969324538"/>
    <n v="61.89268936003473"/>
    <n v="0.6"/>
    <n v="81"/>
    <n v="0.81"/>
    <n v="0.6"/>
    <n v="1.04"/>
    <n v="62.4"/>
    <n v="23509.870286397119"/>
  </r>
  <r>
    <x v="7"/>
    <s v="Silage"/>
    <s v="S3"/>
    <s v="S3"/>
    <n v="130.92248307347541"/>
    <n v="608.73221969324538"/>
    <n v="21.507401586111271"/>
    <n v="0.6"/>
    <n v="59"/>
    <n v="0.59"/>
    <n v="0.59"/>
    <n v="0.99999999999999978"/>
    <n v="58.999999999999986"/>
    <n v="7724.4265013350469"/>
  </r>
  <r>
    <x v="7"/>
    <s v="Vineyard"/>
    <s v="N2"/>
    <s v="N"/>
    <n v="0.510724725922025"/>
    <n v="147.90441562365609"/>
    <n v="0.34530728766176122"/>
    <n v="1"/>
    <n v="41"/>
    <n v="0.41"/>
    <n v="0.41"/>
    <n v="0.98"/>
    <n v="40.18"/>
    <n v="20.520919487546966"/>
  </r>
  <r>
    <x v="7"/>
    <s v="Vineyard"/>
    <s v="S1"/>
    <s v="S1"/>
    <n v="21.657352576372801"/>
    <n v="147.90441562365609"/>
    <n v="14.64280324901191"/>
    <n v="1"/>
    <n v="109"/>
    <n v="1.0900000000000001"/>
    <n v="1"/>
    <n v="1.1699999999999997"/>
    <n v="116.99999999999997"/>
    <n v="2533.9102514356173"/>
  </r>
  <r>
    <x v="7"/>
    <s v="Vineyard"/>
    <s v="S2"/>
    <s v="S2"/>
    <n v="103.9683090520862"/>
    <n v="147.90441562365609"/>
    <n v="70.294256336899608"/>
    <n v="1"/>
    <n v="81"/>
    <n v="0.81"/>
    <n v="0.81"/>
    <n v="1.04"/>
    <n v="84.240000000000009"/>
    <n v="8758.290354547742"/>
  </r>
  <r>
    <x v="7"/>
    <s v="Vineyard"/>
    <s v="S3"/>
    <s v="S3"/>
    <n v="21.768029269275061"/>
    <n v="147.90441562365609"/>
    <n v="14.717633126426721"/>
    <n v="1"/>
    <n v="59"/>
    <n v="0.59"/>
    <n v="0.59"/>
    <n v="0.99999999999999978"/>
    <n v="58.999999999999986"/>
    <n v="1284.3137268872283"/>
  </r>
  <r>
    <x v="8"/>
    <s v="Almond orchard"/>
    <s v="N1"/>
    <s v="N"/>
    <n v="1.8977526839733281"/>
    <n v="291.17195202384909"/>
    <n v="0.65176356128487523"/>
    <n v="1"/>
    <n v="41"/>
    <n v="0.41"/>
    <n v="0.41"/>
    <n v="0.98"/>
    <n v="40.18"/>
    <n v="76.251702842048317"/>
  </r>
  <r>
    <x v="8"/>
    <s v="Almond orchard"/>
    <s v="N2"/>
    <s v="N"/>
    <n v="0.116391038263466"/>
    <n v="291.17195202384909"/>
    <n v="3.9973300125395572E-2"/>
    <n v="1"/>
    <n v="41"/>
    <n v="0.41"/>
    <n v="0.41"/>
    <n v="0.98"/>
    <n v="40.18"/>
    <n v="4.6765919174260642"/>
  </r>
  <r>
    <x v="8"/>
    <s v="Almond orchard"/>
    <s v="S1"/>
    <s v="S1"/>
    <n v="49.92205319917818"/>
    <n v="291.17195202384909"/>
    <n v="17.14521362795589"/>
    <n v="1"/>
    <n v="109"/>
    <n v="1.0900000000000001"/>
    <n v="1"/>
    <n v="1.1699999999999997"/>
    <n v="116.99999999999997"/>
    <n v="5840.8802243038454"/>
  </r>
  <r>
    <x v="8"/>
    <s v="Almond orchard"/>
    <s v="S2"/>
    <s v="S2"/>
    <n v="156.4064185232771"/>
    <n v="291.17195202384909"/>
    <n v="53.716169238191704"/>
    <n v="1"/>
    <n v="81"/>
    <n v="0.81"/>
    <n v="0.81"/>
    <n v="1.04"/>
    <n v="84.240000000000009"/>
    <n v="13175.676696400864"/>
  </r>
  <r>
    <x v="8"/>
    <s v="Almond orchard"/>
    <s v="S3"/>
    <s v="S3"/>
    <n v="82.829336579157015"/>
    <n v="291.17195202384909"/>
    <n v="28.446880272442129"/>
    <n v="1"/>
    <n v="59"/>
    <n v="0.59"/>
    <n v="0.59"/>
    <n v="0.99999999999999978"/>
    <n v="58.999999999999986"/>
    <n v="4886.9308581702626"/>
  </r>
  <r>
    <x v="8"/>
    <s v="Complex syst."/>
    <s v="N2"/>
    <s v="N"/>
    <n v="2.395712466219154"/>
    <n v="93.320024159054441"/>
    <n v="2.5672008637030652"/>
    <n v="0.6"/>
    <n v="41"/>
    <n v="0.41"/>
    <n v="0.41"/>
    <n v="0.98"/>
    <n v="40.18"/>
    <n v="96.259726892685606"/>
  </r>
  <r>
    <x v="8"/>
    <s v="Complex syst."/>
    <s v="S1"/>
    <s v="S1"/>
    <n v="5.6030118129227517"/>
    <n v="93.320024159054441"/>
    <n v="6.0040831144374662"/>
    <n v="0.6"/>
    <n v="109"/>
    <n v="1.0900000000000001"/>
    <n v="0.6"/>
    <n v="1.1699999999999997"/>
    <n v="70.199999999999989"/>
    <n v="393.3314292671771"/>
  </r>
  <r>
    <x v="8"/>
    <s v="Complex syst."/>
    <s v="S2"/>
    <s v="S2"/>
    <n v="41.328396844298922"/>
    <n v="93.320024159054441"/>
    <n v="44.286740404030432"/>
    <n v="0.6"/>
    <n v="81"/>
    <n v="0.81"/>
    <n v="0.6"/>
    <n v="1.04"/>
    <n v="62.4"/>
    <n v="2578.8919630842529"/>
  </r>
  <r>
    <x v="8"/>
    <s v="Complex syst."/>
    <s v="S3"/>
    <s v="S3"/>
    <n v="43.992903035613622"/>
    <n v="93.320024159054441"/>
    <n v="47.14197561782904"/>
    <n v="0.6"/>
    <n v="59"/>
    <n v="0.59"/>
    <n v="0.59"/>
    <n v="0.99999999999999978"/>
    <n v="58.999999999999986"/>
    <n v="2595.5812791012031"/>
  </r>
  <r>
    <x v="8"/>
    <s v="Fodder crops"/>
    <s v="N1"/>
    <s v="N"/>
    <n v="0.13728521239821001"/>
    <n v="134.04475416045031"/>
    <n v="0.1024174450227876"/>
    <n v="0.7"/>
    <n v="41"/>
    <n v="0.41"/>
    <n v="0.41"/>
    <n v="0.98"/>
    <n v="40.18"/>
    <n v="5.5161198341600786"/>
  </r>
  <r>
    <x v="8"/>
    <s v="Fodder crops"/>
    <s v="N2"/>
    <s v="N"/>
    <n v="0.84052104396595462"/>
    <n v="134.04475416045031"/>
    <n v="0.62704508597170383"/>
    <n v="0.7"/>
    <n v="41"/>
    <n v="0.41"/>
    <n v="0.41"/>
    <n v="0.98"/>
    <n v="40.18"/>
    <n v="33.772135546552057"/>
  </r>
  <r>
    <x v="8"/>
    <s v="Fodder crops"/>
    <s v="S1"/>
    <s v="S1"/>
    <n v="20.967632178062939"/>
    <n v="134.04475416045031"/>
    <n v="15.642262399142369"/>
    <n v="0.7"/>
    <n v="109"/>
    <n v="1.0900000000000001"/>
    <n v="0.7"/>
    <n v="1.1699999999999997"/>
    <n v="81.899999999999977"/>
    <n v="1717.2490753833542"/>
  </r>
  <r>
    <x v="8"/>
    <s v="Fodder crops"/>
    <s v="S2"/>
    <s v="S2"/>
    <n v="92.254835090409941"/>
    <n v="134.04475416045031"/>
    <n v="68.823905618851569"/>
    <n v="0.7"/>
    <n v="81"/>
    <n v="0.81"/>
    <n v="0.7"/>
    <n v="1.04"/>
    <n v="72.8"/>
    <n v="6716.1519945818436"/>
  </r>
  <r>
    <x v="8"/>
    <s v="Fodder crops"/>
    <s v="S3"/>
    <s v="S3"/>
    <n v="19.844480635613259"/>
    <n v="134.04475416045031"/>
    <n v="14.80436945101156"/>
    <n v="0.7"/>
    <n v="59"/>
    <n v="0.59"/>
    <n v="0.59"/>
    <n v="0.99999999999999978"/>
    <n v="58.999999999999986"/>
    <n v="1170.824357501182"/>
  </r>
  <r>
    <x v="8"/>
    <s v="Olive grove"/>
    <s v="N2"/>
    <s v="N"/>
    <n v="0.19469610815628829"/>
    <n v="38.340081074907708"/>
    <n v="0.50781350142660575"/>
    <n v="1"/>
    <n v="41"/>
    <n v="0.41"/>
    <n v="0.41"/>
    <n v="0.98"/>
    <n v="40.18"/>
    <n v="7.8228896257196636"/>
  </r>
  <r>
    <x v="8"/>
    <s v="Olive grove"/>
    <s v="S1"/>
    <s v="S1"/>
    <n v="3.8442771508025788"/>
    <n v="38.340081074907708"/>
    <n v="10.026784093887921"/>
    <n v="1"/>
    <n v="109"/>
    <n v="1.0900000000000001"/>
    <n v="1"/>
    <n v="1.1699999999999997"/>
    <n v="116.99999999999997"/>
    <n v="449.78042664390159"/>
  </r>
  <r>
    <x v="8"/>
    <s v="Olive grove"/>
    <s v="S2"/>
    <s v="S2"/>
    <n v="31.18687984220163"/>
    <n v="38.340081074907708"/>
    <n v="81.342759242656882"/>
    <n v="1"/>
    <n v="81"/>
    <n v="0.81"/>
    <n v="0.81"/>
    <n v="1.04"/>
    <n v="84.240000000000009"/>
    <n v="2627.1827579070655"/>
  </r>
  <r>
    <x v="8"/>
    <s v="Olive grove"/>
    <s v="S3"/>
    <s v="S3"/>
    <n v="3.1142279737472029"/>
    <n v="38.340081074907708"/>
    <n v="8.1226431620285773"/>
    <n v="1"/>
    <n v="59"/>
    <n v="0.59"/>
    <n v="0.59"/>
    <n v="0.99999999999999978"/>
    <n v="58.999999999999986"/>
    <n v="183.73945045108493"/>
  </r>
  <r>
    <x v="8"/>
    <s v="P. tomate"/>
    <s v="S1"/>
    <s v="S1"/>
    <n v="34.353808964377897"/>
    <n v="217.29429224631139"/>
    <n v="15.809807339732849"/>
    <n v="0.6"/>
    <n v="109"/>
    <n v="1.0900000000000001"/>
    <n v="0.6"/>
    <n v="1.1699999999999997"/>
    <n v="70.199999999999989"/>
    <n v="2411.6373892993279"/>
  </r>
  <r>
    <x v="8"/>
    <s v="P. tomate"/>
    <s v="S2"/>
    <s v="S2"/>
    <n v="121.5330781208624"/>
    <n v="217.29429224631139"/>
    <n v="55.930175093186513"/>
    <n v="0.6"/>
    <n v="81"/>
    <n v="0.81"/>
    <n v="0.6"/>
    <n v="1.04"/>
    <n v="62.4"/>
    <n v="7583.6640747418132"/>
  </r>
  <r>
    <x v="8"/>
    <s v="P. tomate"/>
    <s v="S3"/>
    <s v="S3"/>
    <n v="61.407405161071168"/>
    <n v="217.29429224631139"/>
    <n v="28.260017567080649"/>
    <n v="0.6"/>
    <n v="59"/>
    <n v="0.59"/>
    <n v="0.59"/>
    <n v="0.99999999999999978"/>
    <n v="58.999999999999986"/>
    <n v="3623.036904503198"/>
  </r>
  <r>
    <x v="8"/>
    <s v="Pastures"/>
    <s v="N1"/>
    <s v="N"/>
    <n v="0.14015298306918239"/>
    <n v="242.59431091087831"/>
    <n v="5.7772576175815743E-2"/>
    <n v="0.6"/>
    <n v="41"/>
    <n v="0.41"/>
    <n v="0.41"/>
    <n v="0.98"/>
    <n v="40.18"/>
    <n v="5.6313468597197485"/>
  </r>
  <r>
    <x v="8"/>
    <s v="Pastures"/>
    <s v="N2"/>
    <s v="N"/>
    <n v="4.7423552851432023E-2"/>
    <n v="242.59431091087831"/>
    <n v="1.9548501641843519E-2"/>
    <n v="0.6"/>
    <n v="41"/>
    <n v="0.41"/>
    <n v="0.41"/>
    <n v="0.98"/>
    <n v="40.18"/>
    <n v="1.9054783535705386"/>
  </r>
  <r>
    <x v="8"/>
    <s v="Pastures"/>
    <s v="S1"/>
    <s v="S1"/>
    <n v="21.278022829534841"/>
    <n v="242.59431091087831"/>
    <n v="8.7710312536355115"/>
    <n v="0.6"/>
    <n v="109"/>
    <n v="1.0900000000000001"/>
    <n v="0.6"/>
    <n v="1.1699999999999997"/>
    <n v="70.199999999999989"/>
    <n v="1493.7172026333456"/>
  </r>
  <r>
    <x v="8"/>
    <s v="Pastures"/>
    <s v="S2"/>
    <s v="S2"/>
    <n v="124.0740360517208"/>
    <n v="242.59431091087831"/>
    <n v="51.144660229605229"/>
    <n v="0.6"/>
    <n v="81"/>
    <n v="0.81"/>
    <n v="0.6"/>
    <n v="1.04"/>
    <n v="62.4"/>
    <n v="7742.2198496273777"/>
  </r>
  <r>
    <x v="8"/>
    <s v="Pastures"/>
    <s v="S3"/>
    <s v="S3"/>
    <n v="97.054675493702007"/>
    <n v="242.59431091087831"/>
    <n v="40.006987438941607"/>
    <n v="0.6"/>
    <n v="59"/>
    <n v="0.59"/>
    <n v="0.59"/>
    <n v="0.99999999999999978"/>
    <n v="58.999999999999986"/>
    <n v="5726.2258541284173"/>
  </r>
  <r>
    <x v="8"/>
    <s v="Silage"/>
    <s v="N2"/>
    <s v="N"/>
    <n v="0.27323817820208501"/>
    <n v="584.14242986840225"/>
    <n v="4.6775951245938613E-2"/>
    <n v="0.6"/>
    <n v="41"/>
    <n v="0.41"/>
    <n v="0.41"/>
    <n v="0.98"/>
    <n v="40.18"/>
    <n v="10.978710000159776"/>
  </r>
  <r>
    <x v="8"/>
    <s v="Silage"/>
    <s v="S1"/>
    <s v="S1"/>
    <n v="98.980367765287781"/>
    <n v="584.14242986840225"/>
    <n v="16.94456055650442"/>
    <n v="0.6"/>
    <n v="109"/>
    <n v="1.0900000000000001"/>
    <n v="0.6"/>
    <n v="1.1699999999999997"/>
    <n v="70.199999999999989"/>
    <n v="6948.4218171232014"/>
  </r>
  <r>
    <x v="8"/>
    <s v="Silage"/>
    <s v="S2"/>
    <s v="S2"/>
    <n v="354.86446005493212"/>
    <n v="584.14242986840225"/>
    <n v="60.749646303706669"/>
    <n v="0.6"/>
    <n v="81"/>
    <n v="0.81"/>
    <n v="0.6"/>
    <n v="1.04"/>
    <n v="62.4"/>
    <n v="22143.542307427764"/>
  </r>
  <r>
    <x v="8"/>
    <s v="Silage"/>
    <s v="S3"/>
    <s v="S3"/>
    <n v="130.02436386998019"/>
    <n v="584.14242986840225"/>
    <n v="22.25901718854297"/>
    <n v="0.6"/>
    <n v="59"/>
    <n v="0.59"/>
    <n v="0.59"/>
    <n v="0.99999999999999978"/>
    <n v="58.999999999999986"/>
    <n v="7671.4374683288297"/>
  </r>
  <r>
    <x v="8"/>
    <s v="Vineyard"/>
    <s v="N2"/>
    <s v="N"/>
    <n v="0.510724725922025"/>
    <n v="147.90441562365609"/>
    <n v="0.34530728766176122"/>
    <n v="1"/>
    <n v="41"/>
    <n v="0.41"/>
    <n v="0.41"/>
    <n v="0.98"/>
    <n v="40.18"/>
    <n v="20.520919487546966"/>
  </r>
  <r>
    <x v="8"/>
    <s v="Vineyard"/>
    <s v="S1"/>
    <s v="S1"/>
    <n v="21.657352576372801"/>
    <n v="147.90441562365609"/>
    <n v="14.64280324901191"/>
    <n v="1"/>
    <n v="109"/>
    <n v="1.0900000000000001"/>
    <n v="1"/>
    <n v="1.1699999999999997"/>
    <n v="116.99999999999997"/>
    <n v="2533.9102514356173"/>
  </r>
  <r>
    <x v="8"/>
    <s v="Vineyard"/>
    <s v="S2"/>
    <s v="S2"/>
    <n v="103.9683090520862"/>
    <n v="147.90441562365609"/>
    <n v="70.294256336899608"/>
    <n v="1"/>
    <n v="81"/>
    <n v="0.81"/>
    <n v="0.81"/>
    <n v="1.04"/>
    <n v="84.240000000000009"/>
    <n v="8758.290354547742"/>
  </r>
  <r>
    <x v="8"/>
    <s v="Vineyard"/>
    <s v="S3"/>
    <s v="S3"/>
    <n v="21.768029269275061"/>
    <n v="147.90441562365609"/>
    <n v="14.717633126426721"/>
    <n v="1"/>
    <n v="59"/>
    <n v="0.59"/>
    <n v="0.59"/>
    <n v="0.99999999999999978"/>
    <n v="58.999999999999986"/>
    <n v="1284.3137268872283"/>
  </r>
  <r>
    <x v="9"/>
    <s v="Almond orchard"/>
    <s v="N1"/>
    <s v="N"/>
    <n v="1.8977526839733281"/>
    <n v="291.17195202384909"/>
    <n v="0.65176356128487523"/>
    <n v="1"/>
    <n v="41"/>
    <n v="0.41"/>
    <n v="0.41"/>
    <n v="0.98"/>
    <n v="40.18"/>
    <n v="76.251702842048317"/>
  </r>
  <r>
    <x v="9"/>
    <s v="Almond orchard"/>
    <s v="N2"/>
    <s v="N"/>
    <n v="0.116391038263466"/>
    <n v="291.17195202384909"/>
    <n v="3.9973300125395572E-2"/>
    <n v="1"/>
    <n v="41"/>
    <n v="0.41"/>
    <n v="0.41"/>
    <n v="0.98"/>
    <n v="40.18"/>
    <n v="4.6765919174260642"/>
  </r>
  <r>
    <x v="9"/>
    <s v="Almond orchard"/>
    <s v="S1"/>
    <s v="S1"/>
    <n v="49.92205319917818"/>
    <n v="291.17195202384909"/>
    <n v="17.14521362795589"/>
    <n v="1"/>
    <n v="109"/>
    <n v="1.0900000000000001"/>
    <n v="1"/>
    <n v="1.1699999999999997"/>
    <n v="116.99999999999997"/>
    <n v="5840.8802243038454"/>
  </r>
  <r>
    <x v="9"/>
    <s v="Almond orchard"/>
    <s v="S2"/>
    <s v="S2"/>
    <n v="156.4064185232771"/>
    <n v="291.17195202384909"/>
    <n v="53.716169238191704"/>
    <n v="1"/>
    <n v="81"/>
    <n v="0.81"/>
    <n v="0.81"/>
    <n v="1.04"/>
    <n v="84.240000000000009"/>
    <n v="13175.676696400864"/>
  </r>
  <r>
    <x v="9"/>
    <s v="Almond orchard"/>
    <s v="S3"/>
    <s v="S3"/>
    <n v="82.829336579157015"/>
    <n v="291.17195202384909"/>
    <n v="28.446880272442129"/>
    <n v="1"/>
    <n v="59"/>
    <n v="0.59"/>
    <n v="0.59"/>
    <n v="0.99999999999999978"/>
    <n v="58.999999999999986"/>
    <n v="4886.9308581702626"/>
  </r>
  <r>
    <x v="9"/>
    <s v="Complex syst."/>
    <s v="N2"/>
    <s v="N"/>
    <n v="2.395712466219154"/>
    <n v="110.1550521446958"/>
    <n v="2.1748548246994881"/>
    <n v="0.6"/>
    <n v="41"/>
    <n v="0.41"/>
    <n v="0.41"/>
    <n v="0.98"/>
    <n v="40.18"/>
    <n v="96.259726892685606"/>
  </r>
  <r>
    <x v="9"/>
    <s v="Complex syst."/>
    <s v="S1"/>
    <s v="S1"/>
    <n v="5.6030118129227517"/>
    <n v="110.1550521446958"/>
    <n v="5.0864773824107772"/>
    <n v="0.6"/>
    <n v="109"/>
    <n v="1.0900000000000001"/>
    <n v="0.6"/>
    <n v="1.1699999999999997"/>
    <n v="70.199999999999989"/>
    <n v="393.3314292671771"/>
  </r>
  <r>
    <x v="9"/>
    <s v="Complex syst."/>
    <s v="S2"/>
    <s v="S2"/>
    <n v="56.298065223017034"/>
    <n v="110.1550521446958"/>
    <n v="51.108019221002998"/>
    <n v="0.6"/>
    <n v="81"/>
    <n v="0.81"/>
    <n v="0.6"/>
    <n v="1.04"/>
    <n v="62.4"/>
    <n v="3512.9992699162626"/>
  </r>
  <r>
    <x v="9"/>
    <s v="Complex syst."/>
    <s v="S3"/>
    <s v="S3"/>
    <n v="45.858262642536907"/>
    <n v="110.1550521446958"/>
    <n v="41.630648571886738"/>
    <n v="0.6"/>
    <n v="59"/>
    <n v="0.59"/>
    <n v="0.59"/>
    <n v="0.99999999999999978"/>
    <n v="58.999999999999986"/>
    <n v="2705.637495909677"/>
  </r>
  <r>
    <x v="9"/>
    <s v="Fodder crops"/>
    <s v="N2"/>
    <s v="N"/>
    <n v="0.81306150372221875"/>
    <n v="209.4542030099409"/>
    <n v="0.38818104007377219"/>
    <n v="0.7"/>
    <n v="41"/>
    <n v="0.41"/>
    <n v="0.41"/>
    <n v="0.98"/>
    <n v="40.18"/>
    <n v="32.668811219558748"/>
  </r>
  <r>
    <x v="9"/>
    <s v="Fodder crops"/>
    <s v="S1"/>
    <s v="S1"/>
    <n v="29.55008152111424"/>
    <n v="209.4542030099409"/>
    <n v="14.108134903223579"/>
    <n v="0.7"/>
    <n v="109"/>
    <n v="1.0900000000000001"/>
    <n v="0.7"/>
    <n v="1.1699999999999997"/>
    <n v="81.899999999999977"/>
    <n v="2420.1516765792558"/>
  </r>
  <r>
    <x v="9"/>
    <s v="Fodder crops"/>
    <s v="S2"/>
    <s v="S2"/>
    <n v="105.63082898820559"/>
    <n v="209.4542030099409"/>
    <n v="50.431467819813733"/>
    <n v="0.7"/>
    <n v="81"/>
    <n v="0.81"/>
    <n v="0.7"/>
    <n v="1.04"/>
    <n v="72.8"/>
    <n v="7689.9243503413672"/>
  </r>
  <r>
    <x v="9"/>
    <s v="Fodder crops"/>
    <s v="S3"/>
    <s v="S3"/>
    <n v="73.460230996898758"/>
    <n v="209.4542030099409"/>
    <n v="35.072216236888913"/>
    <n v="0.7"/>
    <n v="59"/>
    <n v="0.59"/>
    <n v="0.59"/>
    <n v="0.99999999999999978"/>
    <n v="58.999999999999986"/>
    <n v="4334.1536288170255"/>
  </r>
  <r>
    <x v="9"/>
    <s v="Olive grove"/>
    <s v="N2"/>
    <s v="N"/>
    <n v="0.19469610815628829"/>
    <n v="38.340081074907708"/>
    <n v="0.50781350142660575"/>
    <n v="1"/>
    <n v="41"/>
    <n v="0.41"/>
    <n v="0.41"/>
    <n v="0.98"/>
    <n v="40.18"/>
    <n v="7.8228896257196636"/>
  </r>
  <r>
    <x v="9"/>
    <s v="Olive grove"/>
    <s v="S1"/>
    <s v="S1"/>
    <n v="3.8442771508025788"/>
    <n v="38.340081074907708"/>
    <n v="10.026784093887921"/>
    <n v="1"/>
    <n v="109"/>
    <n v="1.0900000000000001"/>
    <n v="1"/>
    <n v="1.1699999999999997"/>
    <n v="116.99999999999997"/>
    <n v="449.78042664390159"/>
  </r>
  <r>
    <x v="9"/>
    <s v="Olive grove"/>
    <s v="S2"/>
    <s v="S2"/>
    <n v="31.18687984220163"/>
    <n v="38.340081074907708"/>
    <n v="81.342759242656882"/>
    <n v="1"/>
    <n v="81"/>
    <n v="0.81"/>
    <n v="0.81"/>
    <n v="1.04"/>
    <n v="84.240000000000009"/>
    <n v="2627.1827579070655"/>
  </r>
  <r>
    <x v="9"/>
    <s v="Olive grove"/>
    <s v="S3"/>
    <s v="S3"/>
    <n v="3.1142279737472029"/>
    <n v="38.340081074907708"/>
    <n v="8.1226431620285773"/>
    <n v="1"/>
    <n v="59"/>
    <n v="0.59"/>
    <n v="0.59"/>
    <n v="0.99999999999999978"/>
    <n v="58.999999999999986"/>
    <n v="183.73945045108493"/>
  </r>
  <r>
    <x v="9"/>
    <s v="P. tomate"/>
    <s v="S1"/>
    <s v="S1"/>
    <n v="18.16700169715169"/>
    <n v="123.1593343465393"/>
    <n v="14.750811859728261"/>
    <n v="0.6"/>
    <n v="109"/>
    <n v="1.0900000000000001"/>
    <n v="0.6"/>
    <n v="1.1699999999999997"/>
    <n v="70.199999999999989"/>
    <n v="1275.3235191400483"/>
  </r>
  <r>
    <x v="9"/>
    <s v="P. tomate"/>
    <s v="S2"/>
    <s v="S2"/>
    <n v="91.406271258640587"/>
    <n v="123.1593343465393"/>
    <n v="74.217899717975442"/>
    <n v="0.6"/>
    <n v="81"/>
    <n v="0.81"/>
    <n v="0.6"/>
    <n v="1.04"/>
    <n v="62.4"/>
    <n v="5703.7513265391726"/>
  </r>
  <r>
    <x v="9"/>
    <s v="P. tomate"/>
    <s v="S3"/>
    <s v="S3"/>
    <n v="13.58606139074698"/>
    <n v="123.1593343465393"/>
    <n v="11.03128842229631"/>
    <n v="0.6"/>
    <n v="59"/>
    <n v="0.59"/>
    <n v="0.59"/>
    <n v="0.99999999999999978"/>
    <n v="58.999999999999986"/>
    <n v="801.57762205407164"/>
  </r>
  <r>
    <x v="9"/>
    <s v="Pastures"/>
    <s v="N1"/>
    <s v="N"/>
    <n v="0.14015298306918239"/>
    <n v="243.7005266998307"/>
    <n v="5.7510332442494372E-2"/>
    <n v="0.6"/>
    <n v="41"/>
    <n v="0.41"/>
    <n v="0.41"/>
    <n v="0.98"/>
    <n v="40.18"/>
    <n v="5.6313468597197485"/>
  </r>
  <r>
    <x v="9"/>
    <s v="Pastures"/>
    <s v="N2"/>
    <s v="N"/>
    <n v="4.7423552851432023E-2"/>
    <n v="243.7005266998307"/>
    <n v="1.9459766252308618E-2"/>
    <n v="0.6"/>
    <n v="41"/>
    <n v="0.41"/>
    <n v="0.41"/>
    <n v="0.98"/>
    <n v="40.18"/>
    <n v="1.9054783535705386"/>
  </r>
  <r>
    <x v="9"/>
    <s v="Pastures"/>
    <s v="S1"/>
    <s v="S1"/>
    <n v="23.595083198839301"/>
    <n v="243.7005266998307"/>
    <n v="9.6819992629321163"/>
    <n v="0.6"/>
    <n v="109"/>
    <n v="1.0900000000000001"/>
    <n v="0.6"/>
    <n v="1.1699999999999997"/>
    <n v="70.199999999999989"/>
    <n v="1656.3748405585186"/>
  </r>
  <r>
    <x v="9"/>
    <s v="Pastures"/>
    <s v="S2"/>
    <s v="S2"/>
    <n v="129.70036591949119"/>
    <n v="243.7005266998307"/>
    <n v="53.221208700646329"/>
    <n v="0.6"/>
    <n v="81"/>
    <n v="0.81"/>
    <n v="0.6"/>
    <n v="1.04"/>
    <n v="62.4"/>
    <n v="8093.3028333762504"/>
  </r>
  <r>
    <x v="9"/>
    <s v="Pastures"/>
    <s v="S3"/>
    <s v="S3"/>
    <n v="90.217501045579581"/>
    <n v="243.7005266998307"/>
    <n v="37.019821937726753"/>
    <n v="0.6"/>
    <n v="59"/>
    <n v="0.59"/>
    <n v="0.59"/>
    <n v="0.99999999999999978"/>
    <n v="58.999999999999986"/>
    <n v="5322.8325616891943"/>
  </r>
  <r>
    <x v="9"/>
    <s v="Silage"/>
    <s v="N2"/>
    <s v="N"/>
    <n v="0.30069771844582088"/>
    <n v="597.03875580456929"/>
    <n v="5.0364857477401229E-2"/>
    <n v="0.6"/>
    <n v="41"/>
    <n v="0.41"/>
    <n v="0.41"/>
    <n v="0.98"/>
    <n v="40.18"/>
    <n v="12.082034327153083"/>
  </r>
  <r>
    <x v="9"/>
    <s v="Silage"/>
    <s v="S1"/>
    <s v="S1"/>
    <n v="107.1077992113611"/>
    <n v="597.03875580456929"/>
    <n v="17.939840281728891"/>
    <n v="0.6"/>
    <n v="109"/>
    <n v="1.0900000000000001"/>
    <n v="0.6"/>
    <n v="1.1699999999999997"/>
    <n v="70.199999999999989"/>
    <n v="7518.9675046375478"/>
  </r>
  <r>
    <x v="9"/>
    <s v="Silage"/>
    <s v="S2"/>
    <s v="S2"/>
    <n v="359.00532473805117"/>
    <n v="597.03875580456929"/>
    <n v="60.130991706602977"/>
    <n v="0.6"/>
    <n v="81"/>
    <n v="0.81"/>
    <n v="0.6"/>
    <n v="1.04"/>
    <n v="62.4"/>
    <n v="22401.932263654391"/>
  </r>
  <r>
    <x v="9"/>
    <s v="Silage"/>
    <s v="S3"/>
    <s v="S3"/>
    <n v="130.62493413671109"/>
    <n v="597.03875580456929"/>
    <n v="21.87880315419072"/>
    <n v="0.6"/>
    <n v="59"/>
    <n v="0.59"/>
    <n v="0.59"/>
    <n v="0.99999999999999978"/>
    <n v="58.999999999999986"/>
    <n v="7706.8711140659525"/>
  </r>
  <r>
    <x v="9"/>
    <s v="Vineyard"/>
    <s v="N2"/>
    <s v="N"/>
    <n v="0.510724725922025"/>
    <n v="147.90441562365609"/>
    <n v="0.34530728766176122"/>
    <n v="1"/>
    <n v="41"/>
    <n v="0.41"/>
    <n v="0.41"/>
    <n v="0.98"/>
    <n v="40.18"/>
    <n v="20.520919487546966"/>
  </r>
  <r>
    <x v="9"/>
    <s v="Vineyard"/>
    <s v="S1"/>
    <s v="S1"/>
    <n v="21.657352576372801"/>
    <n v="147.90441562365609"/>
    <n v="14.64280324901191"/>
    <n v="1"/>
    <n v="109"/>
    <n v="1.0900000000000001"/>
    <n v="1"/>
    <n v="1.1699999999999997"/>
    <n v="116.99999999999997"/>
    <n v="2533.9102514356173"/>
  </r>
  <r>
    <x v="9"/>
    <s v="Vineyard"/>
    <s v="S2"/>
    <s v="S2"/>
    <n v="103.9683090520862"/>
    <n v="147.90441562365609"/>
    <n v="70.294256336899608"/>
    <n v="1"/>
    <n v="81"/>
    <n v="0.81"/>
    <n v="0.81"/>
    <n v="1.04"/>
    <n v="84.240000000000009"/>
    <n v="8758.290354547742"/>
  </r>
  <r>
    <x v="9"/>
    <s v="Vineyard"/>
    <s v="S3"/>
    <s v="S3"/>
    <n v="21.768029269275061"/>
    <n v="147.90441562365609"/>
    <n v="14.717633126426721"/>
    <n v="1"/>
    <n v="59"/>
    <n v="0.59"/>
    <n v="0.59"/>
    <n v="0.99999999999999978"/>
    <n v="58.999999999999986"/>
    <n v="1284.31372688722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FAF6D-E3FE-4964-B03A-26CC33DB1946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U3:W14" firstHeaderRow="0" firstDataRow="1" firstDataCol="1"/>
  <pivotFields count="10">
    <pivotField showAll="0" defaultSubtotal="0">
      <items count="3">
        <item x="0"/>
        <item x="1"/>
        <item x="2"/>
      </items>
    </pivotField>
    <pivotField axis="axisRow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dataField="1" showAll="0" defaultSubtota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Fields count="1">
    <field x="-2"/>
  </colFields>
  <colItems count="2">
    <i>
      <x/>
    </i>
    <i i="1">
      <x v="1"/>
    </i>
  </colItems>
  <dataFields count="2">
    <dataField name="Sum of WAFAE_low_ef" fld="8" baseField="0" baseItem="0"/>
    <dataField name="Sum of WAFAE_high_ef" fld="9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326472-191B-4722-B077-9AA0D0786951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B3:AD13" firstHeaderRow="0" firstDataRow="1" firstDataCol="1"/>
  <pivotFields count="14">
    <pivotField axis="axisRow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-2"/>
  </colFields>
  <colItems count="2">
    <i>
      <x/>
    </i>
    <i i="1">
      <x v="1"/>
    </i>
  </colItems>
  <dataFields count="2">
    <dataField name="Sum of SWBC" fld="13" baseField="0" baseItem="0"/>
    <dataField name="Sum of Area_ha_soil_crop" fld="4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283FD-38B3-48DD-B24B-9106EDF8C630}">
  <sheetPr>
    <tabColor theme="8" tint="0.39997558519241921"/>
  </sheetPr>
  <dimension ref="A1:BI33"/>
  <sheetViews>
    <sheetView topLeftCell="AI1" workbookViewId="0">
      <pane ySplit="3" topLeftCell="A4" activePane="bottomLeft" state="frozen"/>
      <selection activeCell="V21" sqref="V21"/>
      <selection pane="bottomLeft" activeCell="E42" sqref="E42"/>
    </sheetView>
  </sheetViews>
  <sheetFormatPr defaultRowHeight="15" x14ac:dyDescent="0.25"/>
  <cols>
    <col min="1" max="1" width="23.140625" customWidth="1"/>
    <col min="2" max="23" width="15" customWidth="1"/>
    <col min="24" max="24" width="16.5703125" customWidth="1"/>
    <col min="25" max="61" width="15" customWidth="1"/>
  </cols>
  <sheetData>
    <row r="1" spans="1:61" ht="105" customHeight="1" x14ac:dyDescent="0.25">
      <c r="A1" s="6" t="s">
        <v>57</v>
      </c>
    </row>
    <row r="3" spans="1:61" ht="45" x14ac:dyDescent="0.25">
      <c r="A3" s="5" t="s">
        <v>25</v>
      </c>
      <c r="B3" s="5" t="s">
        <v>56</v>
      </c>
      <c r="C3" s="5" t="s">
        <v>55</v>
      </c>
      <c r="D3" s="5" t="s">
        <v>54</v>
      </c>
      <c r="E3" s="5" t="s">
        <v>47</v>
      </c>
      <c r="F3" s="5" t="s">
        <v>53</v>
      </c>
      <c r="G3" s="5" t="s">
        <v>52</v>
      </c>
      <c r="H3" s="5" t="s">
        <v>51</v>
      </c>
      <c r="I3" s="5" t="s">
        <v>50</v>
      </c>
      <c r="J3" s="5" t="s">
        <v>49</v>
      </c>
      <c r="K3" s="5" t="s">
        <v>48</v>
      </c>
      <c r="L3" s="5" t="s">
        <v>47</v>
      </c>
      <c r="M3" s="5" t="s">
        <v>46</v>
      </c>
      <c r="N3" s="5" t="s">
        <v>45</v>
      </c>
      <c r="O3" s="5" t="s">
        <v>44</v>
      </c>
      <c r="P3" s="5" t="s">
        <v>43</v>
      </c>
      <c r="Q3" s="5" t="s">
        <v>42</v>
      </c>
      <c r="R3" s="5" t="s">
        <v>41</v>
      </c>
      <c r="S3" s="5" t="s">
        <v>40</v>
      </c>
      <c r="T3" s="5" t="s">
        <v>39</v>
      </c>
      <c r="U3" s="5" t="s">
        <v>38</v>
      </c>
      <c r="V3" s="5" t="s">
        <v>37</v>
      </c>
      <c r="W3" s="5" t="s">
        <v>36</v>
      </c>
      <c r="X3" s="5" t="s">
        <v>35</v>
      </c>
      <c r="Y3" s="5" t="s">
        <v>34</v>
      </c>
      <c r="Z3" s="5" t="s">
        <v>33</v>
      </c>
      <c r="AA3" s="5" t="s">
        <v>32</v>
      </c>
      <c r="AB3" s="5" t="s">
        <v>31</v>
      </c>
      <c r="AC3" s="5" t="s">
        <v>30</v>
      </c>
      <c r="AD3" s="5" t="s">
        <v>29</v>
      </c>
      <c r="AE3" s="5" t="s">
        <v>28</v>
      </c>
      <c r="AF3" s="5" t="s">
        <v>27</v>
      </c>
      <c r="AG3" s="5" t="s">
        <v>26</v>
      </c>
      <c r="AH3" s="5" t="s">
        <v>0</v>
      </c>
      <c r="AJ3" s="5" t="s">
        <v>25</v>
      </c>
      <c r="AK3" s="5" t="s">
        <v>24</v>
      </c>
      <c r="AL3" s="5" t="s">
        <v>23</v>
      </c>
      <c r="AM3" s="5" t="s">
        <v>22</v>
      </c>
      <c r="AN3" s="5" t="s">
        <v>21</v>
      </c>
      <c r="AO3" s="5" t="s">
        <v>20</v>
      </c>
      <c r="AP3" s="5" t="s">
        <v>19</v>
      </c>
      <c r="AQ3" s="5" t="s">
        <v>18</v>
      </c>
      <c r="AR3" s="5" t="s">
        <v>17</v>
      </c>
      <c r="AS3" s="5" t="s">
        <v>16</v>
      </c>
      <c r="AT3" s="5" t="s">
        <v>15</v>
      </c>
      <c r="AU3" s="5" t="s">
        <v>14</v>
      </c>
      <c r="AV3" s="5" t="s">
        <v>13</v>
      </c>
      <c r="AW3" s="5" t="s">
        <v>12</v>
      </c>
      <c r="AX3" s="5" t="s">
        <v>11</v>
      </c>
      <c r="AY3" s="5" t="s">
        <v>10</v>
      </c>
      <c r="AZ3" s="5" t="s">
        <v>9</v>
      </c>
      <c r="BA3" s="5" t="s">
        <v>8</v>
      </c>
      <c r="BB3" s="5" t="s">
        <v>7</v>
      </c>
      <c r="BC3" s="5" t="s">
        <v>6</v>
      </c>
      <c r="BD3" s="5" t="s">
        <v>5</v>
      </c>
      <c r="BE3" s="5" t="s">
        <v>4</v>
      </c>
      <c r="BF3" s="5" t="s">
        <v>3</v>
      </c>
      <c r="BG3" s="5" t="s">
        <v>2</v>
      </c>
      <c r="BH3" s="5" t="s">
        <v>1</v>
      </c>
      <c r="BI3" s="5" t="s">
        <v>0</v>
      </c>
    </row>
    <row r="4" spans="1:61" x14ac:dyDescent="0.25">
      <c r="A4" s="2">
        <f>[1]CONTROL_YEARS!A14</f>
        <v>2016</v>
      </c>
      <c r="B4" s="3">
        <v>6110817.9110827493</v>
      </c>
      <c r="C4" s="3">
        <v>5745391</v>
      </c>
      <c r="D4" s="3">
        <v>6110817.9110827493</v>
      </c>
      <c r="E4" s="3">
        <v>1334.2036782997391</v>
      </c>
      <c r="F4" s="3"/>
      <c r="G4" s="3">
        <v>144011.24</v>
      </c>
      <c r="H4" s="3">
        <v>0</v>
      </c>
      <c r="I4" s="3">
        <v>2600</v>
      </c>
      <c r="J4" s="3">
        <v>1382</v>
      </c>
      <c r="K4" s="3">
        <v>1563</v>
      </c>
      <c r="L4" s="3">
        <v>1334.2036782997391</v>
      </c>
      <c r="M4" s="3">
        <v>535885.67057008063</v>
      </c>
      <c r="N4" s="3">
        <v>648575.1890074258</v>
      </c>
      <c r="O4" s="3">
        <v>497605.92699601001</v>
      </c>
      <c r="P4" s="3">
        <v>602129.52884276374</v>
      </c>
      <c r="Q4" s="3">
        <v>184241.54745354599</v>
      </c>
      <c r="R4" s="3">
        <v>223073.48937611014</v>
      </c>
      <c r="S4" s="3">
        <v>180553.70078519185</v>
      </c>
      <c r="T4" s="3">
        <v>218595.38985025193</v>
      </c>
      <c r="U4" s="3">
        <v>2480119.9479359202</v>
      </c>
      <c r="V4" s="3">
        <v>0.3706998278211393</v>
      </c>
      <c r="W4" s="3">
        <v>0.18385803866797212</v>
      </c>
      <c r="X4" s="3">
        <f>CRI!N10</f>
        <v>287.99553776547407</v>
      </c>
      <c r="Y4" s="3">
        <f>SWBC!AF4</f>
        <v>103804.36577032231</v>
      </c>
      <c r="Z4" s="4">
        <f t="shared" ref="Z4:Z33" si="0">IFERROR(F4/E4,"")</f>
        <v>0</v>
      </c>
      <c r="AA4" s="4">
        <f t="shared" ref="AA4:AA33" si="1">IFERROR(F4/C4,"")</f>
        <v>0</v>
      </c>
      <c r="AB4" s="4">
        <f t="shared" ref="AB4:AB33" si="2">IFERROR(F4/D4,"")</f>
        <v>0</v>
      </c>
      <c r="AC4" s="4">
        <f t="shared" ref="AC4:AC33" si="3">IFERROR(G4/E4,"")</f>
        <v>107.93797254668246</v>
      </c>
      <c r="AD4" s="4">
        <f t="shared" ref="AD4:AD33" si="4">IFERROR(G4/C4,"")</f>
        <v>2.5065524696230419E-2</v>
      </c>
      <c r="AE4" s="4">
        <f t="shared" ref="AE4:AE33" si="5">IFERROR(G4/D4,"")</f>
        <v>2.3566606319395837E-2</v>
      </c>
      <c r="AF4" s="4" t="str">
        <f t="shared" ref="AF4:AF33" si="6">IFERROR(H4/F4,"")</f>
        <v/>
      </c>
      <c r="AG4" s="4">
        <f t="shared" ref="AG4:AG33" si="7">IFERROR((I4-J4)/J4,"")</f>
        <v>0.88133140376266283</v>
      </c>
      <c r="AH4" s="1"/>
      <c r="AJ4" s="2">
        <f>[1]CONTROL_YEARS!A14</f>
        <v>2016</v>
      </c>
      <c r="AK4" s="4">
        <f t="shared" ref="AK4:AK33" si="8">IFERROR(AVERAGE(AL4:AO4),"")</f>
        <v>406.89192218129409</v>
      </c>
      <c r="AL4" s="3">
        <f>M4/L4</f>
        <v>401.6520710338574</v>
      </c>
      <c r="AM4" s="3">
        <v>451.30255495180154</v>
      </c>
      <c r="AN4" s="3">
        <v>401.6520710338574</v>
      </c>
      <c r="AO4" s="3">
        <v>372.96099170565998</v>
      </c>
      <c r="AP4" s="4">
        <f t="shared" ref="AP4:AP33" si="9">IFERROR(AVERAGE(AQ4:AT4),"")</f>
        <v>0.35340834689694334</v>
      </c>
      <c r="AQ4" s="3">
        <f t="shared" ref="AQ4:AQ13" si="10">Q4/M4</f>
        <v>0.3438075648814195</v>
      </c>
      <c r="AR4" s="3">
        <f t="shared" ref="AR4:AR13" si="11">R4/N4</f>
        <v>0.3439439145328701</v>
      </c>
      <c r="AS4" s="3">
        <f t="shared" ref="AS4:AS13" si="12">S4/O4</f>
        <v>0.36284475523668669</v>
      </c>
      <c r="AT4" s="3">
        <f t="shared" ref="AT4:AT13" si="13">T4/P4</f>
        <v>0.363037152936797</v>
      </c>
      <c r="AU4" s="4">
        <f t="shared" ref="AU4:AU33" si="14">IFERROR(AVERAGE(AV4:AY4),"")</f>
        <v>0.81292855224228133</v>
      </c>
      <c r="AV4" s="3">
        <f t="shared" ref="AV4:AV13" si="15">Q4*10/$U4</f>
        <v>0.74287353564040726</v>
      </c>
      <c r="AW4" s="3">
        <f t="shared" ref="AW4:AW13" si="16">R4*10/$U4</f>
        <v>0.89944637380044068</v>
      </c>
      <c r="AX4" s="3">
        <f t="shared" ref="AX4:AX13" si="17">S4*10/$U4</f>
        <v>0.72800390535731008</v>
      </c>
      <c r="AY4" s="3">
        <f t="shared" ref="AY4:AY13" si="18">T4*10/$U4</f>
        <v>0.88139039417096721</v>
      </c>
      <c r="AZ4" s="4">
        <f t="shared" ref="AZ4:AZ33" si="19">IFERROR(AVERAGE(BA4:BB4),"")</f>
        <v>0.99981950378735995</v>
      </c>
      <c r="BA4" s="3">
        <f>ISF!X4</f>
        <v>1.0898318707349934</v>
      </c>
      <c r="BB4" s="3">
        <f>ISF!Y4</f>
        <v>0.90980713683972647</v>
      </c>
      <c r="BC4" s="3">
        <f t="shared" ref="BC4:BC13" si="20">IFERROR(SUM(V4:W4),"")</f>
        <v>0.55455786648911143</v>
      </c>
      <c r="BD4" s="3">
        <v>0.56121245187502822</v>
      </c>
      <c r="BE4" s="3">
        <f t="shared" ref="BE4:BE13" si="21">X4/K4</f>
        <v>0.18425818155180682</v>
      </c>
      <c r="BF4" s="3">
        <f t="shared" ref="BF4:BF13" si="22">Y4/L4</f>
        <v>77.802488074839403</v>
      </c>
      <c r="BG4" s="3">
        <f>ALAS!G7</f>
        <v>0.41686880937942189</v>
      </c>
      <c r="BH4" s="3">
        <v>0.90774403395678427</v>
      </c>
      <c r="BI4" s="1"/>
    </row>
    <row r="5" spans="1:61" x14ac:dyDescent="0.25">
      <c r="A5" s="2">
        <f>[1]CONTROL_YEARS!A15</f>
        <v>2017</v>
      </c>
      <c r="B5" s="3">
        <v>7059537.3324824516</v>
      </c>
      <c r="C5" s="3">
        <v>6637377</v>
      </c>
      <c r="D5" s="3">
        <v>7059537.3324824516</v>
      </c>
      <c r="E5" s="3">
        <v>1268.2826929347732</v>
      </c>
      <c r="F5" s="3"/>
      <c r="G5" s="3">
        <v>171448.05</v>
      </c>
      <c r="H5" s="3">
        <v>0</v>
      </c>
      <c r="I5" s="3">
        <v>2600</v>
      </c>
      <c r="J5" s="3">
        <v>1496</v>
      </c>
      <c r="K5" s="3">
        <v>1563</v>
      </c>
      <c r="L5" s="3">
        <v>1268.2826929347732</v>
      </c>
      <c r="M5" s="3">
        <v>583140.12163152487</v>
      </c>
      <c r="N5" s="3">
        <v>705810.26667603827</v>
      </c>
      <c r="O5" s="3">
        <v>524626.61371430208</v>
      </c>
      <c r="P5" s="3">
        <v>634826.15987971856</v>
      </c>
      <c r="Q5" s="3">
        <v>188890.03302553401</v>
      </c>
      <c r="R5" s="3">
        <v>228635.66378328673</v>
      </c>
      <c r="S5" s="3">
        <v>183925.77434280523</v>
      </c>
      <c r="T5" s="3">
        <v>222612.53837899893</v>
      </c>
      <c r="U5" s="3">
        <v>2707543.233366847</v>
      </c>
      <c r="V5" s="3">
        <v>0.36955415776066286</v>
      </c>
      <c r="W5" s="3">
        <v>0.1856077343689114</v>
      </c>
      <c r="X5" s="3">
        <f>CRI!N11</f>
        <v>292.51975410124493</v>
      </c>
      <c r="Y5" s="3">
        <f>SWBC!AF5</f>
        <v>104376.24176957001</v>
      </c>
      <c r="Z5" s="4">
        <f t="shared" si="0"/>
        <v>0</v>
      </c>
      <c r="AA5" s="4">
        <f t="shared" si="1"/>
        <v>0</v>
      </c>
      <c r="AB5" s="4">
        <f t="shared" si="2"/>
        <v>0</v>
      </c>
      <c r="AC5" s="4">
        <f t="shared" si="3"/>
        <v>135.18125805475879</v>
      </c>
      <c r="AD5" s="4">
        <f t="shared" si="4"/>
        <v>2.5830693359741353E-2</v>
      </c>
      <c r="AE5" s="4">
        <f t="shared" si="5"/>
        <v>2.4286017896828816E-2</v>
      </c>
      <c r="AF5" s="4" t="str">
        <f t="shared" si="6"/>
        <v/>
      </c>
      <c r="AG5" s="4">
        <f t="shared" si="7"/>
        <v>0.73796791443850263</v>
      </c>
      <c r="AH5" s="1"/>
      <c r="AJ5" s="2">
        <f>[1]CONTROL_YEARS!A15</f>
        <v>2017</v>
      </c>
      <c r="AK5" s="4">
        <f t="shared" si="8"/>
        <v>482.62173243018134</v>
      </c>
      <c r="AL5" s="3">
        <v>556.50863219051871</v>
      </c>
      <c r="AM5" s="3">
        <v>500.53995328970967</v>
      </c>
      <c r="AN5" s="3">
        <v>459.7871790571815</v>
      </c>
      <c r="AO5" s="3">
        <v>413.65116518331547</v>
      </c>
      <c r="AP5" s="4">
        <f t="shared" si="9"/>
        <v>0.33727586313918034</v>
      </c>
      <c r="AQ5" s="3">
        <f t="shared" si="10"/>
        <v>0.32391877358232951</v>
      </c>
      <c r="AR5" s="3">
        <f t="shared" si="11"/>
        <v>0.32393360450823366</v>
      </c>
      <c r="AS5" s="3">
        <f t="shared" si="12"/>
        <v>0.3505841479154666</v>
      </c>
      <c r="AT5" s="3">
        <f t="shared" si="13"/>
        <v>0.3506669265506917</v>
      </c>
      <c r="AU5" s="4">
        <f t="shared" si="14"/>
        <v>0.76089644606145046</v>
      </c>
      <c r="AV5" s="3">
        <f t="shared" si="15"/>
        <v>0.69764364497570019</v>
      </c>
      <c r="AW5" s="3">
        <f t="shared" si="16"/>
        <v>0.84443956781800622</v>
      </c>
      <c r="AX5" s="3">
        <f t="shared" si="17"/>
        <v>0.67930872562316347</v>
      </c>
      <c r="AY5" s="3">
        <f t="shared" si="18"/>
        <v>0.82219384582893185</v>
      </c>
      <c r="AZ5" s="4">
        <f t="shared" si="19"/>
        <v>0.99818253804123991</v>
      </c>
      <c r="BA5" s="3">
        <f>ISF!X5</f>
        <v>1.088014247639411</v>
      </c>
      <c r="BB5" s="3">
        <f>ISF!Y5</f>
        <v>0.90835082844306891</v>
      </c>
      <c r="BC5" s="3">
        <f t="shared" si="20"/>
        <v>0.55516189212957423</v>
      </c>
      <c r="BD5" s="3">
        <v>0.55299896282606664</v>
      </c>
      <c r="BE5" s="3">
        <f t="shared" si="21"/>
        <v>0.1871527537435988</v>
      </c>
      <c r="BF5" s="3">
        <f t="shared" si="22"/>
        <v>82.29730039763146</v>
      </c>
      <c r="BG5" s="3">
        <f t="shared" ref="BG5:BG13" si="23">BG4</f>
        <v>0.41686880937942189</v>
      </c>
      <c r="BH5" s="3">
        <v>0.99163820023766347</v>
      </c>
      <c r="BI5" s="1"/>
    </row>
    <row r="6" spans="1:61" x14ac:dyDescent="0.25">
      <c r="A6" s="2">
        <f>[1]CONTROL_YEARS!A16</f>
        <v>2018</v>
      </c>
      <c r="B6" s="3">
        <v>5630773.2397362264</v>
      </c>
      <c r="C6" s="3">
        <v>5294053</v>
      </c>
      <c r="D6" s="3">
        <v>5630773.2397362264</v>
      </c>
      <c r="E6" s="3">
        <v>1308.1205405677213</v>
      </c>
      <c r="F6" s="3">
        <v>1247571.75</v>
      </c>
      <c r="G6" s="3">
        <v>144161.73000000001</v>
      </c>
      <c r="H6" s="3">
        <v>0</v>
      </c>
      <c r="I6" s="3">
        <v>2600</v>
      </c>
      <c r="J6" s="3">
        <v>1400</v>
      </c>
      <c r="K6" s="3">
        <v>1563</v>
      </c>
      <c r="L6" s="3">
        <v>1308.1205405677213</v>
      </c>
      <c r="M6" s="3">
        <v>493345.78136234527</v>
      </c>
      <c r="N6" s="3">
        <v>596941.67047665443</v>
      </c>
      <c r="O6" s="3">
        <v>455815.14118574519</v>
      </c>
      <c r="P6" s="3">
        <v>551461.64264114678</v>
      </c>
      <c r="Q6" s="3">
        <v>186783.84135959827</v>
      </c>
      <c r="R6" s="3">
        <v>226159.35556052128</v>
      </c>
      <c r="S6" s="3">
        <v>180174.58544639946</v>
      </c>
      <c r="T6" s="3">
        <v>218135.74609723399</v>
      </c>
      <c r="U6" s="3">
        <v>2623079.0437978404</v>
      </c>
      <c r="V6" s="3">
        <v>0.36955415776066286</v>
      </c>
      <c r="W6" s="3">
        <v>0.1856077343689114</v>
      </c>
      <c r="X6" s="3">
        <f>CRI!N12</f>
        <v>292.51975410124493</v>
      </c>
      <c r="Y6" s="3">
        <f>SWBC!AF6</f>
        <v>104246.77545639416</v>
      </c>
      <c r="Z6" s="4">
        <f t="shared" si="0"/>
        <v>953.71314134288934</v>
      </c>
      <c r="AA6" s="4">
        <f t="shared" si="1"/>
        <v>0.23565531927995431</v>
      </c>
      <c r="AB6" s="4">
        <f t="shared" si="2"/>
        <v>0.22156313118701304</v>
      </c>
      <c r="AC6" s="4">
        <f t="shared" si="3"/>
        <v>110.20523379094266</v>
      </c>
      <c r="AD6" s="4">
        <f t="shared" si="4"/>
        <v>2.7230881519319888E-2</v>
      </c>
      <c r="AE6" s="4">
        <f t="shared" si="5"/>
        <v>2.5602474804464558E-2</v>
      </c>
      <c r="AF6" s="4">
        <f t="shared" si="6"/>
        <v>0</v>
      </c>
      <c r="AG6" s="4">
        <f t="shared" si="7"/>
        <v>0.8571428571428571</v>
      </c>
      <c r="AH6" s="1"/>
      <c r="AJ6" s="2">
        <f>[1]CONTROL_YEARS!A16</f>
        <v>2018</v>
      </c>
      <c r="AK6" s="4">
        <f t="shared" si="8"/>
        <v>400.87365243029393</v>
      </c>
      <c r="AL6" s="3">
        <v>456.33536968816583</v>
      </c>
      <c r="AM6" s="3">
        <v>421.56791024916839</v>
      </c>
      <c r="AN6" s="3">
        <v>377.14091787614188</v>
      </c>
      <c r="AO6" s="3">
        <v>348.45041190769962</v>
      </c>
      <c r="AP6" s="4">
        <f t="shared" si="9"/>
        <v>0.38707723342781108</v>
      </c>
      <c r="AQ6" s="3">
        <f t="shared" si="10"/>
        <v>0.37860634146663974</v>
      </c>
      <c r="AR6" s="3">
        <f t="shared" si="11"/>
        <v>0.37886340784340677</v>
      </c>
      <c r="AS6" s="3">
        <f t="shared" si="12"/>
        <v>0.39527994830908458</v>
      </c>
      <c r="AT6" s="3">
        <f t="shared" si="13"/>
        <v>0.3955592360921133</v>
      </c>
      <c r="AU6" s="4">
        <f t="shared" si="14"/>
        <v>0.77318822166446699</v>
      </c>
      <c r="AV6" s="3">
        <f t="shared" si="15"/>
        <v>0.71207858490288656</v>
      </c>
      <c r="AW6" s="3">
        <f t="shared" si="16"/>
        <v>0.86219039451085366</v>
      </c>
      <c r="AX6" s="3">
        <f t="shared" si="17"/>
        <v>0.68688202847876301</v>
      </c>
      <c r="AY6" s="3">
        <f t="shared" si="18"/>
        <v>0.83160187876536451</v>
      </c>
      <c r="AZ6" s="4">
        <f t="shared" si="19"/>
        <v>1.0032589556721154</v>
      </c>
      <c r="BA6" s="3">
        <f>ISF!X6</f>
        <v>1.0937245704588543</v>
      </c>
      <c r="BB6" s="3">
        <f>ISF!Y6</f>
        <v>0.91279334088537656</v>
      </c>
      <c r="BC6" s="3">
        <f t="shared" si="20"/>
        <v>0.55516189212957423</v>
      </c>
      <c r="BD6" s="3">
        <v>0.55748011400458419</v>
      </c>
      <c r="BE6" s="3">
        <f t="shared" si="21"/>
        <v>0.1871527537435988</v>
      </c>
      <c r="BF6" s="3">
        <f t="shared" si="22"/>
        <v>79.692025485014781</v>
      </c>
      <c r="BG6" s="3">
        <f t="shared" si="23"/>
        <v>0.41686880937942189</v>
      </c>
      <c r="BH6" s="3">
        <v>1</v>
      </c>
      <c r="BI6" s="1"/>
    </row>
    <row r="7" spans="1:61" x14ac:dyDescent="0.25">
      <c r="A7" s="2">
        <f>[1]CONTROL_YEARS!A17</f>
        <v>2019</v>
      </c>
      <c r="B7" s="3">
        <v>6644251.2231440125</v>
      </c>
      <c r="C7" s="3">
        <v>6246925</v>
      </c>
      <c r="D7" s="3">
        <v>6644251.2231440125</v>
      </c>
      <c r="E7" s="3">
        <v>1300.2074765503171</v>
      </c>
      <c r="F7" s="3">
        <v>1522770</v>
      </c>
      <c r="G7" s="3">
        <v>195057.4</v>
      </c>
      <c r="H7" s="3">
        <v>0</v>
      </c>
      <c r="I7" s="3">
        <v>2600</v>
      </c>
      <c r="J7" s="3">
        <v>1410</v>
      </c>
      <c r="K7" s="3">
        <v>1563</v>
      </c>
      <c r="L7" s="3">
        <v>1300.2074765503171</v>
      </c>
      <c r="M7" s="3">
        <v>571298.62942957249</v>
      </c>
      <c r="N7" s="3">
        <v>690816.69652376731</v>
      </c>
      <c r="O7" s="3">
        <v>523147.98855291383</v>
      </c>
      <c r="P7" s="3">
        <v>632557.97390924639</v>
      </c>
      <c r="Q7" s="3">
        <v>182394.9403612841</v>
      </c>
      <c r="R7" s="3">
        <v>220586.08176634478</v>
      </c>
      <c r="S7" s="3">
        <v>176054.38763856664</v>
      </c>
      <c r="T7" s="3">
        <v>212896.55158264961</v>
      </c>
      <c r="U7" s="3">
        <v>2717956.881770337</v>
      </c>
      <c r="V7" s="3">
        <v>0.36955415776066286</v>
      </c>
      <c r="W7" s="3">
        <v>0.1856077343689114</v>
      </c>
      <c r="X7" s="3">
        <f>CRI!N13</f>
        <v>316.69939200142653</v>
      </c>
      <c r="Y7" s="3">
        <f>SWBC!AF7</f>
        <v>104816.3588627162</v>
      </c>
      <c r="Z7" s="4">
        <f t="shared" si="0"/>
        <v>1171.1746220996829</v>
      </c>
      <c r="AA7" s="4">
        <f t="shared" si="1"/>
        <v>0.24376313146067866</v>
      </c>
      <c r="AB7" s="4">
        <f t="shared" si="2"/>
        <v>0.22918609619933006</v>
      </c>
      <c r="AC7" s="4">
        <f t="shared" si="3"/>
        <v>150.02021101856926</v>
      </c>
      <c r="AD7" s="4">
        <f t="shared" si="4"/>
        <v>3.1224546476866618E-2</v>
      </c>
      <c r="AE7" s="4">
        <f t="shared" si="5"/>
        <v>2.9357318597549992E-2</v>
      </c>
      <c r="AF7" s="4">
        <f t="shared" si="6"/>
        <v>0</v>
      </c>
      <c r="AG7" s="4">
        <f t="shared" si="7"/>
        <v>0.84397163120567376</v>
      </c>
      <c r="AH7" s="1"/>
      <c r="AJ7" s="2">
        <f>[1]CONTROL_YEARS!A17</f>
        <v>2019</v>
      </c>
      <c r="AK7" s="4">
        <f t="shared" si="8"/>
        <v>464.89143694789624</v>
      </c>
      <c r="AL7" s="3">
        <v>531.31266277335021</v>
      </c>
      <c r="AM7" s="3">
        <v>486.50541188052216</v>
      </c>
      <c r="AN7" s="3">
        <v>439.39035864132234</v>
      </c>
      <c r="AO7" s="3">
        <v>402.35731449639019</v>
      </c>
      <c r="AP7" s="4">
        <f t="shared" si="9"/>
        <v>0.3279172772371331</v>
      </c>
      <c r="AQ7" s="3">
        <f t="shared" si="10"/>
        <v>0.31926374572857091</v>
      </c>
      <c r="AR7" s="3">
        <f t="shared" si="11"/>
        <v>0.31931203005999664</v>
      </c>
      <c r="AS7" s="3">
        <f t="shared" si="12"/>
        <v>0.33652884363667895</v>
      </c>
      <c r="AT7" s="3">
        <f t="shared" si="13"/>
        <v>0.33656448952328605</v>
      </c>
      <c r="AU7" s="4">
        <f t="shared" si="14"/>
        <v>0.72842579536528695</v>
      </c>
      <c r="AV7" s="3">
        <f t="shared" si="15"/>
        <v>0.67107370828665036</v>
      </c>
      <c r="AW7" s="3">
        <f t="shared" si="16"/>
        <v>0.8115878630961445</v>
      </c>
      <c r="AX7" s="3">
        <f t="shared" si="17"/>
        <v>0.64774532966061582</v>
      </c>
      <c r="AY7" s="3">
        <f t="shared" si="18"/>
        <v>0.78329628041773713</v>
      </c>
      <c r="AZ7" s="4">
        <f t="shared" si="19"/>
        <v>0.99871949108789382</v>
      </c>
      <c r="BA7" s="3">
        <f>ISF!X7</f>
        <v>1.0887075166430029</v>
      </c>
      <c r="BB7" s="3">
        <f>ISF!Y7</f>
        <v>0.90873146553278472</v>
      </c>
      <c r="BC7" s="3">
        <f t="shared" si="20"/>
        <v>0.55516189212957423</v>
      </c>
      <c r="BD7" s="3">
        <v>0.55765976178413035</v>
      </c>
      <c r="BE7" s="3">
        <f t="shared" si="21"/>
        <v>0.20262277159400291</v>
      </c>
      <c r="BF7" s="3">
        <f t="shared" si="22"/>
        <v>80.615102399512992</v>
      </c>
      <c r="BG7" s="3">
        <f t="shared" si="23"/>
        <v>0.41686880937942189</v>
      </c>
      <c r="BH7" s="3">
        <v>1</v>
      </c>
      <c r="BI7" s="1"/>
    </row>
    <row r="8" spans="1:61" x14ac:dyDescent="0.25">
      <c r="A8" s="2">
        <f>[1]CONTROL_YEARS!A18</f>
        <v>2020</v>
      </c>
      <c r="B8" s="3">
        <v>6331532.6526271012</v>
      </c>
      <c r="C8" s="3">
        <v>5952907</v>
      </c>
      <c r="D8" s="3">
        <v>6331532.6526271012</v>
      </c>
      <c r="E8" s="3">
        <v>1281.370354750235</v>
      </c>
      <c r="F8" s="3">
        <v>1501399</v>
      </c>
      <c r="G8" s="3">
        <v>171821.71</v>
      </c>
      <c r="H8" s="3">
        <v>0</v>
      </c>
      <c r="I8" s="3">
        <v>2600</v>
      </c>
      <c r="J8" s="3">
        <v>1406</v>
      </c>
      <c r="K8" s="3">
        <v>1563</v>
      </c>
      <c r="L8" s="3">
        <v>1281.370354750235</v>
      </c>
      <c r="M8" s="3">
        <v>517466.69055657601</v>
      </c>
      <c r="N8" s="3">
        <v>625434.90870099037</v>
      </c>
      <c r="O8" s="3">
        <v>483609.46731880278</v>
      </c>
      <c r="P8" s="3">
        <v>584458.5114371439</v>
      </c>
      <c r="Q8" s="3">
        <v>185606.59836724633</v>
      </c>
      <c r="R8" s="3">
        <v>224336.02956562719</v>
      </c>
      <c r="S8" s="3">
        <v>177116.82300138072</v>
      </c>
      <c r="T8" s="3">
        <v>214052.64341773855</v>
      </c>
      <c r="U8" s="3">
        <v>2701452.7545138407</v>
      </c>
      <c r="V8" s="3">
        <v>0.36048642517733354</v>
      </c>
      <c r="W8" s="3">
        <v>0.19945620022802496</v>
      </c>
      <c r="X8" s="3">
        <f>CRI!N14</f>
        <v>292.51975410124493</v>
      </c>
      <c r="Y8" s="3">
        <f>SWBC!AF8</f>
        <v>107220.46914983245</v>
      </c>
      <c r="Z8" s="4">
        <f t="shared" si="0"/>
        <v>1171.7135443582608</v>
      </c>
      <c r="AA8" s="4">
        <f t="shared" si="1"/>
        <v>0.25221274244667352</v>
      </c>
      <c r="AB8" s="4">
        <f t="shared" si="2"/>
        <v>0.23713042044836244</v>
      </c>
      <c r="AC8" s="4">
        <f t="shared" si="3"/>
        <v>134.09215326625181</v>
      </c>
      <c r="AD8" s="4">
        <f t="shared" si="4"/>
        <v>2.8863496439638651E-2</v>
      </c>
      <c r="AE8" s="4">
        <f t="shared" si="5"/>
        <v>2.7137459352548257E-2</v>
      </c>
      <c r="AF8" s="4">
        <f t="shared" si="6"/>
        <v>0</v>
      </c>
      <c r="AG8" s="4">
        <f t="shared" si="7"/>
        <v>0.84921763869132294</v>
      </c>
      <c r="AH8" s="1"/>
      <c r="AJ8" s="2">
        <f>[1]CONTROL_YEARS!A18</f>
        <v>2020</v>
      </c>
      <c r="AK8" s="4">
        <f t="shared" si="8"/>
        <v>431.36817740029494</v>
      </c>
      <c r="AL8" s="3">
        <v>488.0984692539576</v>
      </c>
      <c r="AM8" s="3">
        <v>456.11989482234173</v>
      </c>
      <c r="AN8" s="3">
        <v>403.83850667236698</v>
      </c>
      <c r="AO8" s="3">
        <v>377.4158388525135</v>
      </c>
      <c r="AP8" s="4">
        <f t="shared" si="9"/>
        <v>0.36246288771104057</v>
      </c>
      <c r="AQ8" s="3">
        <f t="shared" si="10"/>
        <v>0.35868318049150544</v>
      </c>
      <c r="AR8" s="3">
        <f t="shared" si="11"/>
        <v>0.35868805281682536</v>
      </c>
      <c r="AS8" s="3">
        <f t="shared" si="12"/>
        <v>0.36623936248258471</v>
      </c>
      <c r="AT8" s="3">
        <f t="shared" si="13"/>
        <v>0.36624095505324683</v>
      </c>
      <c r="AU8" s="4">
        <f t="shared" si="14"/>
        <v>0.7413715574087123</v>
      </c>
      <c r="AV8" s="3">
        <f t="shared" si="15"/>
        <v>0.68706216704000256</v>
      </c>
      <c r="AW8" s="3">
        <f t="shared" si="16"/>
        <v>0.83042736613026269</v>
      </c>
      <c r="AX8" s="3">
        <f t="shared" si="17"/>
        <v>0.65563546393856909</v>
      </c>
      <c r="AY8" s="3">
        <f t="shared" si="18"/>
        <v>0.7923612325260152</v>
      </c>
      <c r="AZ8" s="4">
        <f t="shared" si="19"/>
        <v>1.0122146914819721</v>
      </c>
      <c r="BA8" s="3">
        <f>ISF!X8</f>
        <v>1.10375425010019</v>
      </c>
      <c r="BB8" s="3">
        <f>ISF!Y8</f>
        <v>0.92067513286375424</v>
      </c>
      <c r="BC8" s="3">
        <f t="shared" si="20"/>
        <v>0.55994262540535855</v>
      </c>
      <c r="BD8" s="3">
        <v>0.54353886211674873</v>
      </c>
      <c r="BE8" s="3">
        <f t="shared" si="21"/>
        <v>0.1871527537435988</v>
      </c>
      <c r="BF8" s="3">
        <f t="shared" si="22"/>
        <v>83.676408426611275</v>
      </c>
      <c r="BG8" s="3">
        <f t="shared" si="23"/>
        <v>0.41686880937942189</v>
      </c>
      <c r="BH8" s="3">
        <v>0.94883683706907995</v>
      </c>
      <c r="BI8" s="1"/>
    </row>
    <row r="9" spans="1:61" x14ac:dyDescent="0.25">
      <c r="A9" s="2">
        <f>[1]CONTROL_YEARS!A19</f>
        <v>2021</v>
      </c>
      <c r="B9" s="3">
        <v>6070613.6992129339</v>
      </c>
      <c r="C9" s="3">
        <v>5707591</v>
      </c>
      <c r="D9" s="3">
        <v>6070613.6992129339</v>
      </c>
      <c r="E9" s="3">
        <v>1267.9013202162944</v>
      </c>
      <c r="F9" s="3">
        <v>1370300.75</v>
      </c>
      <c r="G9" s="3">
        <v>160490.29</v>
      </c>
      <c r="H9" s="3">
        <v>0</v>
      </c>
      <c r="I9" s="3">
        <v>2600</v>
      </c>
      <c r="J9" s="3">
        <v>1521</v>
      </c>
      <c r="K9" s="3">
        <v>1563</v>
      </c>
      <c r="L9" s="3">
        <v>1267.9013202162944</v>
      </c>
      <c r="M9" s="3">
        <v>581074.75749890483</v>
      </c>
      <c r="N9" s="3">
        <v>702431.36455780256</v>
      </c>
      <c r="O9" s="3">
        <v>523703.72306462622</v>
      </c>
      <c r="P9" s="3">
        <v>632995.0073284622</v>
      </c>
      <c r="Q9" s="3">
        <v>192882.9457879719</v>
      </c>
      <c r="R9" s="3">
        <v>233285.00991702976</v>
      </c>
      <c r="S9" s="3">
        <v>188686.5405430659</v>
      </c>
      <c r="T9" s="3">
        <v>228206.11468269982</v>
      </c>
      <c r="U9" s="3">
        <v>2955003.0200547399</v>
      </c>
      <c r="V9" s="3">
        <v>0.37808621632463907</v>
      </c>
      <c r="W9" s="3">
        <v>0.17257736314375971</v>
      </c>
      <c r="X9" s="3">
        <f>CRI!N15</f>
        <v>189.18405084374993</v>
      </c>
      <c r="Y9" s="3">
        <f>SWBC!AF9</f>
        <v>100568.81234686336</v>
      </c>
      <c r="Z9" s="4">
        <f t="shared" si="0"/>
        <v>1080.7629333221587</v>
      </c>
      <c r="AA9" s="4">
        <f t="shared" si="1"/>
        <v>0.24008390755399256</v>
      </c>
      <c r="AB9" s="4">
        <f t="shared" si="2"/>
        <v>0.2257268898822638</v>
      </c>
      <c r="AC9" s="4">
        <f t="shared" si="3"/>
        <v>126.57948015435585</v>
      </c>
      <c r="AD9" s="4">
        <f t="shared" si="4"/>
        <v>2.8118743967463684E-2</v>
      </c>
      <c r="AE9" s="4">
        <f t="shared" si="5"/>
        <v>2.6437243078209351E-2</v>
      </c>
      <c r="AF9" s="4">
        <f t="shared" si="6"/>
        <v>0</v>
      </c>
      <c r="AG9" s="4">
        <f t="shared" si="7"/>
        <v>0.70940170940170943</v>
      </c>
      <c r="AH9" s="1"/>
      <c r="AJ9" s="2">
        <f>[1]CONTROL_YEARS!A19</f>
        <v>2021</v>
      </c>
      <c r="AK9" s="4">
        <f t="shared" si="8"/>
        <v>481.1503887450632</v>
      </c>
      <c r="AL9" s="3">
        <v>554.01106802063509</v>
      </c>
      <c r="AM9" s="3">
        <v>499.24627195788236</v>
      </c>
      <c r="AN9" s="3">
        <v>458.29651585170512</v>
      </c>
      <c r="AO9" s="3">
        <v>413.04769915003033</v>
      </c>
      <c r="AP9" s="4">
        <f t="shared" si="9"/>
        <v>0.3462157559170298</v>
      </c>
      <c r="AQ9" s="3">
        <f t="shared" si="10"/>
        <v>0.33194170508832582</v>
      </c>
      <c r="AR9" s="3">
        <f t="shared" si="11"/>
        <v>0.33211075371597093</v>
      </c>
      <c r="AS9" s="3">
        <f t="shared" si="12"/>
        <v>0.36029253227168972</v>
      </c>
      <c r="AT9" s="3">
        <f t="shared" si="13"/>
        <v>0.36051803259213272</v>
      </c>
      <c r="AU9" s="4">
        <f t="shared" si="14"/>
        <v>0.71324851887558316</v>
      </c>
      <c r="AV9" s="3">
        <f t="shared" si="15"/>
        <v>0.65273349799960212</v>
      </c>
      <c r="AW9" s="3">
        <f t="shared" si="16"/>
        <v>0.78945777156162855</v>
      </c>
      <c r="AX9" s="3">
        <f t="shared" si="17"/>
        <v>0.63853247953557279</v>
      </c>
      <c r="AY9" s="3">
        <f t="shared" si="18"/>
        <v>0.77227032640552917</v>
      </c>
      <c r="AZ9" s="4">
        <f t="shared" si="19"/>
        <v>1.0469067090437436</v>
      </c>
      <c r="BA9" s="3">
        <f>ISF!X9</f>
        <v>1.1420468240739958</v>
      </c>
      <c r="BB9" s="3">
        <f>ISF!Y9</f>
        <v>0.95176659401349117</v>
      </c>
      <c r="BC9" s="3">
        <f t="shared" si="20"/>
        <v>0.55066357946839872</v>
      </c>
      <c r="BD9" s="3">
        <v>0.55486945066359095</v>
      </c>
      <c r="BE9" s="3">
        <f t="shared" si="21"/>
        <v>0.12103906004078691</v>
      </c>
      <c r="BF9" s="3">
        <f t="shared" si="22"/>
        <v>79.319116356552954</v>
      </c>
      <c r="BG9" s="3">
        <f t="shared" si="23"/>
        <v>0.41686880937942189</v>
      </c>
      <c r="BH9" s="3">
        <v>0.98958161186994997</v>
      </c>
      <c r="BI9" s="1"/>
    </row>
    <row r="10" spans="1:61" x14ac:dyDescent="0.25">
      <c r="A10" s="2">
        <f>[1]CONTROL_YEARS!A20</f>
        <v>2022</v>
      </c>
      <c r="B10" s="3">
        <v>7065031.9081046591</v>
      </c>
      <c r="C10" s="3">
        <v>6642543</v>
      </c>
      <c r="D10" s="3">
        <v>7065031.9081046591</v>
      </c>
      <c r="E10" s="3">
        <v>1495.446535021812</v>
      </c>
      <c r="F10" s="3">
        <v>1589106.5</v>
      </c>
      <c r="G10" s="3">
        <v>115521.7</v>
      </c>
      <c r="H10" s="3">
        <v>0</v>
      </c>
      <c r="I10" s="3">
        <v>2600</v>
      </c>
      <c r="J10" s="3">
        <v>1680</v>
      </c>
      <c r="K10" s="3">
        <v>1978.8</v>
      </c>
      <c r="L10" s="3">
        <v>1495.446535021812</v>
      </c>
      <c r="M10" s="3">
        <v>672842.37404730357</v>
      </c>
      <c r="N10" s="3">
        <v>810847.22226213512</v>
      </c>
      <c r="O10" s="3">
        <v>629299.93269836751</v>
      </c>
      <c r="P10" s="3">
        <v>758260.43771591689</v>
      </c>
      <c r="Q10" s="3">
        <v>230617.82466988571</v>
      </c>
      <c r="R10" s="3">
        <v>278024.38126694347</v>
      </c>
      <c r="S10" s="3">
        <v>223308.58036548586</v>
      </c>
      <c r="T10" s="3">
        <v>269204.38101558626</v>
      </c>
      <c r="U10" s="3">
        <v>3512919.887837586</v>
      </c>
      <c r="V10" s="3">
        <v>0.33556877992715933</v>
      </c>
      <c r="W10" s="3">
        <v>0.23286217642418855</v>
      </c>
      <c r="X10" s="3">
        <f>CRI!N16</f>
        <v>355.71492810770428</v>
      </c>
      <c r="Y10" s="3">
        <f>SWBC!AF10</f>
        <v>113675.69269075853</v>
      </c>
      <c r="Z10" s="4">
        <f t="shared" si="0"/>
        <v>1062.6300992946042</v>
      </c>
      <c r="AA10" s="4">
        <f t="shared" si="1"/>
        <v>0.2392316466750761</v>
      </c>
      <c r="AB10" s="4">
        <f t="shared" si="2"/>
        <v>0.22492559420390654</v>
      </c>
      <c r="AC10" s="4">
        <f t="shared" si="3"/>
        <v>77.248966977154453</v>
      </c>
      <c r="AD10" s="4">
        <f t="shared" si="4"/>
        <v>1.7391185875650333E-2</v>
      </c>
      <c r="AE10" s="4">
        <f t="shared" si="5"/>
        <v>1.6351192960286445E-2</v>
      </c>
      <c r="AF10" s="4">
        <f t="shared" si="6"/>
        <v>0</v>
      </c>
      <c r="AG10" s="4">
        <f t="shared" si="7"/>
        <v>0.54761904761904767</v>
      </c>
      <c r="AH10" s="1"/>
      <c r="AJ10" s="2">
        <f>[1]CONTROL_YEARS!A20</f>
        <v>2022</v>
      </c>
      <c r="AK10" s="4">
        <f t="shared" si="8"/>
        <v>479.99876616816738</v>
      </c>
      <c r="AL10" s="3">
        <v>542.21077335292932</v>
      </c>
      <c r="AM10" s="3">
        <v>507.046169794935</v>
      </c>
      <c r="AN10" s="3">
        <v>449.92740180944668</v>
      </c>
      <c r="AO10" s="3">
        <v>420.81071971535835</v>
      </c>
      <c r="AP10" s="4">
        <f t="shared" si="9"/>
        <v>0.34887856833892966</v>
      </c>
      <c r="AQ10" s="3">
        <f t="shared" si="10"/>
        <v>0.34275163628988731</v>
      </c>
      <c r="AR10" s="3">
        <f t="shared" si="11"/>
        <v>0.34288133896703693</v>
      </c>
      <c r="AS10" s="3">
        <f t="shared" si="12"/>
        <v>0.35485238240526057</v>
      </c>
      <c r="AT10" s="3">
        <f t="shared" si="13"/>
        <v>0.35502891569353373</v>
      </c>
      <c r="AU10" s="4">
        <f t="shared" si="14"/>
        <v>0.71248078470569154</v>
      </c>
      <c r="AV10" s="3">
        <f t="shared" si="15"/>
        <v>0.65648472505259692</v>
      </c>
      <c r="AW10" s="3">
        <f t="shared" si="16"/>
        <v>0.79143387877850024</v>
      </c>
      <c r="AX10" s="3">
        <f t="shared" si="17"/>
        <v>0.63567797585883967</v>
      </c>
      <c r="AY10" s="3">
        <f t="shared" si="18"/>
        <v>0.76632655913282943</v>
      </c>
      <c r="AZ10" s="4">
        <f t="shared" si="19"/>
        <v>1.0277026320428202</v>
      </c>
      <c r="BA10" s="3">
        <f>ISF!X10</f>
        <v>1.1212707534885944</v>
      </c>
      <c r="BB10" s="3">
        <f>ISF!Y10</f>
        <v>0.934134510597046</v>
      </c>
      <c r="BC10" s="3">
        <f t="shared" si="20"/>
        <v>0.56843095635134788</v>
      </c>
      <c r="BD10" s="3">
        <v>0.54461098528685847</v>
      </c>
      <c r="BE10" s="3">
        <f t="shared" si="21"/>
        <v>0.17976295133803533</v>
      </c>
      <c r="BF10" s="3">
        <f t="shared" si="22"/>
        <v>76.014548182493527</v>
      </c>
      <c r="BG10" s="3">
        <f t="shared" si="23"/>
        <v>0.41686880937942189</v>
      </c>
      <c r="BH10" s="3">
        <v>1</v>
      </c>
      <c r="BI10" s="1"/>
    </row>
    <row r="11" spans="1:61" x14ac:dyDescent="0.25">
      <c r="A11" s="2">
        <f>[1]CONTROL_YEARS!A21</f>
        <v>2023</v>
      </c>
      <c r="B11" s="3">
        <v>8105353.1163582224</v>
      </c>
      <c r="C11" s="3">
        <v>7620653</v>
      </c>
      <c r="D11" s="3">
        <v>8105353.1163582224</v>
      </c>
      <c r="E11" s="3">
        <v>1552.8369694552773</v>
      </c>
      <c r="F11" s="3">
        <v>1787288.25</v>
      </c>
      <c r="G11" s="3">
        <v>212833.77</v>
      </c>
      <c r="H11" s="3">
        <v>0</v>
      </c>
      <c r="I11" s="3">
        <v>2600</v>
      </c>
      <c r="J11" s="3">
        <v>1480</v>
      </c>
      <c r="K11" s="3">
        <v>1978.8</v>
      </c>
      <c r="L11" s="3">
        <v>1552.8369694552773</v>
      </c>
      <c r="M11" s="3">
        <v>757045.92599762464</v>
      </c>
      <c r="N11" s="3">
        <v>912016.36034416524</v>
      </c>
      <c r="O11" s="3">
        <v>669408.27430275118</v>
      </c>
      <c r="P11" s="3">
        <v>805896.10648633097</v>
      </c>
      <c r="Q11" s="3">
        <v>229048.60374141042</v>
      </c>
      <c r="R11" s="3">
        <v>276006.02002827707</v>
      </c>
      <c r="S11" s="3">
        <v>220383.38414536649</v>
      </c>
      <c r="T11" s="3">
        <v>265545.18386236322</v>
      </c>
      <c r="U11" s="3">
        <v>3060818.5102995997</v>
      </c>
      <c r="V11" s="3">
        <v>0.3003801111556591</v>
      </c>
      <c r="W11" s="3">
        <v>0.28333860803499406</v>
      </c>
      <c r="X11" s="3">
        <f>CRI!N17</f>
        <v>480.35597286397439</v>
      </c>
      <c r="Y11" s="3">
        <f>SWBC!AF11</f>
        <v>119317.91053887921</v>
      </c>
      <c r="Z11" s="4">
        <f t="shared" si="0"/>
        <v>1150.982546884472</v>
      </c>
      <c r="AA11" s="4">
        <f t="shared" si="1"/>
        <v>0.2345321654194201</v>
      </c>
      <c r="AB11" s="4">
        <f t="shared" si="2"/>
        <v>0.22050714192733875</v>
      </c>
      <c r="AC11" s="4">
        <f t="shared" si="3"/>
        <v>137.06124608474536</v>
      </c>
      <c r="AD11" s="4">
        <f t="shared" si="4"/>
        <v>2.7928547592968738E-2</v>
      </c>
      <c r="AE11" s="4">
        <f t="shared" si="5"/>
        <v>2.6258420446909205E-2</v>
      </c>
      <c r="AF11" s="4">
        <f t="shared" si="6"/>
        <v>0</v>
      </c>
      <c r="AG11" s="4">
        <f t="shared" si="7"/>
        <v>0.7567567567567568</v>
      </c>
      <c r="AH11" s="1"/>
      <c r="AJ11" s="2">
        <f>[1]CONTROL_YEARS!A21</f>
        <v>2023</v>
      </c>
      <c r="AK11" s="4">
        <f t="shared" si="8"/>
        <v>506.22936099883856</v>
      </c>
      <c r="AL11" s="3">
        <v>587.32267345753189</v>
      </c>
      <c r="AM11" s="3">
        <v>518.98307571143982</v>
      </c>
      <c r="AN11" s="3">
        <v>487.52440912273636</v>
      </c>
      <c r="AO11" s="3">
        <v>431.08728570364616</v>
      </c>
      <c r="AP11" s="4">
        <f t="shared" si="9"/>
        <v>0.31597817268449846</v>
      </c>
      <c r="AQ11" s="3">
        <f t="shared" si="10"/>
        <v>0.30255575768348975</v>
      </c>
      <c r="AR11" s="3">
        <f t="shared" si="11"/>
        <v>0.30263275093455716</v>
      </c>
      <c r="AS11" s="3">
        <f t="shared" si="12"/>
        <v>0.32922118325309851</v>
      </c>
      <c r="AT11" s="3">
        <f t="shared" si="13"/>
        <v>0.32950299886684858</v>
      </c>
      <c r="AU11" s="4">
        <f t="shared" si="14"/>
        <v>0.80941028391815495</v>
      </c>
      <c r="AV11" s="3">
        <f t="shared" si="15"/>
        <v>0.74832468168454269</v>
      </c>
      <c r="AW11" s="3">
        <f t="shared" si="16"/>
        <v>0.9017392540574416</v>
      </c>
      <c r="AX11" s="3">
        <f t="shared" si="17"/>
        <v>0.72001454318111424</v>
      </c>
      <c r="AY11" s="3">
        <f t="shared" si="18"/>
        <v>0.86756265674952115</v>
      </c>
      <c r="AZ11" s="4">
        <f t="shared" si="19"/>
        <v>0.98955180552375355</v>
      </c>
      <c r="BA11" s="3">
        <f>ISF!X11</f>
        <v>1.0789505078917287</v>
      </c>
      <c r="BB11" s="3">
        <f>ISF!Y11</f>
        <v>0.90015310315577834</v>
      </c>
      <c r="BC11" s="3">
        <f t="shared" si="20"/>
        <v>0.58371871919065321</v>
      </c>
      <c r="BD11" s="3">
        <v>0.53718610879616346</v>
      </c>
      <c r="BE11" s="3">
        <f t="shared" si="21"/>
        <v>0.24275114860722377</v>
      </c>
      <c r="BF11" s="3">
        <f t="shared" si="22"/>
        <v>76.838659103237973</v>
      </c>
      <c r="BG11" s="3">
        <f t="shared" si="23"/>
        <v>0.41686880937942189</v>
      </c>
      <c r="BH11" s="3">
        <v>0.99184776446104894</v>
      </c>
      <c r="BI11" s="1"/>
    </row>
    <row r="12" spans="1:61" x14ac:dyDescent="0.25">
      <c r="A12" s="2">
        <f>[1]CONTROL_YEARS!A22</f>
        <v>2024</v>
      </c>
      <c r="B12" s="3">
        <v>7165430.7594128912</v>
      </c>
      <c r="C12" s="3">
        <v>6736938</v>
      </c>
      <c r="D12" s="3">
        <v>7165430.7594128912</v>
      </c>
      <c r="E12" s="3">
        <v>1560.0146730784852</v>
      </c>
      <c r="F12" s="3">
        <v>1521350.25</v>
      </c>
      <c r="G12" s="3">
        <v>236077.79</v>
      </c>
      <c r="H12" s="3">
        <v>0</v>
      </c>
      <c r="I12" s="3">
        <v>2600</v>
      </c>
      <c r="J12" s="3">
        <v>1335</v>
      </c>
      <c r="K12" s="3">
        <v>1978.8</v>
      </c>
      <c r="L12" s="3">
        <v>1560.0146730784852</v>
      </c>
      <c r="M12" s="3">
        <v>593376.1737456033</v>
      </c>
      <c r="N12" s="3">
        <v>713753.09458667727</v>
      </c>
      <c r="O12" s="3">
        <v>553546.86431436834</v>
      </c>
      <c r="P12" s="3">
        <v>665697.93483587704</v>
      </c>
      <c r="Q12" s="3">
        <v>206241.45789553272</v>
      </c>
      <c r="R12" s="3">
        <v>248459.29839326852</v>
      </c>
      <c r="S12" s="3">
        <v>200125.25103880456</v>
      </c>
      <c r="T12" s="3">
        <v>241071.83630604477</v>
      </c>
      <c r="U12" s="3">
        <v>2864548.8842164096</v>
      </c>
      <c r="V12" s="3">
        <v>0.28948530838281228</v>
      </c>
      <c r="W12" s="3">
        <v>0.29912147455247784</v>
      </c>
      <c r="X12" s="3">
        <f>CRI!N18</f>
        <v>477.41639465017874</v>
      </c>
      <c r="Y12" s="3">
        <f>SWBC!AF12</f>
        <v>120519.97333483949</v>
      </c>
      <c r="Z12" s="4">
        <f t="shared" si="0"/>
        <v>975.21534653120534</v>
      </c>
      <c r="AA12" s="4">
        <f t="shared" si="1"/>
        <v>0.22582221329630761</v>
      </c>
      <c r="AB12" s="4">
        <f t="shared" si="2"/>
        <v>0.21231804494118842</v>
      </c>
      <c r="AC12" s="4">
        <f t="shared" si="3"/>
        <v>151.33049327935572</v>
      </c>
      <c r="AD12" s="4">
        <f t="shared" si="4"/>
        <v>3.50422981479123E-2</v>
      </c>
      <c r="AE12" s="4">
        <f t="shared" si="5"/>
        <v>3.2946768718667148E-2</v>
      </c>
      <c r="AF12" s="4">
        <f t="shared" si="6"/>
        <v>0</v>
      </c>
      <c r="AG12" s="4">
        <f t="shared" si="7"/>
        <v>0.94756554307116103</v>
      </c>
      <c r="AH12" s="1"/>
      <c r="AJ12" s="2">
        <f>[1]CONTROL_YEARS!A22</f>
        <v>2024</v>
      </c>
      <c r="AK12" s="4">
        <f t="shared" si="8"/>
        <v>404.86383094350265</v>
      </c>
      <c r="AL12" s="3">
        <v>457.52973154936984</v>
      </c>
      <c r="AM12" s="3">
        <v>426.72543170520896</v>
      </c>
      <c r="AN12" s="3">
        <v>380.36576449287679</v>
      </c>
      <c r="AO12" s="3">
        <v>354.83439602655528</v>
      </c>
      <c r="AP12" s="4">
        <f t="shared" si="9"/>
        <v>0.3548355123155652</v>
      </c>
      <c r="AQ12" s="3">
        <f t="shared" si="10"/>
        <v>0.34757286696171613</v>
      </c>
      <c r="AR12" s="3">
        <f t="shared" si="11"/>
        <v>0.34810258656342113</v>
      </c>
      <c r="AS12" s="3">
        <f t="shared" si="12"/>
        <v>0.36153262522168339</v>
      </c>
      <c r="AT12" s="3">
        <f t="shared" si="13"/>
        <v>0.36213397051544</v>
      </c>
      <c r="AU12" s="4">
        <f t="shared" si="14"/>
        <v>0.78188388455336244</v>
      </c>
      <c r="AV12" s="3">
        <f t="shared" si="15"/>
        <v>0.71997883866432799</v>
      </c>
      <c r="AW12" s="3">
        <f t="shared" si="16"/>
        <v>0.86735925423466442</v>
      </c>
      <c r="AX12" s="3">
        <f t="shared" si="17"/>
        <v>0.69862745977731266</v>
      </c>
      <c r="AY12" s="3">
        <f t="shared" si="18"/>
        <v>0.84156998553714468</v>
      </c>
      <c r="AZ12" s="4">
        <f t="shared" si="19"/>
        <v>0.99877192951032678</v>
      </c>
      <c r="BA12" s="3">
        <f>ISF!X12</f>
        <v>1.0892734513467999</v>
      </c>
      <c r="BB12" s="3">
        <f>ISF!Y12</f>
        <v>0.90827040767385381</v>
      </c>
      <c r="BC12" s="3">
        <f t="shared" si="20"/>
        <v>0.58860678293529012</v>
      </c>
      <c r="BD12" s="3">
        <v>0.53393449636806356</v>
      </c>
      <c r="BE12" s="3">
        <f t="shared" si="21"/>
        <v>0.2412656128209919</v>
      </c>
      <c r="BF12" s="3">
        <f t="shared" si="22"/>
        <v>77.255666510500873</v>
      </c>
      <c r="BG12" s="3">
        <f t="shared" si="23"/>
        <v>0.41686880937942189</v>
      </c>
      <c r="BH12" s="3">
        <v>0.91166330779459448</v>
      </c>
      <c r="BI12" s="1"/>
    </row>
    <row r="13" spans="1:61" x14ac:dyDescent="0.25">
      <c r="A13" s="2">
        <f>[1]CONTROL_YEARS!A23</f>
        <v>2025</v>
      </c>
      <c r="B13" s="3">
        <v>7321800.6807062337</v>
      </c>
      <c r="C13" s="3">
        <v>6883957</v>
      </c>
      <c r="D13" s="3">
        <v>7321800.6807062337</v>
      </c>
      <c r="E13" s="3">
        <v>1483.9114781177777</v>
      </c>
      <c r="F13" s="3">
        <v>1139604</v>
      </c>
      <c r="G13" s="3">
        <v>178991.02</v>
      </c>
      <c r="H13" s="3">
        <v>105508</v>
      </c>
      <c r="I13" s="3">
        <v>2600</v>
      </c>
      <c r="J13" s="3">
        <v>1347</v>
      </c>
      <c r="K13" s="3">
        <v>1978.8</v>
      </c>
      <c r="L13" s="3">
        <v>1483.9114781177777</v>
      </c>
      <c r="M13" s="3">
        <v>649854.0926389232</v>
      </c>
      <c r="N13" s="3">
        <v>782806.31462529546</v>
      </c>
      <c r="O13" s="3">
        <v>612408.70095733344</v>
      </c>
      <c r="P13" s="3">
        <v>737512.96846123505</v>
      </c>
      <c r="Q13" s="3">
        <v>212111.84398379619</v>
      </c>
      <c r="R13" s="3">
        <v>255862.11451878375</v>
      </c>
      <c r="S13" s="3">
        <v>206367.57111378328</v>
      </c>
      <c r="T13" s="3">
        <v>248904.71702140523</v>
      </c>
      <c r="U13" s="3">
        <v>2890713.8604460629</v>
      </c>
      <c r="V13" s="3">
        <v>0.29513880587942598</v>
      </c>
      <c r="W13" s="3">
        <v>0.29634489540375575</v>
      </c>
      <c r="X13" s="3">
        <f>CRI!N19</f>
        <v>477.41639465017874</v>
      </c>
      <c r="Y13" s="3">
        <f>SWBC!AF13</f>
        <v>121535.65568481896</v>
      </c>
      <c r="Z13" s="4">
        <f t="shared" si="0"/>
        <v>767.9730339747058</v>
      </c>
      <c r="AA13" s="4">
        <f t="shared" si="1"/>
        <v>0.16554490389756937</v>
      </c>
      <c r="AB13" s="4">
        <f t="shared" si="2"/>
        <v>0.15564531864449471</v>
      </c>
      <c r="AC13" s="4">
        <f t="shared" si="3"/>
        <v>120.62109003094692</v>
      </c>
      <c r="AD13" s="4">
        <f t="shared" si="4"/>
        <v>2.6001182168918252E-2</v>
      </c>
      <c r="AE13" s="4">
        <f t="shared" si="5"/>
        <v>2.4446311475216937E-2</v>
      </c>
      <c r="AF13" s="4">
        <f t="shared" si="6"/>
        <v>9.2583037616575589E-2</v>
      </c>
      <c r="AG13" s="4">
        <f t="shared" si="7"/>
        <v>0.93021529324424646</v>
      </c>
      <c r="AH13" s="1"/>
      <c r="AJ13" s="2">
        <f>[1]CONTROL_YEARS!A23</f>
        <v>2025</v>
      </c>
      <c r="AK13" s="4">
        <f t="shared" si="8"/>
        <v>468.79179076980188</v>
      </c>
      <c r="AL13" s="3">
        <v>527.52898415357106</v>
      </c>
      <c r="AM13" s="3">
        <v>497.00604068155798</v>
      </c>
      <c r="AN13" s="3">
        <v>437.93319360479023</v>
      </c>
      <c r="AO13" s="3">
        <v>412.69894463928847</v>
      </c>
      <c r="AP13" s="4">
        <f t="shared" si="9"/>
        <v>0.33193010858712813</v>
      </c>
      <c r="AQ13" s="3">
        <f t="shared" si="10"/>
        <v>0.32639918158005871</v>
      </c>
      <c r="AR13" s="3">
        <f t="shared" si="11"/>
        <v>0.32685238958663337</v>
      </c>
      <c r="AS13" s="3">
        <f t="shared" si="12"/>
        <v>0.33697687637550555</v>
      </c>
      <c r="AT13" s="3">
        <f t="shared" si="13"/>
        <v>0.33749198680631481</v>
      </c>
      <c r="AU13" s="4">
        <f t="shared" si="14"/>
        <v>0.79845869498763133</v>
      </c>
      <c r="AV13" s="3">
        <f t="shared" si="15"/>
        <v>0.73376976838193675</v>
      </c>
      <c r="AW13" s="3">
        <f t="shared" si="16"/>
        <v>0.88511740307393116</v>
      </c>
      <c r="AX13" s="3">
        <f t="shared" si="17"/>
        <v>0.71389830013109268</v>
      </c>
      <c r="AY13" s="3">
        <f t="shared" si="18"/>
        <v>0.86104930836356464</v>
      </c>
      <c r="AZ13" s="4">
        <f t="shared" si="19"/>
        <v>0.99662188972699206</v>
      </c>
      <c r="BA13" s="3">
        <f>ISF!X13</f>
        <v>1.0867613308126987</v>
      </c>
      <c r="BB13" s="3">
        <f>ISF!Y13</f>
        <v>0.90648244864128535</v>
      </c>
      <c r="BC13" s="3">
        <f t="shared" si="20"/>
        <v>0.59148370128318173</v>
      </c>
      <c r="BD13" s="3">
        <v>0.54493570459504248</v>
      </c>
      <c r="BE13" s="3">
        <f t="shared" si="21"/>
        <v>0.2412656128209919</v>
      </c>
      <c r="BF13" s="3">
        <f t="shared" si="22"/>
        <v>81.902227644318216</v>
      </c>
      <c r="BG13" s="3">
        <f t="shared" si="23"/>
        <v>0.41686880937942189</v>
      </c>
      <c r="BH13" s="3">
        <v>0.94033576599932711</v>
      </c>
      <c r="BI13" s="1"/>
    </row>
    <row r="14" spans="1:61" x14ac:dyDescent="0.25">
      <c r="A14" s="2" t="str">
        <f>[1]CONTROL_YEARS!A24</f>
        <v/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2" t="str">
        <f t="shared" si="0"/>
        <v/>
      </c>
      <c r="AA14" s="2" t="str">
        <f t="shared" si="1"/>
        <v/>
      </c>
      <c r="AB14" s="2" t="str">
        <f t="shared" si="2"/>
        <v/>
      </c>
      <c r="AC14" s="2" t="str">
        <f t="shared" si="3"/>
        <v/>
      </c>
      <c r="AD14" s="2" t="str">
        <f t="shared" si="4"/>
        <v/>
      </c>
      <c r="AE14" s="2" t="str">
        <f t="shared" si="5"/>
        <v/>
      </c>
      <c r="AF14" s="2" t="str">
        <f t="shared" si="6"/>
        <v/>
      </c>
      <c r="AG14" s="2" t="str">
        <f t="shared" si="7"/>
        <v/>
      </c>
      <c r="AH14" s="1"/>
      <c r="AJ14" s="2" t="str">
        <f>[1]CONTROL_YEARS!A24</f>
        <v/>
      </c>
      <c r="AK14" s="2" t="str">
        <f t="shared" si="8"/>
        <v/>
      </c>
      <c r="AL14" s="1"/>
      <c r="AM14" s="1"/>
      <c r="AN14" s="1"/>
      <c r="AO14" s="1"/>
      <c r="AP14" s="2" t="str">
        <f t="shared" si="9"/>
        <v/>
      </c>
      <c r="AQ14" s="1"/>
      <c r="AR14" s="1"/>
      <c r="AS14" s="1"/>
      <c r="AT14" s="1"/>
      <c r="AU14" s="2" t="str">
        <f t="shared" si="14"/>
        <v/>
      </c>
      <c r="AV14" s="1"/>
      <c r="AW14" s="1"/>
      <c r="AX14" s="1"/>
      <c r="AY14" s="1"/>
      <c r="AZ14" s="2" t="str">
        <f t="shared" si="19"/>
        <v/>
      </c>
      <c r="BA14" s="1"/>
      <c r="BB14" s="1"/>
      <c r="BC14" s="1"/>
      <c r="BD14" s="1"/>
      <c r="BE14" s="1"/>
      <c r="BF14" s="1"/>
      <c r="BG14" s="1"/>
      <c r="BH14" s="1"/>
      <c r="BI14" s="1"/>
    </row>
    <row r="15" spans="1:61" x14ac:dyDescent="0.25">
      <c r="A15" s="2" t="str">
        <f>[1]CONTROL_YEARS!A25</f>
        <v/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2" t="str">
        <f t="shared" si="0"/>
        <v/>
      </c>
      <c r="AA15" s="2" t="str">
        <f t="shared" si="1"/>
        <v/>
      </c>
      <c r="AB15" s="2" t="str">
        <f t="shared" si="2"/>
        <v/>
      </c>
      <c r="AC15" s="2" t="str">
        <f t="shared" si="3"/>
        <v/>
      </c>
      <c r="AD15" s="2" t="str">
        <f t="shared" si="4"/>
        <v/>
      </c>
      <c r="AE15" s="2" t="str">
        <f t="shared" si="5"/>
        <v/>
      </c>
      <c r="AF15" s="2" t="str">
        <f t="shared" si="6"/>
        <v/>
      </c>
      <c r="AG15" s="2" t="str">
        <f t="shared" si="7"/>
        <v/>
      </c>
      <c r="AH15" s="1"/>
      <c r="AJ15" s="2" t="str">
        <f>[1]CONTROL_YEARS!A25</f>
        <v/>
      </c>
      <c r="AK15" s="2" t="str">
        <f t="shared" si="8"/>
        <v/>
      </c>
      <c r="AL15" s="1"/>
      <c r="AM15" s="1"/>
      <c r="AN15" s="1"/>
      <c r="AO15" s="1"/>
      <c r="AP15" s="2" t="str">
        <f t="shared" si="9"/>
        <v/>
      </c>
      <c r="AQ15" s="1"/>
      <c r="AR15" s="1"/>
      <c r="AS15" s="1"/>
      <c r="AT15" s="1"/>
      <c r="AU15" s="2" t="str">
        <f t="shared" si="14"/>
        <v/>
      </c>
      <c r="AV15" s="1"/>
      <c r="AW15" s="1"/>
      <c r="AX15" s="1"/>
      <c r="AY15" s="1"/>
      <c r="AZ15" s="2" t="str">
        <f t="shared" si="19"/>
        <v/>
      </c>
      <c r="BA15" s="1"/>
      <c r="BB15" s="1"/>
      <c r="BC15" s="1"/>
      <c r="BD15" s="1"/>
      <c r="BE15" s="1"/>
      <c r="BF15" s="1"/>
      <c r="BG15" s="1"/>
      <c r="BH15" s="1"/>
      <c r="BI15" s="1"/>
    </row>
    <row r="16" spans="1:61" x14ac:dyDescent="0.25">
      <c r="A16" s="2" t="str">
        <f>[1]CONTROL_YEARS!A26</f>
        <v/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2" t="str">
        <f t="shared" si="0"/>
        <v/>
      </c>
      <c r="AA16" s="2" t="str">
        <f t="shared" si="1"/>
        <v/>
      </c>
      <c r="AB16" s="2" t="str">
        <f t="shared" si="2"/>
        <v/>
      </c>
      <c r="AC16" s="2" t="str">
        <f t="shared" si="3"/>
        <v/>
      </c>
      <c r="AD16" s="2" t="str">
        <f t="shared" si="4"/>
        <v/>
      </c>
      <c r="AE16" s="2" t="str">
        <f t="shared" si="5"/>
        <v/>
      </c>
      <c r="AF16" s="2" t="str">
        <f t="shared" si="6"/>
        <v/>
      </c>
      <c r="AG16" s="2" t="str">
        <f t="shared" si="7"/>
        <v/>
      </c>
      <c r="AH16" s="1"/>
      <c r="AJ16" s="2" t="str">
        <f>[1]CONTROL_YEARS!A26</f>
        <v/>
      </c>
      <c r="AK16" s="2" t="str">
        <f t="shared" si="8"/>
        <v/>
      </c>
      <c r="AL16" s="1"/>
      <c r="AM16" s="1"/>
      <c r="AN16" s="1"/>
      <c r="AO16" s="1"/>
      <c r="AP16" s="2" t="str">
        <f t="shared" si="9"/>
        <v/>
      </c>
      <c r="AQ16" s="1"/>
      <c r="AR16" s="1"/>
      <c r="AS16" s="1"/>
      <c r="AT16" s="1"/>
      <c r="AU16" s="2" t="str">
        <f t="shared" si="14"/>
        <v/>
      </c>
      <c r="AV16" s="1"/>
      <c r="AW16" s="1"/>
      <c r="AX16" s="1"/>
      <c r="AY16" s="1"/>
      <c r="AZ16" s="2" t="str">
        <f t="shared" si="19"/>
        <v/>
      </c>
      <c r="BA16" s="1"/>
      <c r="BB16" s="1"/>
      <c r="BC16" s="1"/>
      <c r="BD16" s="1"/>
      <c r="BE16" s="1"/>
      <c r="BF16" s="1"/>
      <c r="BG16" s="1"/>
      <c r="BH16" s="1"/>
      <c r="BI16" s="1"/>
    </row>
    <row r="17" spans="1:61" x14ac:dyDescent="0.25">
      <c r="A17" s="2" t="str">
        <f>[1]CONTROL_YEARS!A27</f>
        <v/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2" t="str">
        <f t="shared" si="0"/>
        <v/>
      </c>
      <c r="AA17" s="2" t="str">
        <f t="shared" si="1"/>
        <v/>
      </c>
      <c r="AB17" s="2" t="str">
        <f t="shared" si="2"/>
        <v/>
      </c>
      <c r="AC17" s="2" t="str">
        <f t="shared" si="3"/>
        <v/>
      </c>
      <c r="AD17" s="2" t="str">
        <f t="shared" si="4"/>
        <v/>
      </c>
      <c r="AE17" s="2" t="str">
        <f t="shared" si="5"/>
        <v/>
      </c>
      <c r="AF17" s="2" t="str">
        <f t="shared" si="6"/>
        <v/>
      </c>
      <c r="AG17" s="2" t="str">
        <f t="shared" si="7"/>
        <v/>
      </c>
      <c r="AH17" s="1"/>
      <c r="AJ17" s="2" t="str">
        <f>[1]CONTROL_YEARS!A27</f>
        <v/>
      </c>
      <c r="AK17" s="2" t="str">
        <f t="shared" si="8"/>
        <v/>
      </c>
      <c r="AL17" s="1"/>
      <c r="AM17" s="1"/>
      <c r="AN17" s="1"/>
      <c r="AO17" s="1"/>
      <c r="AP17" s="2" t="str">
        <f t="shared" si="9"/>
        <v/>
      </c>
      <c r="AQ17" s="1"/>
      <c r="AR17" s="1"/>
      <c r="AS17" s="1"/>
      <c r="AT17" s="1"/>
      <c r="AU17" s="2" t="str">
        <f t="shared" si="14"/>
        <v/>
      </c>
      <c r="AV17" s="1"/>
      <c r="AW17" s="1"/>
      <c r="AX17" s="1"/>
      <c r="AY17" s="1"/>
      <c r="AZ17" s="2" t="str">
        <f t="shared" si="19"/>
        <v/>
      </c>
      <c r="BA17" s="1"/>
      <c r="BB17" s="1"/>
      <c r="BC17" s="1"/>
      <c r="BD17" s="1"/>
      <c r="BE17" s="1"/>
      <c r="BF17" s="1"/>
      <c r="BG17" s="1"/>
      <c r="BH17" s="1"/>
      <c r="BI17" s="1"/>
    </row>
    <row r="18" spans="1:61" x14ac:dyDescent="0.25">
      <c r="A18" s="2" t="str">
        <f>[1]CONTROL_YEARS!A28</f>
        <v/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2" t="str">
        <f t="shared" si="0"/>
        <v/>
      </c>
      <c r="AA18" s="2" t="str">
        <f t="shared" si="1"/>
        <v/>
      </c>
      <c r="AB18" s="2" t="str">
        <f t="shared" si="2"/>
        <v/>
      </c>
      <c r="AC18" s="2" t="str">
        <f t="shared" si="3"/>
        <v/>
      </c>
      <c r="AD18" s="2" t="str">
        <f t="shared" si="4"/>
        <v/>
      </c>
      <c r="AE18" s="2" t="str">
        <f t="shared" si="5"/>
        <v/>
      </c>
      <c r="AF18" s="2" t="str">
        <f t="shared" si="6"/>
        <v/>
      </c>
      <c r="AG18" s="2" t="str">
        <f t="shared" si="7"/>
        <v/>
      </c>
      <c r="AH18" s="1"/>
      <c r="AJ18" s="2" t="str">
        <f>[1]CONTROL_YEARS!A28</f>
        <v/>
      </c>
      <c r="AK18" s="2" t="str">
        <f t="shared" si="8"/>
        <v/>
      </c>
      <c r="AL18" s="1"/>
      <c r="AM18" s="1"/>
      <c r="AN18" s="1"/>
      <c r="AO18" s="1"/>
      <c r="AP18" s="2" t="str">
        <f t="shared" si="9"/>
        <v/>
      </c>
      <c r="AQ18" s="1"/>
      <c r="AR18" s="1"/>
      <c r="AS18" s="1"/>
      <c r="AT18" s="1"/>
      <c r="AU18" s="2" t="str">
        <f t="shared" si="14"/>
        <v/>
      </c>
      <c r="AV18" s="1"/>
      <c r="AW18" s="1"/>
      <c r="AX18" s="1"/>
      <c r="AY18" s="1"/>
      <c r="AZ18" s="2" t="str">
        <f t="shared" si="19"/>
        <v/>
      </c>
      <c r="BA18" s="1"/>
      <c r="BB18" s="1"/>
      <c r="BC18" s="1"/>
      <c r="BD18" s="1"/>
      <c r="BE18" s="1"/>
      <c r="BF18" s="1"/>
      <c r="BG18" s="1"/>
      <c r="BH18" s="1"/>
      <c r="BI18" s="1"/>
    </row>
    <row r="19" spans="1:61" x14ac:dyDescent="0.25">
      <c r="A19" s="2" t="str">
        <f>[1]CONTROL_YEARS!A29</f>
        <v/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2" t="str">
        <f t="shared" si="0"/>
        <v/>
      </c>
      <c r="AA19" s="2" t="str">
        <f t="shared" si="1"/>
        <v/>
      </c>
      <c r="AB19" s="2" t="str">
        <f t="shared" si="2"/>
        <v/>
      </c>
      <c r="AC19" s="2" t="str">
        <f t="shared" si="3"/>
        <v/>
      </c>
      <c r="AD19" s="2" t="str">
        <f t="shared" si="4"/>
        <v/>
      </c>
      <c r="AE19" s="2" t="str">
        <f t="shared" si="5"/>
        <v/>
      </c>
      <c r="AF19" s="2" t="str">
        <f t="shared" si="6"/>
        <v/>
      </c>
      <c r="AG19" s="2" t="str">
        <f t="shared" si="7"/>
        <v/>
      </c>
      <c r="AH19" s="1"/>
      <c r="AJ19" s="2" t="str">
        <f>[1]CONTROL_YEARS!A29</f>
        <v/>
      </c>
      <c r="AK19" s="2" t="str">
        <f t="shared" si="8"/>
        <v/>
      </c>
      <c r="AL19" s="1"/>
      <c r="AM19" s="1"/>
      <c r="AN19" s="1"/>
      <c r="AO19" s="1"/>
      <c r="AP19" s="2" t="str">
        <f t="shared" si="9"/>
        <v/>
      </c>
      <c r="AQ19" s="1"/>
      <c r="AR19" s="1"/>
      <c r="AS19" s="1"/>
      <c r="AT19" s="1"/>
      <c r="AU19" s="2" t="str">
        <f t="shared" si="14"/>
        <v/>
      </c>
      <c r="AV19" s="1"/>
      <c r="AW19" s="1"/>
      <c r="AX19" s="1"/>
      <c r="AY19" s="1"/>
      <c r="AZ19" s="2" t="str">
        <f t="shared" si="19"/>
        <v/>
      </c>
      <c r="BA19" s="1"/>
      <c r="BB19" s="1"/>
      <c r="BC19" s="1"/>
      <c r="BD19" s="1"/>
      <c r="BE19" s="1"/>
      <c r="BF19" s="1"/>
      <c r="BG19" s="1"/>
      <c r="BH19" s="1"/>
      <c r="BI19" s="1"/>
    </row>
    <row r="20" spans="1:61" x14ac:dyDescent="0.25">
      <c r="A20" s="2" t="str">
        <f>[1]CONTROL_YEARS!A30</f>
        <v/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2" t="str">
        <f t="shared" si="0"/>
        <v/>
      </c>
      <c r="AA20" s="2" t="str">
        <f t="shared" si="1"/>
        <v/>
      </c>
      <c r="AB20" s="2" t="str">
        <f t="shared" si="2"/>
        <v/>
      </c>
      <c r="AC20" s="2" t="str">
        <f t="shared" si="3"/>
        <v/>
      </c>
      <c r="AD20" s="2" t="str">
        <f t="shared" si="4"/>
        <v/>
      </c>
      <c r="AE20" s="2" t="str">
        <f t="shared" si="5"/>
        <v/>
      </c>
      <c r="AF20" s="2" t="str">
        <f t="shared" si="6"/>
        <v/>
      </c>
      <c r="AG20" s="2" t="str">
        <f t="shared" si="7"/>
        <v/>
      </c>
      <c r="AH20" s="1"/>
      <c r="AJ20" s="2" t="str">
        <f>[1]CONTROL_YEARS!A30</f>
        <v/>
      </c>
      <c r="AK20" s="2" t="str">
        <f t="shared" si="8"/>
        <v/>
      </c>
      <c r="AL20" s="1"/>
      <c r="AM20" s="1"/>
      <c r="AN20" s="1"/>
      <c r="AO20" s="1"/>
      <c r="AP20" s="2" t="str">
        <f t="shared" si="9"/>
        <v/>
      </c>
      <c r="AQ20" s="1"/>
      <c r="AR20" s="1"/>
      <c r="AS20" s="1"/>
      <c r="AT20" s="1"/>
      <c r="AU20" s="2" t="str">
        <f t="shared" si="14"/>
        <v/>
      </c>
      <c r="AV20" s="1"/>
      <c r="AW20" s="1"/>
      <c r="AX20" s="1"/>
      <c r="AY20" s="1"/>
      <c r="AZ20" s="2" t="str">
        <f t="shared" si="19"/>
        <v/>
      </c>
      <c r="BA20" s="1"/>
      <c r="BB20" s="1"/>
      <c r="BC20" s="1"/>
      <c r="BD20" s="1"/>
      <c r="BE20" s="1"/>
      <c r="BF20" s="1"/>
      <c r="BG20" s="1"/>
      <c r="BH20" s="1"/>
      <c r="BI20" s="1"/>
    </row>
    <row r="21" spans="1:61" x14ac:dyDescent="0.25">
      <c r="A21" s="2" t="str">
        <f>[1]CONTROL_YEARS!A31</f>
        <v/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2" t="str">
        <f t="shared" si="0"/>
        <v/>
      </c>
      <c r="AA21" s="2" t="str">
        <f t="shared" si="1"/>
        <v/>
      </c>
      <c r="AB21" s="2" t="str">
        <f t="shared" si="2"/>
        <v/>
      </c>
      <c r="AC21" s="2" t="str">
        <f t="shared" si="3"/>
        <v/>
      </c>
      <c r="AD21" s="2" t="str">
        <f t="shared" si="4"/>
        <v/>
      </c>
      <c r="AE21" s="2" t="str">
        <f t="shared" si="5"/>
        <v/>
      </c>
      <c r="AF21" s="2" t="str">
        <f t="shared" si="6"/>
        <v/>
      </c>
      <c r="AG21" s="2" t="str">
        <f t="shared" si="7"/>
        <v/>
      </c>
      <c r="AH21" s="1"/>
      <c r="AJ21" s="2" t="str">
        <f>[1]CONTROL_YEARS!A31</f>
        <v/>
      </c>
      <c r="AK21" s="2" t="str">
        <f t="shared" si="8"/>
        <v/>
      </c>
      <c r="AL21" s="1"/>
      <c r="AM21" s="1"/>
      <c r="AN21" s="1"/>
      <c r="AO21" s="1"/>
      <c r="AP21" s="2" t="str">
        <f t="shared" si="9"/>
        <v/>
      </c>
      <c r="AQ21" s="1"/>
      <c r="AR21" s="1"/>
      <c r="AS21" s="1"/>
      <c r="AT21" s="1"/>
      <c r="AU21" s="2" t="str">
        <f t="shared" si="14"/>
        <v/>
      </c>
      <c r="AV21" s="1"/>
      <c r="AW21" s="1"/>
      <c r="AX21" s="1"/>
      <c r="AY21" s="1"/>
      <c r="AZ21" s="2" t="str">
        <f t="shared" si="19"/>
        <v/>
      </c>
      <c r="BA21" s="1"/>
      <c r="BB21" s="1"/>
      <c r="BC21" s="1"/>
      <c r="BD21" s="1"/>
      <c r="BE21" s="1"/>
      <c r="BF21" s="1"/>
      <c r="BG21" s="1"/>
      <c r="BH21" s="1"/>
      <c r="BI21" s="1"/>
    </row>
    <row r="22" spans="1:61" x14ac:dyDescent="0.25">
      <c r="A22" s="2" t="str">
        <f>[1]CONTROL_YEARS!A32</f>
        <v/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2" t="str">
        <f t="shared" si="0"/>
        <v/>
      </c>
      <c r="AA22" s="2" t="str">
        <f t="shared" si="1"/>
        <v/>
      </c>
      <c r="AB22" s="2" t="str">
        <f t="shared" si="2"/>
        <v/>
      </c>
      <c r="AC22" s="2" t="str">
        <f t="shared" si="3"/>
        <v/>
      </c>
      <c r="AD22" s="2" t="str">
        <f t="shared" si="4"/>
        <v/>
      </c>
      <c r="AE22" s="2" t="str">
        <f t="shared" si="5"/>
        <v/>
      </c>
      <c r="AF22" s="2" t="str">
        <f t="shared" si="6"/>
        <v/>
      </c>
      <c r="AG22" s="2" t="str">
        <f t="shared" si="7"/>
        <v/>
      </c>
      <c r="AH22" s="1"/>
      <c r="AJ22" s="2" t="str">
        <f>[1]CONTROL_YEARS!A32</f>
        <v/>
      </c>
      <c r="AK22" s="2" t="str">
        <f t="shared" si="8"/>
        <v/>
      </c>
      <c r="AL22" s="1"/>
      <c r="AM22" s="1"/>
      <c r="AN22" s="1"/>
      <c r="AO22" s="1"/>
      <c r="AP22" s="2" t="str">
        <f t="shared" si="9"/>
        <v/>
      </c>
      <c r="AQ22" s="1"/>
      <c r="AR22" s="1"/>
      <c r="AS22" s="1"/>
      <c r="AT22" s="1"/>
      <c r="AU22" s="2" t="str">
        <f t="shared" si="14"/>
        <v/>
      </c>
      <c r="AV22" s="1"/>
      <c r="AW22" s="1"/>
      <c r="AX22" s="1"/>
      <c r="AY22" s="1"/>
      <c r="AZ22" s="2" t="str">
        <f t="shared" si="19"/>
        <v/>
      </c>
      <c r="BA22" s="1"/>
      <c r="BB22" s="1"/>
      <c r="BC22" s="1"/>
      <c r="BD22" s="1"/>
      <c r="BE22" s="1"/>
      <c r="BF22" s="1"/>
      <c r="BG22" s="1"/>
      <c r="BH22" s="1"/>
      <c r="BI22" s="1"/>
    </row>
    <row r="23" spans="1:61" x14ac:dyDescent="0.25">
      <c r="A23" s="2" t="str">
        <f>[1]CONTROL_YEARS!A33</f>
        <v/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2" t="str">
        <f t="shared" si="0"/>
        <v/>
      </c>
      <c r="AA23" s="2" t="str">
        <f t="shared" si="1"/>
        <v/>
      </c>
      <c r="AB23" s="2" t="str">
        <f t="shared" si="2"/>
        <v/>
      </c>
      <c r="AC23" s="2" t="str">
        <f t="shared" si="3"/>
        <v/>
      </c>
      <c r="AD23" s="2" t="str">
        <f t="shared" si="4"/>
        <v/>
      </c>
      <c r="AE23" s="2" t="str">
        <f t="shared" si="5"/>
        <v/>
      </c>
      <c r="AF23" s="2" t="str">
        <f t="shared" si="6"/>
        <v/>
      </c>
      <c r="AG23" s="2" t="str">
        <f t="shared" si="7"/>
        <v/>
      </c>
      <c r="AH23" s="1"/>
      <c r="AJ23" s="2" t="str">
        <f>[1]CONTROL_YEARS!A33</f>
        <v/>
      </c>
      <c r="AK23" s="2" t="str">
        <f t="shared" si="8"/>
        <v/>
      </c>
      <c r="AL23" s="1"/>
      <c r="AM23" s="1"/>
      <c r="AN23" s="1"/>
      <c r="AO23" s="1"/>
      <c r="AP23" s="2" t="str">
        <f t="shared" si="9"/>
        <v/>
      </c>
      <c r="AQ23" s="1"/>
      <c r="AR23" s="1"/>
      <c r="AS23" s="1"/>
      <c r="AT23" s="1"/>
      <c r="AU23" s="2" t="str">
        <f t="shared" si="14"/>
        <v/>
      </c>
      <c r="AV23" s="1"/>
      <c r="AW23" s="1"/>
      <c r="AX23" s="1"/>
      <c r="AY23" s="1"/>
      <c r="AZ23" s="2" t="str">
        <f t="shared" si="19"/>
        <v/>
      </c>
      <c r="BA23" s="1"/>
      <c r="BB23" s="1"/>
      <c r="BC23" s="1"/>
      <c r="BD23" s="1"/>
      <c r="BE23" s="1"/>
      <c r="BF23" s="1"/>
      <c r="BG23" s="1"/>
      <c r="BH23" s="1"/>
      <c r="BI23" s="1"/>
    </row>
    <row r="24" spans="1:61" x14ac:dyDescent="0.25">
      <c r="A24" s="2" t="str">
        <f>[1]CONTROL_YEARS!A34</f>
        <v/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2" t="str">
        <f t="shared" si="0"/>
        <v/>
      </c>
      <c r="AA24" s="2" t="str">
        <f t="shared" si="1"/>
        <v/>
      </c>
      <c r="AB24" s="2" t="str">
        <f t="shared" si="2"/>
        <v/>
      </c>
      <c r="AC24" s="2" t="str">
        <f t="shared" si="3"/>
        <v/>
      </c>
      <c r="AD24" s="2" t="str">
        <f t="shared" si="4"/>
        <v/>
      </c>
      <c r="AE24" s="2" t="str">
        <f t="shared" si="5"/>
        <v/>
      </c>
      <c r="AF24" s="2" t="str">
        <f t="shared" si="6"/>
        <v/>
      </c>
      <c r="AG24" s="2" t="str">
        <f t="shared" si="7"/>
        <v/>
      </c>
      <c r="AH24" s="1"/>
      <c r="AJ24" s="2" t="str">
        <f>[1]CONTROL_YEARS!A34</f>
        <v/>
      </c>
      <c r="AK24" s="2" t="str">
        <f t="shared" si="8"/>
        <v/>
      </c>
      <c r="AL24" s="1"/>
      <c r="AM24" s="1"/>
      <c r="AN24" s="1"/>
      <c r="AO24" s="1"/>
      <c r="AP24" s="2" t="str">
        <f t="shared" si="9"/>
        <v/>
      </c>
      <c r="AQ24" s="1"/>
      <c r="AR24" s="1"/>
      <c r="AS24" s="1"/>
      <c r="AT24" s="1"/>
      <c r="AU24" s="2" t="str">
        <f t="shared" si="14"/>
        <v/>
      </c>
      <c r="AV24" s="1"/>
      <c r="AW24" s="1"/>
      <c r="AX24" s="1"/>
      <c r="AY24" s="1"/>
      <c r="AZ24" s="2" t="str">
        <f t="shared" si="19"/>
        <v/>
      </c>
      <c r="BA24" s="1"/>
      <c r="BB24" s="1"/>
      <c r="BC24" s="1"/>
      <c r="BD24" s="1"/>
      <c r="BE24" s="1"/>
      <c r="BF24" s="1"/>
      <c r="BG24" s="1"/>
      <c r="BH24" s="1"/>
      <c r="BI24" s="1"/>
    </row>
    <row r="25" spans="1:61" x14ac:dyDescent="0.25">
      <c r="A25" s="2" t="str">
        <f>[1]CONTROL_YEARS!A35</f>
        <v/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2" t="str">
        <f t="shared" si="0"/>
        <v/>
      </c>
      <c r="AA25" s="2" t="str">
        <f t="shared" si="1"/>
        <v/>
      </c>
      <c r="AB25" s="2" t="str">
        <f t="shared" si="2"/>
        <v/>
      </c>
      <c r="AC25" s="2" t="str">
        <f t="shared" si="3"/>
        <v/>
      </c>
      <c r="AD25" s="2" t="str">
        <f t="shared" si="4"/>
        <v/>
      </c>
      <c r="AE25" s="2" t="str">
        <f t="shared" si="5"/>
        <v/>
      </c>
      <c r="AF25" s="2" t="str">
        <f t="shared" si="6"/>
        <v/>
      </c>
      <c r="AG25" s="2" t="str">
        <f t="shared" si="7"/>
        <v/>
      </c>
      <c r="AH25" s="1"/>
      <c r="AJ25" s="2" t="str">
        <f>[1]CONTROL_YEARS!A35</f>
        <v/>
      </c>
      <c r="AK25" s="2" t="str">
        <f t="shared" si="8"/>
        <v/>
      </c>
      <c r="AL25" s="1"/>
      <c r="AM25" s="1"/>
      <c r="AN25" s="1"/>
      <c r="AO25" s="1"/>
      <c r="AP25" s="2" t="str">
        <f t="shared" si="9"/>
        <v/>
      </c>
      <c r="AQ25" s="1"/>
      <c r="AR25" s="1"/>
      <c r="AS25" s="1"/>
      <c r="AT25" s="1"/>
      <c r="AU25" s="2" t="str">
        <f t="shared" si="14"/>
        <v/>
      </c>
      <c r="AV25" s="1"/>
      <c r="AW25" s="1"/>
      <c r="AX25" s="1"/>
      <c r="AY25" s="1"/>
      <c r="AZ25" s="2" t="str">
        <f t="shared" si="19"/>
        <v/>
      </c>
      <c r="BA25" s="1"/>
      <c r="BB25" s="1"/>
      <c r="BC25" s="1"/>
      <c r="BD25" s="1"/>
      <c r="BE25" s="1"/>
      <c r="BF25" s="1"/>
      <c r="BG25" s="1"/>
      <c r="BH25" s="1"/>
      <c r="BI25" s="1"/>
    </row>
    <row r="26" spans="1:61" x14ac:dyDescent="0.25">
      <c r="A26" s="2" t="str">
        <f>[1]CONTROL_YEARS!A36</f>
        <v/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2" t="str">
        <f t="shared" si="0"/>
        <v/>
      </c>
      <c r="AA26" s="2" t="str">
        <f t="shared" si="1"/>
        <v/>
      </c>
      <c r="AB26" s="2" t="str">
        <f t="shared" si="2"/>
        <v/>
      </c>
      <c r="AC26" s="2" t="str">
        <f t="shared" si="3"/>
        <v/>
      </c>
      <c r="AD26" s="2" t="str">
        <f t="shared" si="4"/>
        <v/>
      </c>
      <c r="AE26" s="2" t="str">
        <f t="shared" si="5"/>
        <v/>
      </c>
      <c r="AF26" s="2" t="str">
        <f t="shared" si="6"/>
        <v/>
      </c>
      <c r="AG26" s="2" t="str">
        <f t="shared" si="7"/>
        <v/>
      </c>
      <c r="AH26" s="1"/>
      <c r="AJ26" s="2" t="str">
        <f>[1]CONTROL_YEARS!A36</f>
        <v/>
      </c>
      <c r="AK26" s="2" t="str">
        <f t="shared" si="8"/>
        <v/>
      </c>
      <c r="AL26" s="1"/>
      <c r="AM26" s="1"/>
      <c r="AN26" s="1"/>
      <c r="AO26" s="1"/>
      <c r="AP26" s="2" t="str">
        <f t="shared" si="9"/>
        <v/>
      </c>
      <c r="AQ26" s="1"/>
      <c r="AR26" s="1"/>
      <c r="AS26" s="1"/>
      <c r="AT26" s="1"/>
      <c r="AU26" s="2" t="str">
        <f t="shared" si="14"/>
        <v/>
      </c>
      <c r="AV26" s="1"/>
      <c r="AW26" s="1"/>
      <c r="AX26" s="1"/>
      <c r="AY26" s="1"/>
      <c r="AZ26" s="2" t="str">
        <f t="shared" si="19"/>
        <v/>
      </c>
      <c r="BA26" s="1"/>
      <c r="BB26" s="1"/>
      <c r="BC26" s="1"/>
      <c r="BD26" s="1"/>
      <c r="BE26" s="1"/>
      <c r="BF26" s="1"/>
      <c r="BG26" s="1"/>
      <c r="BH26" s="1"/>
      <c r="BI26" s="1"/>
    </row>
    <row r="27" spans="1:61" x14ac:dyDescent="0.25">
      <c r="A27" s="2" t="str">
        <f>[1]CONTROL_YEARS!A37</f>
        <v/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2" t="str">
        <f t="shared" si="0"/>
        <v/>
      </c>
      <c r="AA27" s="2" t="str">
        <f t="shared" si="1"/>
        <v/>
      </c>
      <c r="AB27" s="2" t="str">
        <f t="shared" si="2"/>
        <v/>
      </c>
      <c r="AC27" s="2" t="str">
        <f t="shared" si="3"/>
        <v/>
      </c>
      <c r="AD27" s="2" t="str">
        <f t="shared" si="4"/>
        <v/>
      </c>
      <c r="AE27" s="2" t="str">
        <f t="shared" si="5"/>
        <v/>
      </c>
      <c r="AF27" s="2" t="str">
        <f t="shared" si="6"/>
        <v/>
      </c>
      <c r="AG27" s="2" t="str">
        <f t="shared" si="7"/>
        <v/>
      </c>
      <c r="AH27" s="1"/>
      <c r="AJ27" s="2" t="str">
        <f>[1]CONTROL_YEARS!A37</f>
        <v/>
      </c>
      <c r="AK27" s="2" t="str">
        <f t="shared" si="8"/>
        <v/>
      </c>
      <c r="AL27" s="1"/>
      <c r="AM27" s="1"/>
      <c r="AN27" s="1"/>
      <c r="AO27" s="1"/>
      <c r="AP27" s="2" t="str">
        <f t="shared" si="9"/>
        <v/>
      </c>
      <c r="AQ27" s="1"/>
      <c r="AR27" s="1"/>
      <c r="AS27" s="1"/>
      <c r="AT27" s="1"/>
      <c r="AU27" s="2" t="str">
        <f t="shared" si="14"/>
        <v/>
      </c>
      <c r="AV27" s="1"/>
      <c r="AW27" s="1"/>
      <c r="AX27" s="1"/>
      <c r="AY27" s="1"/>
      <c r="AZ27" s="2" t="str">
        <f t="shared" si="19"/>
        <v/>
      </c>
      <c r="BA27" s="1"/>
      <c r="BB27" s="1"/>
      <c r="BC27" s="1"/>
      <c r="BD27" s="1"/>
      <c r="BE27" s="1"/>
      <c r="BF27" s="1"/>
      <c r="BG27" s="1"/>
      <c r="BH27" s="1"/>
      <c r="BI27" s="1"/>
    </row>
    <row r="28" spans="1:61" x14ac:dyDescent="0.25">
      <c r="A28" s="2" t="str">
        <f>[1]CONTROL_YEARS!A38</f>
        <v/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2" t="str">
        <f t="shared" si="0"/>
        <v/>
      </c>
      <c r="AA28" s="2" t="str">
        <f t="shared" si="1"/>
        <v/>
      </c>
      <c r="AB28" s="2" t="str">
        <f t="shared" si="2"/>
        <v/>
      </c>
      <c r="AC28" s="2" t="str">
        <f t="shared" si="3"/>
        <v/>
      </c>
      <c r="AD28" s="2" t="str">
        <f t="shared" si="4"/>
        <v/>
      </c>
      <c r="AE28" s="2" t="str">
        <f t="shared" si="5"/>
        <v/>
      </c>
      <c r="AF28" s="2" t="str">
        <f t="shared" si="6"/>
        <v/>
      </c>
      <c r="AG28" s="2" t="str">
        <f t="shared" si="7"/>
        <v/>
      </c>
      <c r="AH28" s="1"/>
      <c r="AJ28" s="2" t="str">
        <f>[1]CONTROL_YEARS!A38</f>
        <v/>
      </c>
      <c r="AK28" s="2" t="str">
        <f t="shared" si="8"/>
        <v/>
      </c>
      <c r="AL28" s="1"/>
      <c r="AM28" s="1"/>
      <c r="AN28" s="1"/>
      <c r="AO28" s="1"/>
      <c r="AP28" s="2" t="str">
        <f t="shared" si="9"/>
        <v/>
      </c>
      <c r="AQ28" s="1"/>
      <c r="AR28" s="1"/>
      <c r="AS28" s="1"/>
      <c r="AT28" s="1"/>
      <c r="AU28" s="2" t="str">
        <f t="shared" si="14"/>
        <v/>
      </c>
      <c r="AV28" s="1"/>
      <c r="AW28" s="1"/>
      <c r="AX28" s="1"/>
      <c r="AY28" s="1"/>
      <c r="AZ28" s="2" t="str">
        <f t="shared" si="19"/>
        <v/>
      </c>
      <c r="BA28" s="1"/>
      <c r="BB28" s="1"/>
      <c r="BC28" s="1"/>
      <c r="BD28" s="1"/>
      <c r="BE28" s="1"/>
      <c r="BF28" s="1"/>
      <c r="BG28" s="1"/>
      <c r="BH28" s="1"/>
      <c r="BI28" s="1"/>
    </row>
    <row r="29" spans="1:61" x14ac:dyDescent="0.25">
      <c r="A29" s="2" t="str">
        <f>[1]CONTROL_YEARS!A39</f>
        <v/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2" t="str">
        <f t="shared" si="0"/>
        <v/>
      </c>
      <c r="AA29" s="2" t="str">
        <f t="shared" si="1"/>
        <v/>
      </c>
      <c r="AB29" s="2" t="str">
        <f t="shared" si="2"/>
        <v/>
      </c>
      <c r="AC29" s="2" t="str">
        <f t="shared" si="3"/>
        <v/>
      </c>
      <c r="AD29" s="2" t="str">
        <f t="shared" si="4"/>
        <v/>
      </c>
      <c r="AE29" s="2" t="str">
        <f t="shared" si="5"/>
        <v/>
      </c>
      <c r="AF29" s="2" t="str">
        <f t="shared" si="6"/>
        <v/>
      </c>
      <c r="AG29" s="2" t="str">
        <f t="shared" si="7"/>
        <v/>
      </c>
      <c r="AH29" s="1"/>
      <c r="AJ29" s="2" t="str">
        <f>[1]CONTROL_YEARS!A39</f>
        <v/>
      </c>
      <c r="AK29" s="2" t="str">
        <f t="shared" si="8"/>
        <v/>
      </c>
      <c r="AL29" s="1"/>
      <c r="AM29" s="1"/>
      <c r="AN29" s="1"/>
      <c r="AO29" s="1"/>
      <c r="AP29" s="2" t="str">
        <f t="shared" si="9"/>
        <v/>
      </c>
      <c r="AQ29" s="1"/>
      <c r="AR29" s="1"/>
      <c r="AS29" s="1"/>
      <c r="AT29" s="1"/>
      <c r="AU29" s="2" t="str">
        <f t="shared" si="14"/>
        <v/>
      </c>
      <c r="AV29" s="1"/>
      <c r="AW29" s="1"/>
      <c r="AX29" s="1"/>
      <c r="AY29" s="1"/>
      <c r="AZ29" s="2" t="str">
        <f t="shared" si="19"/>
        <v/>
      </c>
      <c r="BA29" s="1"/>
      <c r="BB29" s="1"/>
      <c r="BC29" s="1"/>
      <c r="BD29" s="1"/>
      <c r="BE29" s="1"/>
      <c r="BF29" s="1"/>
      <c r="BG29" s="1"/>
      <c r="BH29" s="1"/>
      <c r="BI29" s="1"/>
    </row>
    <row r="30" spans="1:61" x14ac:dyDescent="0.25">
      <c r="A30" s="2" t="str">
        <f>[1]CONTROL_YEARS!A40</f>
        <v/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2" t="str">
        <f t="shared" si="0"/>
        <v/>
      </c>
      <c r="AA30" s="2" t="str">
        <f t="shared" si="1"/>
        <v/>
      </c>
      <c r="AB30" s="2" t="str">
        <f t="shared" si="2"/>
        <v/>
      </c>
      <c r="AC30" s="2" t="str">
        <f t="shared" si="3"/>
        <v/>
      </c>
      <c r="AD30" s="2" t="str">
        <f t="shared" si="4"/>
        <v/>
      </c>
      <c r="AE30" s="2" t="str">
        <f t="shared" si="5"/>
        <v/>
      </c>
      <c r="AF30" s="2" t="str">
        <f t="shared" si="6"/>
        <v/>
      </c>
      <c r="AG30" s="2" t="str">
        <f t="shared" si="7"/>
        <v/>
      </c>
      <c r="AH30" s="1"/>
      <c r="AJ30" s="2" t="str">
        <f>[1]CONTROL_YEARS!A40</f>
        <v/>
      </c>
      <c r="AK30" s="2" t="str">
        <f t="shared" si="8"/>
        <v/>
      </c>
      <c r="AL30" s="1"/>
      <c r="AM30" s="1"/>
      <c r="AN30" s="1"/>
      <c r="AO30" s="1"/>
      <c r="AP30" s="2" t="str">
        <f t="shared" si="9"/>
        <v/>
      </c>
      <c r="AQ30" s="1"/>
      <c r="AR30" s="1"/>
      <c r="AS30" s="1"/>
      <c r="AT30" s="1"/>
      <c r="AU30" s="2" t="str">
        <f t="shared" si="14"/>
        <v/>
      </c>
      <c r="AV30" s="1"/>
      <c r="AW30" s="1"/>
      <c r="AX30" s="1"/>
      <c r="AY30" s="1"/>
      <c r="AZ30" s="2" t="str">
        <f t="shared" si="19"/>
        <v/>
      </c>
      <c r="BA30" s="1"/>
      <c r="BB30" s="1"/>
      <c r="BC30" s="1"/>
      <c r="BD30" s="1"/>
      <c r="BE30" s="1"/>
      <c r="BF30" s="1"/>
      <c r="BG30" s="1"/>
      <c r="BH30" s="1"/>
      <c r="BI30" s="1"/>
    </row>
    <row r="31" spans="1:61" x14ac:dyDescent="0.25">
      <c r="A31" s="2" t="str">
        <f>[1]CONTROL_YEARS!A41</f>
        <v/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2" t="str">
        <f t="shared" si="0"/>
        <v/>
      </c>
      <c r="AA31" s="2" t="str">
        <f t="shared" si="1"/>
        <v/>
      </c>
      <c r="AB31" s="2" t="str">
        <f t="shared" si="2"/>
        <v/>
      </c>
      <c r="AC31" s="2" t="str">
        <f t="shared" si="3"/>
        <v/>
      </c>
      <c r="AD31" s="2" t="str">
        <f t="shared" si="4"/>
        <v/>
      </c>
      <c r="AE31" s="2" t="str">
        <f t="shared" si="5"/>
        <v/>
      </c>
      <c r="AF31" s="2" t="str">
        <f t="shared" si="6"/>
        <v/>
      </c>
      <c r="AG31" s="2" t="str">
        <f t="shared" si="7"/>
        <v/>
      </c>
      <c r="AH31" s="1"/>
      <c r="AJ31" s="2" t="str">
        <f>[1]CONTROL_YEARS!A41</f>
        <v/>
      </c>
      <c r="AK31" s="2" t="str">
        <f t="shared" si="8"/>
        <v/>
      </c>
      <c r="AL31" s="1"/>
      <c r="AM31" s="1"/>
      <c r="AN31" s="1"/>
      <c r="AO31" s="1"/>
      <c r="AP31" s="2" t="str">
        <f t="shared" si="9"/>
        <v/>
      </c>
      <c r="AQ31" s="1"/>
      <c r="AR31" s="1"/>
      <c r="AS31" s="1"/>
      <c r="AT31" s="1"/>
      <c r="AU31" s="2" t="str">
        <f t="shared" si="14"/>
        <v/>
      </c>
      <c r="AV31" s="1"/>
      <c r="AW31" s="1"/>
      <c r="AX31" s="1"/>
      <c r="AY31" s="1"/>
      <c r="AZ31" s="2" t="str">
        <f t="shared" si="19"/>
        <v/>
      </c>
      <c r="BA31" s="1"/>
      <c r="BB31" s="1"/>
      <c r="BC31" s="1"/>
      <c r="BD31" s="1"/>
      <c r="BE31" s="1"/>
      <c r="BF31" s="1"/>
      <c r="BG31" s="1"/>
      <c r="BH31" s="1"/>
      <c r="BI31" s="1"/>
    </row>
    <row r="32" spans="1:61" x14ac:dyDescent="0.25">
      <c r="A32" s="2" t="str">
        <f>[1]CONTROL_YEARS!A42</f>
        <v/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2" t="str">
        <f t="shared" si="0"/>
        <v/>
      </c>
      <c r="AA32" s="2" t="str">
        <f t="shared" si="1"/>
        <v/>
      </c>
      <c r="AB32" s="2" t="str">
        <f t="shared" si="2"/>
        <v/>
      </c>
      <c r="AC32" s="2" t="str">
        <f t="shared" si="3"/>
        <v/>
      </c>
      <c r="AD32" s="2" t="str">
        <f t="shared" si="4"/>
        <v/>
      </c>
      <c r="AE32" s="2" t="str">
        <f t="shared" si="5"/>
        <v/>
      </c>
      <c r="AF32" s="2" t="str">
        <f t="shared" si="6"/>
        <v/>
      </c>
      <c r="AG32" s="2" t="str">
        <f t="shared" si="7"/>
        <v/>
      </c>
      <c r="AH32" s="1"/>
      <c r="AJ32" s="2" t="str">
        <f>[1]CONTROL_YEARS!A42</f>
        <v/>
      </c>
      <c r="AK32" s="2" t="str">
        <f t="shared" si="8"/>
        <v/>
      </c>
      <c r="AL32" s="1"/>
      <c r="AM32" s="1"/>
      <c r="AN32" s="1"/>
      <c r="AO32" s="1"/>
      <c r="AP32" s="2" t="str">
        <f t="shared" si="9"/>
        <v/>
      </c>
      <c r="AQ32" s="1"/>
      <c r="AR32" s="1"/>
      <c r="AS32" s="1"/>
      <c r="AT32" s="1"/>
      <c r="AU32" s="2" t="str">
        <f t="shared" si="14"/>
        <v/>
      </c>
      <c r="AV32" s="1"/>
      <c r="AW32" s="1"/>
      <c r="AX32" s="1"/>
      <c r="AY32" s="1"/>
      <c r="AZ32" s="2" t="str">
        <f t="shared" si="19"/>
        <v/>
      </c>
      <c r="BA32" s="1"/>
      <c r="BB32" s="1"/>
      <c r="BC32" s="1"/>
      <c r="BD32" s="1"/>
      <c r="BE32" s="1"/>
      <c r="BF32" s="1"/>
      <c r="BG32" s="1"/>
      <c r="BH32" s="1"/>
      <c r="BI32" s="1"/>
    </row>
    <row r="33" spans="1:61" x14ac:dyDescent="0.25">
      <c r="A33" s="2" t="str">
        <f>[1]CONTROL_YEARS!A43</f>
        <v/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2" t="str">
        <f t="shared" si="0"/>
        <v/>
      </c>
      <c r="AA33" s="2" t="str">
        <f t="shared" si="1"/>
        <v/>
      </c>
      <c r="AB33" s="2" t="str">
        <f t="shared" si="2"/>
        <v/>
      </c>
      <c r="AC33" s="2" t="str">
        <f t="shared" si="3"/>
        <v/>
      </c>
      <c r="AD33" s="2" t="str">
        <f t="shared" si="4"/>
        <v/>
      </c>
      <c r="AE33" s="2" t="str">
        <f t="shared" si="5"/>
        <v/>
      </c>
      <c r="AF33" s="2" t="str">
        <f t="shared" si="6"/>
        <v/>
      </c>
      <c r="AG33" s="2" t="str">
        <f t="shared" si="7"/>
        <v/>
      </c>
      <c r="AH33" s="1"/>
      <c r="AJ33" s="2" t="str">
        <f>[1]CONTROL_YEARS!A43</f>
        <v/>
      </c>
      <c r="AK33" s="2" t="str">
        <f t="shared" si="8"/>
        <v/>
      </c>
      <c r="AL33" s="1"/>
      <c r="AM33" s="1"/>
      <c r="AN33" s="1"/>
      <c r="AO33" s="1"/>
      <c r="AP33" s="2" t="str">
        <f t="shared" si="9"/>
        <v/>
      </c>
      <c r="AQ33" s="1"/>
      <c r="AR33" s="1"/>
      <c r="AS33" s="1"/>
      <c r="AT33" s="1"/>
      <c r="AU33" s="2" t="str">
        <f t="shared" si="14"/>
        <v/>
      </c>
      <c r="AV33" s="1"/>
      <c r="AW33" s="1"/>
      <c r="AX33" s="1"/>
      <c r="AY33" s="1"/>
      <c r="AZ33" s="2" t="str">
        <f t="shared" si="19"/>
        <v/>
      </c>
      <c r="BA33" s="1"/>
      <c r="BB33" s="1"/>
      <c r="BC33" s="1"/>
      <c r="BD33" s="1"/>
      <c r="BE33" s="1"/>
      <c r="BF33" s="1"/>
      <c r="BG33" s="1"/>
      <c r="BH33" s="1"/>
      <c r="BI33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F7D26-7A7C-449F-807A-E129F4A2A2FA}">
  <sheetPr>
    <tabColor theme="3" tint="0.39997558519241921"/>
  </sheetPr>
  <dimension ref="B1:L25"/>
  <sheetViews>
    <sheetView showGridLines="0" workbookViewId="0">
      <selection activeCell="B14" sqref="B14"/>
    </sheetView>
  </sheetViews>
  <sheetFormatPr defaultRowHeight="15" x14ac:dyDescent="0.25"/>
  <cols>
    <col min="2" max="2" width="25.140625" customWidth="1"/>
    <col min="3" max="3" width="16.85546875" bestFit="1" customWidth="1"/>
    <col min="4" max="12" width="15.7109375" bestFit="1" customWidth="1"/>
  </cols>
  <sheetData>
    <row r="1" spans="2:12" x14ac:dyDescent="0.25">
      <c r="B1" s="10" t="s">
        <v>25</v>
      </c>
      <c r="C1" s="5">
        <v>2016</v>
      </c>
      <c r="D1" s="5">
        <v>2017</v>
      </c>
      <c r="E1" s="5">
        <v>2018</v>
      </c>
      <c r="F1" s="5">
        <v>2019</v>
      </c>
      <c r="G1" s="5">
        <v>2020</v>
      </c>
      <c r="H1" s="5">
        <v>2021</v>
      </c>
      <c r="I1" s="5">
        <v>2022</v>
      </c>
      <c r="J1" s="5">
        <v>2023</v>
      </c>
      <c r="K1" s="5">
        <v>2024</v>
      </c>
      <c r="L1" s="5">
        <v>2025</v>
      </c>
    </row>
    <row r="2" spans="2:12" x14ac:dyDescent="0.25">
      <c r="B2" s="10" t="s">
        <v>107</v>
      </c>
      <c r="C2" s="3">
        <v>1334.2036782997391</v>
      </c>
      <c r="D2" s="3">
        <v>1268.2826929347732</v>
      </c>
      <c r="E2" s="3">
        <v>1308.1205405677213</v>
      </c>
      <c r="F2" s="3">
        <v>1300.2074765503171</v>
      </c>
      <c r="G2" s="3">
        <v>1281.370354750235</v>
      </c>
      <c r="H2" s="3">
        <v>1267.9013202162944</v>
      </c>
      <c r="I2" s="3">
        <v>1495.446535021812</v>
      </c>
      <c r="J2" s="3">
        <v>1552.8369694552773</v>
      </c>
      <c r="K2" s="3">
        <v>1560.0146730784852</v>
      </c>
      <c r="L2" s="3">
        <v>1483.9114781177777</v>
      </c>
    </row>
    <row r="3" spans="2:12" x14ac:dyDescent="0.25">
      <c r="B3" s="10" t="s">
        <v>46</v>
      </c>
      <c r="C3" s="3">
        <v>535885.67057008063</v>
      </c>
      <c r="D3" s="3">
        <v>583140.12163152487</v>
      </c>
      <c r="E3" s="3">
        <v>493345.78136234527</v>
      </c>
      <c r="F3" s="3">
        <v>571298.62942957249</v>
      </c>
      <c r="G3" s="3">
        <v>517466.69055657601</v>
      </c>
      <c r="H3" s="3">
        <v>581074.75749890483</v>
      </c>
      <c r="I3" s="3">
        <v>672842.37404730357</v>
      </c>
      <c r="J3" s="3">
        <v>757045.92599762464</v>
      </c>
      <c r="K3" s="3">
        <v>593376.1737456033</v>
      </c>
      <c r="L3" s="3">
        <v>649854.0926389232</v>
      </c>
    </row>
    <row r="4" spans="2:12" x14ac:dyDescent="0.25">
      <c r="B4" s="10" t="s">
        <v>45</v>
      </c>
      <c r="C4" s="3">
        <v>648575.1890074258</v>
      </c>
      <c r="D4" s="3">
        <v>705810.26667603827</v>
      </c>
      <c r="E4" s="3">
        <v>596941.67047665443</v>
      </c>
      <c r="F4" s="3">
        <v>690816.69652376731</v>
      </c>
      <c r="G4" s="3">
        <v>625434.90870099037</v>
      </c>
      <c r="H4" s="3">
        <v>702431.36455780256</v>
      </c>
      <c r="I4" s="3">
        <v>810847.22226213512</v>
      </c>
      <c r="J4" s="3">
        <v>912016.36034416524</v>
      </c>
      <c r="K4" s="3">
        <v>713753.09458667727</v>
      </c>
      <c r="L4" s="3">
        <v>782806.31462529546</v>
      </c>
    </row>
    <row r="5" spans="2:12" x14ac:dyDescent="0.25">
      <c r="B5" s="10" t="s">
        <v>44</v>
      </c>
      <c r="C5" s="3">
        <v>497605.92699601001</v>
      </c>
      <c r="D5" s="3">
        <v>524626.61371430208</v>
      </c>
      <c r="E5" s="3">
        <v>455815.14118574519</v>
      </c>
      <c r="F5" s="3">
        <v>523147.98855291383</v>
      </c>
      <c r="G5" s="3">
        <v>483609.46731880278</v>
      </c>
      <c r="H5" s="3">
        <v>523703.72306462622</v>
      </c>
      <c r="I5" s="3">
        <v>629299.93269836751</v>
      </c>
      <c r="J5" s="3">
        <v>669408.27430275118</v>
      </c>
      <c r="K5" s="3">
        <v>553546.86431436834</v>
      </c>
      <c r="L5" s="3">
        <v>612408.70095733344</v>
      </c>
    </row>
    <row r="6" spans="2:12" x14ac:dyDescent="0.25">
      <c r="B6" s="10" t="s">
        <v>43</v>
      </c>
      <c r="C6" s="3">
        <v>602129.52884276374</v>
      </c>
      <c r="D6" s="3">
        <v>634826.15987971856</v>
      </c>
      <c r="E6" s="3">
        <v>551461.64264114678</v>
      </c>
      <c r="F6" s="3">
        <v>632557.97390924639</v>
      </c>
      <c r="G6" s="3">
        <v>584458.5114371439</v>
      </c>
      <c r="H6" s="3">
        <v>632995.0073284622</v>
      </c>
      <c r="I6" s="3">
        <v>758260.43771591689</v>
      </c>
      <c r="J6" s="3">
        <v>805896.10648633097</v>
      </c>
      <c r="K6" s="3">
        <v>665697.93483587704</v>
      </c>
      <c r="L6" s="3">
        <v>737512.96846123505</v>
      </c>
    </row>
    <row r="7" spans="2:12" x14ac:dyDescent="0.25">
      <c r="B7" s="10" t="s">
        <v>46</v>
      </c>
      <c r="C7" s="3">
        <f>C3/$C$2</f>
        <v>401.6520710338574</v>
      </c>
      <c r="D7" s="3">
        <f>D3/$D$2</f>
        <v>459.7871790571815</v>
      </c>
      <c r="E7" s="3">
        <f>E3/$E$2</f>
        <v>377.14091787614188</v>
      </c>
      <c r="F7" s="3">
        <f>F3/$F$2</f>
        <v>439.39035864132234</v>
      </c>
      <c r="G7" s="3">
        <f>G3/$G$2</f>
        <v>403.83850667236698</v>
      </c>
      <c r="H7" s="3">
        <f>H3/$H$2</f>
        <v>458.29651585170512</v>
      </c>
      <c r="I7" s="3">
        <f>I3/$I$2</f>
        <v>449.92740180944668</v>
      </c>
      <c r="J7" s="3">
        <f>J3/$J$2</f>
        <v>487.52440912273636</v>
      </c>
      <c r="K7" s="3">
        <f>K3/$K$2</f>
        <v>380.36576449287679</v>
      </c>
      <c r="L7" s="3">
        <f>L3/$L$2</f>
        <v>437.93319360479023</v>
      </c>
    </row>
    <row r="8" spans="2:12" x14ac:dyDescent="0.25">
      <c r="B8" s="10" t="s">
        <v>45</v>
      </c>
      <c r="C8" s="3">
        <f t="shared" ref="C8:C10" si="0">C4/$C$2</f>
        <v>486.1140765508506</v>
      </c>
      <c r="D8" s="3">
        <f t="shared" ref="D8:D10" si="1">D4/$D$2</f>
        <v>556.50863219051871</v>
      </c>
      <c r="E8" s="3">
        <f t="shared" ref="E8:E10" si="2">E4/$E$2</f>
        <v>456.33536968816583</v>
      </c>
      <c r="F8" s="3">
        <f t="shared" ref="F8:F10" si="3">F4/$F$2</f>
        <v>531.31266277335021</v>
      </c>
      <c r="G8" s="3">
        <f t="shared" ref="G8:G10" si="4">G4/$G$2</f>
        <v>488.0984692539576</v>
      </c>
      <c r="H8" s="3">
        <f t="shared" ref="H8:H10" si="5">H4/$H$2</f>
        <v>554.01106802063509</v>
      </c>
      <c r="I8" s="3">
        <f t="shared" ref="I8:I10" si="6">I4/$I$2</f>
        <v>542.21077335292932</v>
      </c>
      <c r="J8" s="3">
        <f t="shared" ref="J8:J10" si="7">J4/$J$2</f>
        <v>587.32267345753189</v>
      </c>
      <c r="K8" s="3">
        <f t="shared" ref="K8:K10" si="8">K4/$K$2</f>
        <v>457.52973154936984</v>
      </c>
      <c r="L8" s="3">
        <f t="shared" ref="L8:L10" si="9">L4/$L$2</f>
        <v>527.52898415357106</v>
      </c>
    </row>
    <row r="9" spans="2:12" x14ac:dyDescent="0.25">
      <c r="B9" s="10" t="s">
        <v>44</v>
      </c>
      <c r="C9" s="3">
        <f t="shared" si="0"/>
        <v>372.96099170565998</v>
      </c>
      <c r="D9" s="3">
        <f t="shared" si="1"/>
        <v>413.65116518331547</v>
      </c>
      <c r="E9" s="3">
        <f t="shared" si="2"/>
        <v>348.45041190769962</v>
      </c>
      <c r="F9" s="3">
        <f t="shared" si="3"/>
        <v>402.35731449639019</v>
      </c>
      <c r="G9" s="3">
        <f t="shared" si="4"/>
        <v>377.4158388525135</v>
      </c>
      <c r="H9" s="3">
        <f t="shared" si="5"/>
        <v>413.04769915003033</v>
      </c>
      <c r="I9" s="3">
        <f t="shared" si="6"/>
        <v>420.81071971535835</v>
      </c>
      <c r="J9" s="3">
        <f t="shared" si="7"/>
        <v>431.08728570364616</v>
      </c>
      <c r="K9" s="3">
        <f t="shared" si="8"/>
        <v>354.83439602655528</v>
      </c>
      <c r="L9" s="3">
        <f t="shared" si="9"/>
        <v>412.69894463928847</v>
      </c>
    </row>
    <row r="10" spans="2:12" x14ac:dyDescent="0.25">
      <c r="B10" s="10" t="s">
        <v>43</v>
      </c>
      <c r="C10" s="3">
        <f t="shared" si="0"/>
        <v>451.30255495180154</v>
      </c>
      <c r="D10" s="3">
        <f t="shared" si="1"/>
        <v>500.53995328970967</v>
      </c>
      <c r="E10" s="3">
        <f t="shared" si="2"/>
        <v>421.56791024916839</v>
      </c>
      <c r="F10" s="3">
        <f t="shared" si="3"/>
        <v>486.50541188052216</v>
      </c>
      <c r="G10" s="3">
        <f t="shared" si="4"/>
        <v>456.11989482234173</v>
      </c>
      <c r="H10" s="3">
        <f t="shared" si="5"/>
        <v>499.24627195788236</v>
      </c>
      <c r="I10" s="3">
        <f t="shared" si="6"/>
        <v>507.046169794935</v>
      </c>
      <c r="J10" s="3">
        <f t="shared" si="7"/>
        <v>518.98307571143982</v>
      </c>
      <c r="K10" s="3">
        <f t="shared" si="8"/>
        <v>426.72543170520896</v>
      </c>
      <c r="L10" s="3">
        <f t="shared" si="9"/>
        <v>497.00604068155798</v>
      </c>
    </row>
    <row r="11" spans="2:12" x14ac:dyDescent="0.25">
      <c r="B11" s="10" t="s">
        <v>165</v>
      </c>
      <c r="C11" s="3">
        <f>AVERAGE(C7:C10)</f>
        <v>428.00742356054241</v>
      </c>
      <c r="D11" s="3">
        <f t="shared" ref="D11:L11" si="10">AVERAGE(D7:D10)</f>
        <v>482.62173243018134</v>
      </c>
      <c r="E11" s="3">
        <f t="shared" si="10"/>
        <v>400.87365243029393</v>
      </c>
      <c r="F11" s="3">
        <f t="shared" si="10"/>
        <v>464.89143694789624</v>
      </c>
      <c r="G11" s="3">
        <f t="shared" si="10"/>
        <v>431.36817740029494</v>
      </c>
      <c r="H11" s="3">
        <f t="shared" si="10"/>
        <v>481.15038874506325</v>
      </c>
      <c r="I11" s="3">
        <f t="shared" si="10"/>
        <v>479.99876616816732</v>
      </c>
      <c r="J11" s="3">
        <f t="shared" si="10"/>
        <v>506.22936099883856</v>
      </c>
      <c r="K11" s="3">
        <f t="shared" si="10"/>
        <v>404.86383094350265</v>
      </c>
      <c r="L11" s="3">
        <f t="shared" si="10"/>
        <v>468.79179076980193</v>
      </c>
    </row>
    <row r="12" spans="2:12" x14ac:dyDescent="0.25">
      <c r="B12" s="10" t="s">
        <v>149</v>
      </c>
      <c r="C12" s="3">
        <v>444.78920926404658</v>
      </c>
      <c r="D12" s="3">
        <v>506.98200205631798</v>
      </c>
      <c r="E12" s="3">
        <v>419.20136525894821</v>
      </c>
      <c r="F12" s="3">
        <v>493.04018736120088</v>
      </c>
      <c r="G12" s="3">
        <v>446.05693863421328</v>
      </c>
      <c r="H12" s="3">
        <v>522.65267962887413</v>
      </c>
      <c r="I12" s="3">
        <v>545.44884009017505</v>
      </c>
      <c r="J12" s="3">
        <v>533.12336416634162</v>
      </c>
      <c r="K12" s="3">
        <v>442.46739290238298</v>
      </c>
      <c r="L12" s="3">
        <v>466.84829857390139</v>
      </c>
    </row>
    <row r="14" spans="2:12" x14ac:dyDescent="0.25">
      <c r="B14" s="10" t="s">
        <v>25</v>
      </c>
      <c r="C14" s="5">
        <v>2016</v>
      </c>
      <c r="D14" s="5">
        <v>2017</v>
      </c>
      <c r="E14" s="5">
        <v>2018</v>
      </c>
      <c r="F14" s="5">
        <v>2019</v>
      </c>
      <c r="G14" s="5">
        <v>2020</v>
      </c>
      <c r="H14" s="5">
        <v>2021</v>
      </c>
      <c r="I14" s="5">
        <v>2022</v>
      </c>
      <c r="J14" s="5">
        <v>2023</v>
      </c>
      <c r="K14" s="5">
        <v>2024</v>
      </c>
      <c r="L14" s="5">
        <v>2025</v>
      </c>
    </row>
    <row r="15" spans="2:12" x14ac:dyDescent="0.25">
      <c r="B15" s="10" t="s">
        <v>45</v>
      </c>
      <c r="C15" s="3">
        <v>486.1140765508506</v>
      </c>
      <c r="D15" s="3">
        <v>556.50863219051871</v>
      </c>
      <c r="E15" s="3">
        <v>456.33536968816583</v>
      </c>
      <c r="F15" s="3">
        <v>531.31266277335021</v>
      </c>
      <c r="G15" s="3">
        <v>488.0984692539576</v>
      </c>
      <c r="H15" s="3">
        <v>554.01106802063509</v>
      </c>
      <c r="I15" s="3">
        <v>542.21077335292932</v>
      </c>
      <c r="J15" s="3">
        <v>587.32267345753189</v>
      </c>
      <c r="K15" s="3">
        <v>457.52973154936984</v>
      </c>
      <c r="L15" s="3">
        <v>527.52898415357106</v>
      </c>
    </row>
    <row r="16" spans="2:12" x14ac:dyDescent="0.25">
      <c r="B16" s="10" t="s">
        <v>43</v>
      </c>
      <c r="C16" s="3">
        <v>451.30255495180154</v>
      </c>
      <c r="D16" s="3">
        <v>500.53995328970967</v>
      </c>
      <c r="E16" s="3">
        <v>421.56791024916839</v>
      </c>
      <c r="F16" s="3">
        <v>486.50541188052216</v>
      </c>
      <c r="G16" s="3">
        <v>456.11989482234173</v>
      </c>
      <c r="H16" s="3">
        <v>499.24627195788236</v>
      </c>
      <c r="I16" s="3">
        <v>507.046169794935</v>
      </c>
      <c r="J16" s="3">
        <v>518.98307571143982</v>
      </c>
      <c r="K16" s="3">
        <v>426.72543170520896</v>
      </c>
      <c r="L16" s="3">
        <v>497.00604068155798</v>
      </c>
    </row>
    <row r="17" spans="2:12" x14ac:dyDescent="0.25">
      <c r="B17" s="10" t="s">
        <v>165</v>
      </c>
      <c r="C17" s="3">
        <v>428.00742356054241</v>
      </c>
      <c r="D17" s="3">
        <v>482.62173243018134</v>
      </c>
      <c r="E17" s="3">
        <v>400.87365243029393</v>
      </c>
      <c r="F17" s="3">
        <v>464.89143694789624</v>
      </c>
      <c r="G17" s="3">
        <v>431.36817740029494</v>
      </c>
      <c r="H17" s="3">
        <v>481.15038874506325</v>
      </c>
      <c r="I17" s="3">
        <v>479.99876616816732</v>
      </c>
      <c r="J17" s="3">
        <v>506.22936099883856</v>
      </c>
      <c r="K17" s="3">
        <v>404.86383094350265</v>
      </c>
      <c r="L17" s="3">
        <v>468.79179076980193</v>
      </c>
    </row>
    <row r="18" spans="2:12" x14ac:dyDescent="0.25">
      <c r="B18" s="10" t="s">
        <v>46</v>
      </c>
      <c r="C18" s="3">
        <v>401.6520710338574</v>
      </c>
      <c r="D18" s="3">
        <v>459.7871790571815</v>
      </c>
      <c r="E18" s="3">
        <v>377.14091787614188</v>
      </c>
      <c r="F18" s="3">
        <v>439.39035864132234</v>
      </c>
      <c r="G18" s="3">
        <v>403.83850667236698</v>
      </c>
      <c r="H18" s="3">
        <v>458.29651585170512</v>
      </c>
      <c r="I18" s="3">
        <v>449.92740180944668</v>
      </c>
      <c r="J18" s="3">
        <v>487.52440912273636</v>
      </c>
      <c r="K18" s="3">
        <v>380.36576449287679</v>
      </c>
      <c r="L18" s="3">
        <v>437.93319360479023</v>
      </c>
    </row>
    <row r="19" spans="2:12" x14ac:dyDescent="0.25">
      <c r="B19" s="10" t="s">
        <v>44</v>
      </c>
      <c r="C19" s="3">
        <v>372.96099170565998</v>
      </c>
      <c r="D19" s="3">
        <v>413.65116518331547</v>
      </c>
      <c r="E19" s="3">
        <v>348.45041190769962</v>
      </c>
      <c r="F19" s="3">
        <v>402.35731449639019</v>
      </c>
      <c r="G19" s="3">
        <v>377.4158388525135</v>
      </c>
      <c r="H19" s="3">
        <v>413.04769915003033</v>
      </c>
      <c r="I19" s="3">
        <v>420.81071971535835</v>
      </c>
      <c r="J19" s="3">
        <v>431.08728570364616</v>
      </c>
      <c r="K19" s="3">
        <v>354.83439602655528</v>
      </c>
      <c r="L19" s="3">
        <v>412.69894463928847</v>
      </c>
    </row>
    <row r="20" spans="2:12" x14ac:dyDescent="0.25">
      <c r="B20" s="10"/>
      <c r="C20" s="3">
        <v>2016</v>
      </c>
      <c r="D20" s="3">
        <v>2017</v>
      </c>
      <c r="E20" s="3">
        <v>2018</v>
      </c>
      <c r="F20" s="3">
        <v>2019</v>
      </c>
      <c r="G20" s="3">
        <v>2020</v>
      </c>
      <c r="H20" s="3">
        <v>2021</v>
      </c>
      <c r="I20" s="3">
        <v>2022</v>
      </c>
      <c r="J20" s="3">
        <v>2023</v>
      </c>
      <c r="K20" s="3">
        <v>2024</v>
      </c>
      <c r="L20" s="3">
        <v>2025</v>
      </c>
    </row>
    <row r="21" spans="2:12" x14ac:dyDescent="0.25">
      <c r="B21" s="10" t="s">
        <v>165</v>
      </c>
      <c r="C21" s="3">
        <v>428.00742356054241</v>
      </c>
      <c r="D21" s="3">
        <v>482.62173243018134</v>
      </c>
      <c r="E21" s="3">
        <v>400.87365243029393</v>
      </c>
      <c r="F21" s="3">
        <v>464.89143694789624</v>
      </c>
      <c r="G21" s="3">
        <v>431.36817740029494</v>
      </c>
      <c r="H21" s="3">
        <v>481.15038874506325</v>
      </c>
      <c r="I21" s="3">
        <v>479.99876616816732</v>
      </c>
      <c r="J21" s="3">
        <v>506.22936099883856</v>
      </c>
      <c r="K21" s="3">
        <v>404.86383094350265</v>
      </c>
      <c r="L21" s="3">
        <v>468.79179076980193</v>
      </c>
    </row>
    <row r="22" spans="2:12" x14ac:dyDescent="0.25">
      <c r="B22" s="10" t="s">
        <v>179</v>
      </c>
      <c r="C22" s="3">
        <f>MIN(C15:C19)</f>
        <v>372.96099170565998</v>
      </c>
      <c r="D22" s="3">
        <f>MIN(D15:D19)</f>
        <v>413.65116518331547</v>
      </c>
      <c r="E22" s="3">
        <f>MIN(E15:E19)</f>
        <v>348.45041190769962</v>
      </c>
      <c r="F22" s="3">
        <f>MIN(F15:F19)</f>
        <v>402.35731449639019</v>
      </c>
      <c r="G22" s="3">
        <f>MIN(G15:G19)</f>
        <v>377.4158388525135</v>
      </c>
      <c r="H22" s="3">
        <f>MIN(H15:H19)</f>
        <v>413.04769915003033</v>
      </c>
      <c r="I22" s="3">
        <f>MIN(I15:I19)</f>
        <v>420.81071971535835</v>
      </c>
      <c r="J22" s="3">
        <f>MIN(J15:J19)</f>
        <v>431.08728570364616</v>
      </c>
      <c r="K22" s="3">
        <f>MIN(K15:K19)</f>
        <v>354.83439602655528</v>
      </c>
      <c r="L22" s="3">
        <f>MIN(L15:L19)</f>
        <v>412.69894463928847</v>
      </c>
    </row>
    <row r="23" spans="2:12" x14ac:dyDescent="0.25">
      <c r="B23" s="10" t="s">
        <v>135</v>
      </c>
      <c r="C23" s="3">
        <f>MAX(C15:C19)</f>
        <v>486.1140765508506</v>
      </c>
      <c r="D23" s="3">
        <f>MAX(D15:D19)</f>
        <v>556.50863219051871</v>
      </c>
      <c r="E23" s="3">
        <f>MAX(E15:E19)</f>
        <v>456.33536968816583</v>
      </c>
      <c r="F23" s="3">
        <f>MAX(F15:F19)</f>
        <v>531.31266277335021</v>
      </c>
      <c r="G23" s="3">
        <f>MAX(G15:G19)</f>
        <v>488.0984692539576</v>
      </c>
      <c r="H23" s="3">
        <f>MAX(H15:H19)</f>
        <v>554.01106802063509</v>
      </c>
      <c r="I23" s="3">
        <f>MAX(I15:I19)</f>
        <v>542.21077335292932</v>
      </c>
      <c r="J23" s="3">
        <f>MAX(J15:J19)</f>
        <v>587.32267345753189</v>
      </c>
      <c r="K23" s="3">
        <f>MAX(K15:K19)</f>
        <v>457.52973154936984</v>
      </c>
      <c r="L23" s="3">
        <f>MAX(L15:L19)</f>
        <v>527.52898415357106</v>
      </c>
    </row>
    <row r="24" spans="2:12" x14ac:dyDescent="0.25">
      <c r="B24" s="10" t="s">
        <v>182</v>
      </c>
      <c r="C24" s="3">
        <f>C21-C22</f>
        <v>55.046431854882428</v>
      </c>
      <c r="D24" s="3">
        <f t="shared" ref="D24:L24" si="11">D21-D22</f>
        <v>68.970567246865869</v>
      </c>
      <c r="E24" s="3">
        <f t="shared" si="11"/>
        <v>52.423240522594313</v>
      </c>
      <c r="F24" s="3">
        <f t="shared" si="11"/>
        <v>62.53412245150605</v>
      </c>
      <c r="G24" s="3">
        <f t="shared" si="11"/>
        <v>53.952338547781437</v>
      </c>
      <c r="H24" s="3">
        <f t="shared" si="11"/>
        <v>68.102689595032928</v>
      </c>
      <c r="I24" s="3">
        <f t="shared" si="11"/>
        <v>59.188046452808976</v>
      </c>
      <c r="J24" s="3">
        <f t="shared" si="11"/>
        <v>75.142075295192399</v>
      </c>
      <c r="K24" s="3">
        <f t="shared" si="11"/>
        <v>50.029434916947366</v>
      </c>
      <c r="L24" s="3">
        <f t="shared" si="11"/>
        <v>56.092846130513465</v>
      </c>
    </row>
    <row r="25" spans="2:12" x14ac:dyDescent="0.25">
      <c r="B25" s="10" t="s">
        <v>183</v>
      </c>
      <c r="C25" s="3">
        <f>C23-C21</f>
        <v>58.106652990308191</v>
      </c>
      <c r="D25" s="3">
        <f t="shared" ref="D25:L25" si="12">D23-D21</f>
        <v>73.886899760337371</v>
      </c>
      <c r="E25" s="3">
        <f t="shared" si="12"/>
        <v>55.461717257871896</v>
      </c>
      <c r="F25" s="3">
        <f t="shared" si="12"/>
        <v>66.421225825453973</v>
      </c>
      <c r="G25" s="3">
        <f t="shared" si="12"/>
        <v>56.730291853662663</v>
      </c>
      <c r="H25" s="3">
        <f t="shared" si="12"/>
        <v>72.86067927557184</v>
      </c>
      <c r="I25" s="3">
        <f t="shared" si="12"/>
        <v>62.212007184762001</v>
      </c>
      <c r="J25" s="3">
        <f t="shared" si="12"/>
        <v>81.093312458693333</v>
      </c>
      <c r="K25" s="3">
        <f t="shared" si="12"/>
        <v>52.665900605867193</v>
      </c>
      <c r="L25" s="3">
        <f t="shared" si="12"/>
        <v>58.737193383769124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CEB5D-8EB5-4D33-8476-5B0CB537F4F2}">
  <sheetPr>
    <tabColor theme="3" tint="0.39997558519241921"/>
  </sheetPr>
  <dimension ref="B3:AW56"/>
  <sheetViews>
    <sheetView showGridLines="0" topLeftCell="A6" workbookViewId="0">
      <selection activeCell="O48" sqref="O48"/>
    </sheetView>
  </sheetViews>
  <sheetFormatPr defaultRowHeight="15" x14ac:dyDescent="0.25"/>
  <cols>
    <col min="2" max="2" width="12.85546875" customWidth="1"/>
    <col min="3" max="12" width="6.7109375" customWidth="1"/>
    <col min="13" max="13" width="10.85546875" customWidth="1"/>
    <col min="14" max="14" width="7.42578125" customWidth="1"/>
    <col min="15" max="15" width="8.140625" customWidth="1"/>
    <col min="16" max="21" width="6.7109375" customWidth="1"/>
    <col min="22" max="23" width="9.140625" customWidth="1"/>
    <col min="24" max="25" width="6.7109375" customWidth="1"/>
    <col min="26" max="26" width="12" bestFit="1" customWidth="1"/>
    <col min="27" max="36" width="6.7109375" customWidth="1"/>
    <col min="37" max="37" width="9.5703125" customWidth="1"/>
    <col min="38" max="38" width="11.28515625" bestFit="1" customWidth="1"/>
    <col min="39" max="49" width="6.7109375" customWidth="1"/>
  </cols>
  <sheetData>
    <row r="3" spans="2:48" ht="39.75" customHeight="1" x14ac:dyDescent="0.25">
      <c r="B3" s="28" t="s">
        <v>172</v>
      </c>
      <c r="C3" s="29"/>
      <c r="D3" s="29"/>
      <c r="E3" s="29"/>
      <c r="F3" s="29"/>
      <c r="G3" s="29"/>
      <c r="H3" s="29"/>
      <c r="I3" s="29"/>
      <c r="J3" s="29"/>
      <c r="K3" s="29"/>
      <c r="L3" s="30"/>
      <c r="N3" s="28" t="s">
        <v>173</v>
      </c>
      <c r="O3" s="29"/>
      <c r="P3" s="29"/>
      <c r="Q3" s="29"/>
      <c r="R3" s="29"/>
      <c r="S3" s="29"/>
      <c r="T3" s="29"/>
      <c r="U3" s="29"/>
      <c r="V3" s="29"/>
      <c r="W3" s="29"/>
      <c r="X3" s="30"/>
      <c r="Z3" s="28" t="s">
        <v>174</v>
      </c>
      <c r="AA3" s="29"/>
      <c r="AB3" s="29"/>
      <c r="AC3" s="29"/>
      <c r="AD3" s="29"/>
      <c r="AE3" s="29"/>
      <c r="AF3" s="29"/>
      <c r="AG3" s="29"/>
      <c r="AH3" s="29"/>
      <c r="AI3" s="29"/>
      <c r="AJ3" s="30"/>
      <c r="AL3" s="28" t="s">
        <v>175</v>
      </c>
      <c r="AM3" s="29"/>
      <c r="AN3" s="29"/>
      <c r="AO3" s="29"/>
      <c r="AP3" s="29"/>
      <c r="AQ3" s="29"/>
      <c r="AR3" s="29"/>
      <c r="AS3" s="29"/>
      <c r="AT3" s="29"/>
      <c r="AU3" s="29"/>
      <c r="AV3" s="30"/>
    </row>
    <row r="4" spans="2:48" x14ac:dyDescent="0.25">
      <c r="B4" s="10" t="s">
        <v>25</v>
      </c>
      <c r="C4" s="10">
        <v>2016</v>
      </c>
      <c r="D4" s="10">
        <v>2017</v>
      </c>
      <c r="E4" s="10">
        <v>2018</v>
      </c>
      <c r="F4" s="10">
        <v>2019</v>
      </c>
      <c r="G4" s="10">
        <v>2020</v>
      </c>
      <c r="H4" s="10">
        <v>2021</v>
      </c>
      <c r="I4" s="10">
        <v>2022</v>
      </c>
      <c r="J4" s="10">
        <v>2023</v>
      </c>
      <c r="K4" s="10">
        <v>2024</v>
      </c>
      <c r="L4" s="10">
        <v>2025</v>
      </c>
      <c r="N4" s="10" t="s">
        <v>25</v>
      </c>
      <c r="O4" s="10">
        <v>2016</v>
      </c>
      <c r="P4" s="10">
        <v>2017</v>
      </c>
      <c r="Q4" s="10">
        <v>2018</v>
      </c>
      <c r="R4" s="10">
        <v>2019</v>
      </c>
      <c r="S4" s="10">
        <v>2020</v>
      </c>
      <c r="T4" s="10">
        <v>2021</v>
      </c>
      <c r="U4" s="10">
        <v>2022</v>
      </c>
      <c r="V4" s="10">
        <v>2023</v>
      </c>
      <c r="W4" s="10">
        <v>2024</v>
      </c>
      <c r="X4" s="10">
        <v>2025</v>
      </c>
      <c r="Z4" s="10" t="s">
        <v>25</v>
      </c>
      <c r="AA4" s="10">
        <v>2016</v>
      </c>
      <c r="AB4" s="10">
        <v>2017</v>
      </c>
      <c r="AC4" s="10">
        <v>2018</v>
      </c>
      <c r="AD4" s="10">
        <v>2019</v>
      </c>
      <c r="AE4" s="10">
        <v>2020</v>
      </c>
      <c r="AF4" s="10">
        <v>2021</v>
      </c>
      <c r="AG4" s="10">
        <v>2022</v>
      </c>
      <c r="AH4" s="10">
        <v>2023</v>
      </c>
      <c r="AI4" s="10">
        <v>2024</v>
      </c>
      <c r="AJ4" s="10">
        <v>2025</v>
      </c>
      <c r="AL4" s="10" t="s">
        <v>25</v>
      </c>
      <c r="AM4" s="10">
        <v>2016</v>
      </c>
      <c r="AN4" s="10">
        <v>2017</v>
      </c>
      <c r="AO4" s="10">
        <v>2018</v>
      </c>
      <c r="AP4" s="10">
        <v>2019</v>
      </c>
      <c r="AQ4" s="10">
        <v>2020</v>
      </c>
      <c r="AR4" s="10">
        <v>2021</v>
      </c>
      <c r="AS4" s="10">
        <v>2022</v>
      </c>
      <c r="AT4" s="10">
        <v>2023</v>
      </c>
      <c r="AU4" s="10">
        <v>2024</v>
      </c>
      <c r="AV4" s="10">
        <v>2025</v>
      </c>
    </row>
    <row r="5" spans="2:48" x14ac:dyDescent="0.25">
      <c r="B5" s="10" t="s">
        <v>171</v>
      </c>
      <c r="C5" s="1">
        <v>87409.924443230397</v>
      </c>
      <c r="D5" s="1">
        <v>107327.03426496212</v>
      </c>
      <c r="E5" s="1">
        <v>39818.248837360967</v>
      </c>
      <c r="F5" s="1">
        <v>101863.25949154247</v>
      </c>
      <c r="G5" s="1">
        <v>88217.30411491431</v>
      </c>
      <c r="H5" s="1">
        <v>92682.352712845634</v>
      </c>
      <c r="I5" s="1">
        <v>102157.85630013967</v>
      </c>
      <c r="J5" s="1">
        <v>106664.50436705964</v>
      </c>
      <c r="K5" s="1">
        <v>56076.723903954022</v>
      </c>
      <c r="L5" s="1">
        <v>117384.5578429311</v>
      </c>
      <c r="N5" s="10" t="s">
        <v>171</v>
      </c>
      <c r="O5" s="1">
        <v>105718.47909108712</v>
      </c>
      <c r="P5" s="1">
        <v>129847.96608085711</v>
      </c>
      <c r="Q5" s="1">
        <v>48035.850526115471</v>
      </c>
      <c r="R5" s="1">
        <v>122962.28243509834</v>
      </c>
      <c r="S5" s="1">
        <v>106602.83245854528</v>
      </c>
      <c r="T5" s="1">
        <v>111859.63201788288</v>
      </c>
      <c r="U5" s="1">
        <v>122877.20822893427</v>
      </c>
      <c r="V5" s="1">
        <v>128128.5230988102</v>
      </c>
      <c r="W5" s="1">
        <v>67098.791335465619</v>
      </c>
      <c r="X5" s="1">
        <v>141071.35403057199</v>
      </c>
      <c r="Z5" s="10" t="s">
        <v>171</v>
      </c>
      <c r="AA5" s="1">
        <v>71446.308180736203</v>
      </c>
      <c r="AB5" s="1">
        <v>96129.239577026456</v>
      </c>
      <c r="AC5" s="1">
        <v>25438.758979506427</v>
      </c>
      <c r="AD5" s="1">
        <v>92842.386898594748</v>
      </c>
      <c r="AE5" s="1">
        <v>73674.024489705524</v>
      </c>
      <c r="AF5" s="1">
        <v>79147.123985539496</v>
      </c>
      <c r="AG5" s="1">
        <v>92304.519132280795</v>
      </c>
      <c r="AH5" s="1">
        <v>93821.261828896037</v>
      </c>
      <c r="AI5" s="1">
        <v>44671.270209890536</v>
      </c>
      <c r="AJ5" s="1">
        <v>104736.40186582068</v>
      </c>
      <c r="AL5" s="10" t="s">
        <v>171</v>
      </c>
      <c r="AM5" s="1">
        <v>86334.087915201351</v>
      </c>
      <c r="AN5" s="1">
        <v>116282.50080311026</v>
      </c>
      <c r="AO5" s="1">
        <v>30606.483812616123</v>
      </c>
      <c r="AP5" s="1">
        <v>112049.79527001863</v>
      </c>
      <c r="AQ5" s="1">
        <v>88970.990201528941</v>
      </c>
      <c r="AR5" s="1">
        <v>95502.184634446749</v>
      </c>
      <c r="AS5" s="1">
        <v>110979.98761011771</v>
      </c>
      <c r="AT5" s="1">
        <v>112619.79146132428</v>
      </c>
      <c r="AU5" s="1">
        <v>53320.691475380656</v>
      </c>
      <c r="AV5" s="1">
        <v>125754.10176242002</v>
      </c>
    </row>
    <row r="6" spans="2:48" x14ac:dyDescent="0.25">
      <c r="B6" s="10" t="s">
        <v>160</v>
      </c>
      <c r="C6" s="1">
        <v>153395.38990785851</v>
      </c>
      <c r="D6" s="1">
        <v>188890.03302553386</v>
      </c>
      <c r="E6" s="1">
        <v>126988.127471391</v>
      </c>
      <c r="F6" s="1">
        <v>182394.9403612841</v>
      </c>
      <c r="G6" s="1">
        <v>185606.59836724633</v>
      </c>
      <c r="H6" s="1">
        <v>176979.75765299267</v>
      </c>
      <c r="I6" s="1">
        <v>230617.82466988571</v>
      </c>
      <c r="J6" s="1">
        <v>229048.60374141042</v>
      </c>
      <c r="K6" s="1">
        <v>173512.06652672825</v>
      </c>
      <c r="L6" s="1">
        <v>173866.61281390596</v>
      </c>
      <c r="N6" s="10" t="s">
        <v>160</v>
      </c>
      <c r="O6" s="1">
        <v>185570.66157340701</v>
      </c>
      <c r="P6" s="1">
        <v>228635.66378328673</v>
      </c>
      <c r="Q6" s="1">
        <v>153508.29585543773</v>
      </c>
      <c r="R6" s="1">
        <v>220586.08176634478</v>
      </c>
      <c r="S6" s="1">
        <v>224336.02956562719</v>
      </c>
      <c r="T6" s="1">
        <v>213912.31831983454</v>
      </c>
      <c r="U6" s="1">
        <v>278024.38126694347</v>
      </c>
      <c r="V6" s="1">
        <v>276006.02002827707</v>
      </c>
      <c r="W6" s="1">
        <v>208716.56839951951</v>
      </c>
      <c r="X6" s="1">
        <v>209308.58836183121</v>
      </c>
      <c r="Z6" s="10" t="s">
        <v>160</v>
      </c>
      <c r="AA6" s="1">
        <v>144769.2124323319</v>
      </c>
      <c r="AB6" s="1">
        <v>183925.77434280523</v>
      </c>
      <c r="AC6" s="1">
        <v>115762.77434072112</v>
      </c>
      <c r="AD6" s="1">
        <v>176054.38763856664</v>
      </c>
      <c r="AE6" s="1">
        <v>177116.82300138072</v>
      </c>
      <c r="AF6" s="1">
        <v>168512.25695484874</v>
      </c>
      <c r="AG6" s="1">
        <v>223308.58036548586</v>
      </c>
      <c r="AH6" s="1">
        <v>220383.38414536649</v>
      </c>
      <c r="AI6" s="1">
        <v>162533.60993096529</v>
      </c>
      <c r="AJ6" s="1">
        <v>165026.41240375603</v>
      </c>
      <c r="AL6" s="10" t="s">
        <v>160</v>
      </c>
      <c r="AM6" s="1">
        <v>175097.10314125879</v>
      </c>
      <c r="AN6" s="1">
        <v>222612.53837899893</v>
      </c>
      <c r="AO6" s="1">
        <v>139891.33451960079</v>
      </c>
      <c r="AP6" s="1">
        <v>212896.55158264961</v>
      </c>
      <c r="AQ6" s="1">
        <v>214052.64341773855</v>
      </c>
      <c r="AR6" s="1">
        <v>203665.83322878025</v>
      </c>
      <c r="AS6" s="1">
        <v>269204.38101558626</v>
      </c>
      <c r="AT6" s="1">
        <v>265545.18386236322</v>
      </c>
      <c r="AU6" s="1">
        <v>195452.86118056314</v>
      </c>
      <c r="AV6" s="1">
        <v>198608.03147597259</v>
      </c>
    </row>
    <row r="7" spans="2:48" x14ac:dyDescent="0.25">
      <c r="B7" s="10" t="s">
        <v>170</v>
      </c>
      <c r="C7" s="1">
        <v>2540.9380756807927</v>
      </c>
      <c r="D7" s="1">
        <v>37154.767790159909</v>
      </c>
      <c r="E7" s="1">
        <v>1086.7059568652824</v>
      </c>
      <c r="F7" s="1">
        <v>11724.412801444312</v>
      </c>
      <c r="G7" s="1">
        <v>899.10260904265056</v>
      </c>
      <c r="H7" s="1">
        <v>18892.295474502578</v>
      </c>
      <c r="I7" s="1">
        <v>10574.215025254012</v>
      </c>
      <c r="J7" s="1">
        <v>75412.041986615586</v>
      </c>
      <c r="K7" s="1">
        <v>2191.5438533937468</v>
      </c>
      <c r="L7" s="1">
        <v>638.74741899341916</v>
      </c>
      <c r="N7" s="10" t="s">
        <v>170</v>
      </c>
      <c r="O7" s="1">
        <v>3040.5271810848831</v>
      </c>
      <c r="P7" s="1">
        <v>45060.151091682761</v>
      </c>
      <c r="Q7" s="1">
        <v>1290.8880181759357</v>
      </c>
      <c r="R7" s="1">
        <v>14189.09600351645</v>
      </c>
      <c r="S7" s="1">
        <v>1067.9157124903945</v>
      </c>
      <c r="T7" s="1">
        <v>22930.686944362289</v>
      </c>
      <c r="U7" s="1">
        <v>12795.43365256743</v>
      </c>
      <c r="V7" s="1">
        <v>90973.623643736137</v>
      </c>
      <c r="W7" s="1">
        <v>2641.6516784192913</v>
      </c>
      <c r="X7" s="1">
        <v>758.74574271365475</v>
      </c>
      <c r="Z7" s="10" t="s">
        <v>170</v>
      </c>
      <c r="AA7" s="1">
        <v>1296.0953224097225</v>
      </c>
      <c r="AB7" s="1">
        <v>4918.4679433131932</v>
      </c>
      <c r="AC7" s="1">
        <v>15.398794855211563</v>
      </c>
      <c r="AD7" s="1">
        <v>1814.2932595093848</v>
      </c>
      <c r="AE7" s="1">
        <v>6.8813997043730062</v>
      </c>
      <c r="AF7" s="1">
        <v>2780.3399181776886</v>
      </c>
      <c r="AG7" s="1">
        <v>2986.6220488226718</v>
      </c>
      <c r="AH7" s="1">
        <v>26835.45157806615</v>
      </c>
      <c r="AI7" s="1">
        <v>280.99620412326334</v>
      </c>
      <c r="AJ7" s="1">
        <v>38.782663108722893</v>
      </c>
      <c r="AL7" s="10" t="s">
        <v>170</v>
      </c>
      <c r="AM7" s="1">
        <v>1562.2764115754881</v>
      </c>
      <c r="AN7" s="1">
        <v>5939.354856236132</v>
      </c>
      <c r="AO7" s="1">
        <v>18.626412257272431</v>
      </c>
      <c r="AP7" s="1">
        <v>2201.8047147815432</v>
      </c>
      <c r="AQ7" s="1">
        <v>8.3559853553100805</v>
      </c>
      <c r="AR7" s="1">
        <v>3375.4676054800361</v>
      </c>
      <c r="AS7" s="1">
        <v>3617.7116909155457</v>
      </c>
      <c r="AT7" s="1">
        <v>32040.424616456272</v>
      </c>
      <c r="AU7" s="1">
        <v>340.71260892533974</v>
      </c>
      <c r="AV7" s="1">
        <v>46.287595100577846</v>
      </c>
    </row>
    <row r="8" spans="2:48" x14ac:dyDescent="0.25">
      <c r="B8" s="10" t="s">
        <v>158</v>
      </c>
      <c r="C8" s="1">
        <v>184241.54745354567</v>
      </c>
      <c r="D8" s="1">
        <v>123501.05050596113</v>
      </c>
      <c r="E8" s="1">
        <v>186783.84135959827</v>
      </c>
      <c r="F8" s="1">
        <v>142241.81521693873</v>
      </c>
      <c r="G8" s="1">
        <v>159676.17443806728</v>
      </c>
      <c r="H8" s="1">
        <v>192882.9457879719</v>
      </c>
      <c r="I8" s="1">
        <v>190465.13064333104</v>
      </c>
      <c r="J8" s="1">
        <v>212703.24113463672</v>
      </c>
      <c r="K8" s="1">
        <v>206241.45789553272</v>
      </c>
      <c r="L8" s="1">
        <v>212111.84398379619</v>
      </c>
      <c r="N8" s="10" t="s">
        <v>158</v>
      </c>
      <c r="O8" s="1">
        <v>223073.48937611014</v>
      </c>
      <c r="P8" s="1">
        <v>149372.46073569814</v>
      </c>
      <c r="Q8" s="1">
        <v>226159.35556052128</v>
      </c>
      <c r="R8" s="1">
        <v>172231.87793018835</v>
      </c>
      <c r="S8" s="1">
        <v>193054.54229247844</v>
      </c>
      <c r="T8" s="1">
        <v>233285.00991702976</v>
      </c>
      <c r="U8" s="1">
        <v>229600.10556483458</v>
      </c>
      <c r="V8" s="1">
        <v>256518.03898984962</v>
      </c>
      <c r="W8" s="1">
        <v>248459.29839326852</v>
      </c>
      <c r="X8" s="1">
        <v>255862.11451878375</v>
      </c>
      <c r="Z8" s="10" t="s">
        <v>158</v>
      </c>
      <c r="AA8" s="1">
        <v>180553.70078519185</v>
      </c>
      <c r="AB8" s="1">
        <v>121443.55806418908</v>
      </c>
      <c r="AC8" s="1">
        <v>180174.58544639946</v>
      </c>
      <c r="AD8" s="1">
        <v>139497.0708618217</v>
      </c>
      <c r="AE8" s="1">
        <v>155954.41386343323</v>
      </c>
      <c r="AF8" s="1">
        <v>188686.5405430659</v>
      </c>
      <c r="AG8" s="1">
        <v>186744.32189946008</v>
      </c>
      <c r="AH8" s="1">
        <v>208856.13389839779</v>
      </c>
      <c r="AI8" s="1">
        <v>200125.25103880456</v>
      </c>
      <c r="AJ8" s="1">
        <v>206367.57111378328</v>
      </c>
      <c r="AL8" s="10" t="s">
        <v>158</v>
      </c>
      <c r="AM8" s="1">
        <v>218595.38985025193</v>
      </c>
      <c r="AN8" s="1">
        <v>146873.43919835018</v>
      </c>
      <c r="AO8" s="1">
        <v>218135.74609723399</v>
      </c>
      <c r="AP8" s="1">
        <v>168904.7597548725</v>
      </c>
      <c r="AQ8" s="1">
        <v>188554.31292188648</v>
      </c>
      <c r="AR8" s="1">
        <v>228206.11468269982</v>
      </c>
      <c r="AS8" s="1">
        <v>225111.56321940877</v>
      </c>
      <c r="AT8" s="1">
        <v>251851.57320509176</v>
      </c>
      <c r="AU8" s="1">
        <v>241071.83630604477</v>
      </c>
      <c r="AV8" s="1">
        <v>248904.71702140523</v>
      </c>
    </row>
    <row r="9" spans="2:48" x14ac:dyDescent="0.25">
      <c r="B9" s="10" t="s">
        <v>166</v>
      </c>
      <c r="C9" s="1">
        <v>8998.0679244151506</v>
      </c>
      <c r="D9" s="1">
        <v>21546.318118536758</v>
      </c>
      <c r="E9" s="1">
        <v>6803.8033454863134</v>
      </c>
      <c r="F9" s="1">
        <v>56802.593023273104</v>
      </c>
      <c r="G9" s="1">
        <v>17710.434893055492</v>
      </c>
      <c r="H9" s="1">
        <v>37409.401420189475</v>
      </c>
      <c r="I9" s="1">
        <v>79079.173731247458</v>
      </c>
      <c r="J9" s="1">
        <v>63490.294710266237</v>
      </c>
      <c r="K9" s="1">
        <v>43934.46028398005</v>
      </c>
      <c r="L9" s="1">
        <v>31774.479823275979</v>
      </c>
      <c r="N9" s="10" t="s">
        <v>166</v>
      </c>
      <c r="O9" s="1">
        <v>10880.968116019554</v>
      </c>
      <c r="P9" s="1">
        <v>26035.328124729636</v>
      </c>
      <c r="Q9" s="1">
        <v>8190.7720614838809</v>
      </c>
      <c r="R9" s="1">
        <v>68575.931580215722</v>
      </c>
      <c r="S9" s="1">
        <v>21390.200416268231</v>
      </c>
      <c r="T9" s="1">
        <v>45137.571044435746</v>
      </c>
      <c r="U9" s="1">
        <v>95251.265927470362</v>
      </c>
      <c r="V9" s="1">
        <v>76325.919863577321</v>
      </c>
      <c r="W9" s="1">
        <v>52598.173092911347</v>
      </c>
      <c r="X9" s="1">
        <v>38128.074506156408</v>
      </c>
      <c r="Z9" s="10" t="s">
        <v>166</v>
      </c>
      <c r="AA9" s="1">
        <v>2544.9448957599511</v>
      </c>
      <c r="AB9" s="1">
        <v>15387.367003073892</v>
      </c>
      <c r="AC9" s="1">
        <v>5447.065797358865</v>
      </c>
      <c r="AD9" s="1">
        <v>37503.768478114391</v>
      </c>
      <c r="AE9" s="1">
        <v>12728.080865800581</v>
      </c>
      <c r="AF9" s="1">
        <v>24028.219138826931</v>
      </c>
      <c r="AG9" s="1">
        <v>64859.532434892004</v>
      </c>
      <c r="AH9" s="1">
        <v>49637.786348314839</v>
      </c>
      <c r="AI9" s="1">
        <v>36846.693815233972</v>
      </c>
      <c r="AJ9" s="1">
        <v>23794.576918090203</v>
      </c>
      <c r="AL9" s="10" t="s">
        <v>166</v>
      </c>
      <c r="AM9" s="1">
        <v>3047.4889660516501</v>
      </c>
      <c r="AN9" s="1">
        <v>18564.508296650976</v>
      </c>
      <c r="AO9" s="1">
        <v>6559.6347416846102</v>
      </c>
      <c r="AP9" s="1">
        <v>45251.9533548455</v>
      </c>
      <c r="AQ9" s="1">
        <v>15379.38624857859</v>
      </c>
      <c r="AR9" s="1">
        <v>28978.207358265809</v>
      </c>
      <c r="AS9" s="1">
        <v>78082.381296845546</v>
      </c>
      <c r="AT9" s="1">
        <v>59599.657173619729</v>
      </c>
      <c r="AU9" s="1">
        <v>44096.603801894096</v>
      </c>
      <c r="AV9" s="1">
        <v>28505.466665743981</v>
      </c>
    </row>
    <row r="10" spans="2:48" x14ac:dyDescent="0.25">
      <c r="B10" s="10" t="s">
        <v>159</v>
      </c>
      <c r="C10" s="1">
        <v>24259.287886399936</v>
      </c>
      <c r="D10" s="1">
        <v>31214.370224195318</v>
      </c>
      <c r="E10" s="1">
        <v>31488.930077747682</v>
      </c>
      <c r="F10" s="1">
        <v>9320.8666542475512</v>
      </c>
      <c r="G10" s="1">
        <v>9483.4432676429897</v>
      </c>
      <c r="H10" s="1">
        <v>17537.650026760242</v>
      </c>
      <c r="I10" s="1">
        <v>17136.733872722893</v>
      </c>
      <c r="J10" s="1">
        <v>11583.517126397162</v>
      </c>
      <c r="K10" s="1">
        <v>12571.907572364405</v>
      </c>
      <c r="L10" s="1">
        <v>28490.611122976839</v>
      </c>
      <c r="N10" s="10" t="s">
        <v>159</v>
      </c>
      <c r="O10" s="1">
        <v>29416.663684653904</v>
      </c>
      <c r="P10" s="1">
        <v>37827.03175087813</v>
      </c>
      <c r="Q10" s="1">
        <v>38189.591630576535</v>
      </c>
      <c r="R10" s="1">
        <v>11270.138550018944</v>
      </c>
      <c r="S10" s="1">
        <v>11515.292904656053</v>
      </c>
      <c r="T10" s="1">
        <v>21290.766675941722</v>
      </c>
      <c r="U10" s="1">
        <v>20752.682217912046</v>
      </c>
      <c r="V10" s="1">
        <v>13883.026963443408</v>
      </c>
      <c r="W10" s="1">
        <v>15219.383422501485</v>
      </c>
      <c r="X10" s="1">
        <v>34432.66731740543</v>
      </c>
      <c r="Z10" s="10" t="s">
        <v>159</v>
      </c>
      <c r="AA10" s="1">
        <v>24259.287886399936</v>
      </c>
      <c r="AB10" s="1">
        <v>30887.133079183473</v>
      </c>
      <c r="AC10" s="1">
        <v>30805.811577376215</v>
      </c>
      <c r="AD10" s="1">
        <v>9305.9143948337187</v>
      </c>
      <c r="AE10" s="1">
        <v>9325.1683134708201</v>
      </c>
      <c r="AF10" s="1">
        <v>17537.650026760242</v>
      </c>
      <c r="AG10" s="1">
        <v>16895.790684826257</v>
      </c>
      <c r="AH10" s="1">
        <v>11896.060284508654</v>
      </c>
      <c r="AI10" s="1">
        <v>12644.783011840755</v>
      </c>
      <c r="AJ10" s="1">
        <v>28770.23974500933</v>
      </c>
      <c r="AL10" s="10" t="s">
        <v>159</v>
      </c>
      <c r="AM10" s="1">
        <v>29416.663684653904</v>
      </c>
      <c r="AN10" s="1">
        <v>37429.672360506593</v>
      </c>
      <c r="AO10" s="1">
        <v>37360.090594411195</v>
      </c>
      <c r="AP10" s="1">
        <v>11252.382741965021</v>
      </c>
      <c r="AQ10" s="1">
        <v>11323.101888875559</v>
      </c>
      <c r="AR10" s="1">
        <v>21290.766675941722</v>
      </c>
      <c r="AS10" s="1">
        <v>20460.1083468947</v>
      </c>
      <c r="AT10" s="1">
        <v>14261.643187621799</v>
      </c>
      <c r="AU10" s="1">
        <v>15307.875027579916</v>
      </c>
      <c r="AV10" s="1">
        <v>34772.21635844485</v>
      </c>
    </row>
    <row r="11" spans="2:48" x14ac:dyDescent="0.25">
      <c r="B11" s="10" t="s">
        <v>176</v>
      </c>
      <c r="C11" s="1">
        <v>75040.514878950882</v>
      </c>
      <c r="D11" s="1">
        <v>73506.547702176031</v>
      </c>
      <c r="E11" s="1">
        <v>100376.12431389584</v>
      </c>
      <c r="F11" s="1">
        <v>66950.741880842557</v>
      </c>
      <c r="G11" s="1">
        <v>55873.632866606815</v>
      </c>
      <c r="H11" s="1">
        <v>44690.354423642384</v>
      </c>
      <c r="I11" s="1">
        <v>42811.439804722679</v>
      </c>
      <c r="J11" s="1">
        <v>58143.722931238532</v>
      </c>
      <c r="K11" s="1">
        <v>98848.013709649706</v>
      </c>
      <c r="L11" s="1">
        <v>85587.239633043093</v>
      </c>
      <c r="N11" s="10" t="s">
        <v>176</v>
      </c>
      <c r="O11" s="1">
        <v>90874.399985063486</v>
      </c>
      <c r="P11" s="1">
        <v>89031.665108905523</v>
      </c>
      <c r="Q11" s="1">
        <v>121566.91682434328</v>
      </c>
      <c r="R11" s="1">
        <v>81001.288258384724</v>
      </c>
      <c r="S11" s="1">
        <v>67468.095350924574</v>
      </c>
      <c r="T11" s="1">
        <v>54015.379638315782</v>
      </c>
      <c r="U11" s="1">
        <v>51546.145403472714</v>
      </c>
      <c r="V11" s="1">
        <v>70181.207756470962</v>
      </c>
      <c r="W11" s="1">
        <v>119019.22826459137</v>
      </c>
      <c r="X11" s="1">
        <v>103244.77014783304</v>
      </c>
      <c r="Z11" s="10" t="s">
        <v>176</v>
      </c>
      <c r="AA11" s="1">
        <v>72736.377493180393</v>
      </c>
      <c r="AB11" s="1">
        <v>71935.07370471122</v>
      </c>
      <c r="AC11" s="1">
        <v>98170.746249528107</v>
      </c>
      <c r="AD11" s="1">
        <v>66130.167021473462</v>
      </c>
      <c r="AE11" s="1">
        <v>54804.075385307202</v>
      </c>
      <c r="AF11" s="1">
        <v>43011.592497407903</v>
      </c>
      <c r="AG11" s="1">
        <v>42200.566132599772</v>
      </c>
      <c r="AH11" s="1">
        <v>57978.196219201076</v>
      </c>
      <c r="AI11" s="1">
        <v>96444.260103509761</v>
      </c>
      <c r="AJ11" s="1">
        <v>83674.716247765042</v>
      </c>
      <c r="AL11" s="10" t="s">
        <v>176</v>
      </c>
      <c r="AM11" s="1">
        <v>88076.518873770765</v>
      </c>
      <c r="AN11" s="1">
        <v>87124.145985865325</v>
      </c>
      <c r="AO11" s="1">
        <v>118889.72646334278</v>
      </c>
      <c r="AP11" s="1">
        <v>80000.726490114044</v>
      </c>
      <c r="AQ11" s="1">
        <v>66169.720773180292</v>
      </c>
      <c r="AR11" s="1">
        <v>51976.433142848298</v>
      </c>
      <c r="AS11" s="1">
        <v>50804.304536148804</v>
      </c>
      <c r="AT11" s="1">
        <v>69977.832979854429</v>
      </c>
      <c r="AU11" s="1">
        <v>116107.35443548922</v>
      </c>
      <c r="AV11" s="1">
        <v>100922.14758214777</v>
      </c>
    </row>
    <row r="12" spans="2:48" ht="16.5" customHeight="1" x14ac:dyDescent="0.25">
      <c r="B12" s="10" t="s">
        <v>167</v>
      </c>
      <c r="C12" s="1">
        <v>535885.67057008098</v>
      </c>
      <c r="D12" s="1">
        <v>583140.12163152511</v>
      </c>
      <c r="E12" s="1">
        <v>493345.78136234533</v>
      </c>
      <c r="F12" s="1">
        <v>571298.62942957284</v>
      </c>
      <c r="G12" s="1">
        <v>517466.69055657589</v>
      </c>
      <c r="H12" s="1">
        <v>581074.75749890495</v>
      </c>
      <c r="I12" s="1">
        <v>672842.37404730346</v>
      </c>
      <c r="J12" s="1">
        <v>757045.92599762417</v>
      </c>
      <c r="K12" s="1">
        <v>593376.17374560283</v>
      </c>
      <c r="L12" s="1">
        <v>649854.09263892262</v>
      </c>
      <c r="N12" s="10" t="s">
        <v>167</v>
      </c>
      <c r="O12" s="1">
        <v>648575.18900742615</v>
      </c>
      <c r="P12" s="1">
        <v>705810.26667603804</v>
      </c>
      <c r="Q12" s="1">
        <v>596941.67047665408</v>
      </c>
      <c r="R12" s="1">
        <v>690816.6965237672</v>
      </c>
      <c r="S12" s="1">
        <v>625434.90870099002</v>
      </c>
      <c r="T12" s="1">
        <v>702431.36455780268</v>
      </c>
      <c r="U12" s="1">
        <v>810847.22226213489</v>
      </c>
      <c r="V12" s="1">
        <v>912016.36034416477</v>
      </c>
      <c r="W12" s="1">
        <v>713753.09458667715</v>
      </c>
      <c r="X12" s="1">
        <v>782806.31462529546</v>
      </c>
      <c r="Z12" s="10" t="s">
        <v>167</v>
      </c>
      <c r="AA12" s="1">
        <v>497605.92699600995</v>
      </c>
      <c r="AB12" s="1">
        <v>524626.61371430266</v>
      </c>
      <c r="AC12" s="1">
        <v>455815.14118574548</v>
      </c>
      <c r="AD12" s="1">
        <v>523147.98855291406</v>
      </c>
      <c r="AE12" s="1">
        <v>483609.46731880243</v>
      </c>
      <c r="AF12" s="1">
        <v>523703.72306462697</v>
      </c>
      <c r="AG12" s="1">
        <v>629299.9326983674</v>
      </c>
      <c r="AH12" s="1">
        <v>669408.27430275106</v>
      </c>
      <c r="AI12" s="1">
        <v>553546.86431436811</v>
      </c>
      <c r="AJ12" s="1">
        <v>612408.7009573332</v>
      </c>
      <c r="AL12" s="10" t="s">
        <v>167</v>
      </c>
      <c r="AM12" s="1">
        <v>602129.52884276386</v>
      </c>
      <c r="AN12" s="1">
        <v>634826.15987971844</v>
      </c>
      <c r="AO12" s="1">
        <v>551461.64264114667</v>
      </c>
      <c r="AP12" s="1">
        <v>632557.97390924674</v>
      </c>
      <c r="AQ12" s="1">
        <v>584458.51143714366</v>
      </c>
      <c r="AR12" s="1">
        <v>632995.00732846267</v>
      </c>
      <c r="AS12" s="1">
        <v>758260.43771591736</v>
      </c>
      <c r="AT12" s="1">
        <v>805896.10648633156</v>
      </c>
      <c r="AU12" s="1">
        <v>665697.93483587727</v>
      </c>
      <c r="AV12" s="1">
        <v>737512.96846123494</v>
      </c>
    </row>
    <row r="14" spans="2:48" x14ac:dyDescent="0.25">
      <c r="B14" s="10" t="s">
        <v>25</v>
      </c>
      <c r="C14" s="10">
        <v>2016</v>
      </c>
      <c r="D14" s="10">
        <v>2017</v>
      </c>
      <c r="E14" s="10">
        <v>2018</v>
      </c>
      <c r="F14" s="10">
        <v>2019</v>
      </c>
      <c r="G14" s="10">
        <v>2020</v>
      </c>
      <c r="H14" s="10">
        <v>2021</v>
      </c>
      <c r="I14" s="10">
        <v>2022</v>
      </c>
      <c r="J14" s="10">
        <v>2023</v>
      </c>
      <c r="K14" s="10">
        <v>2024</v>
      </c>
      <c r="L14" s="10">
        <v>2025</v>
      </c>
      <c r="M14" s="10"/>
      <c r="N14" s="10" t="s">
        <v>25</v>
      </c>
      <c r="O14" s="10">
        <v>2016</v>
      </c>
      <c r="P14" s="10">
        <v>2017</v>
      </c>
      <c r="Q14" s="10">
        <v>2018</v>
      </c>
      <c r="R14" s="10">
        <v>2019</v>
      </c>
      <c r="S14" s="10">
        <v>2020</v>
      </c>
      <c r="T14" s="10">
        <v>2021</v>
      </c>
      <c r="U14" s="10">
        <v>2022</v>
      </c>
      <c r="V14" s="10">
        <v>2023</v>
      </c>
      <c r="W14" s="10">
        <v>2024</v>
      </c>
      <c r="X14" s="10">
        <v>2025</v>
      </c>
      <c r="Z14" s="10" t="s">
        <v>25</v>
      </c>
      <c r="AA14" s="10">
        <v>2016</v>
      </c>
      <c r="AB14" s="10">
        <v>2017</v>
      </c>
      <c r="AC14" s="10">
        <v>2018</v>
      </c>
      <c r="AD14" s="10">
        <v>2019</v>
      </c>
      <c r="AE14" s="10">
        <v>2020</v>
      </c>
      <c r="AF14" s="10">
        <v>2021</v>
      </c>
      <c r="AG14" s="10">
        <v>2022</v>
      </c>
      <c r="AH14" s="10">
        <v>2023</v>
      </c>
      <c r="AI14" s="10">
        <v>2024</v>
      </c>
      <c r="AJ14" s="10">
        <v>2025</v>
      </c>
      <c r="AL14" s="10" t="s">
        <v>25</v>
      </c>
      <c r="AM14" s="10">
        <v>2016</v>
      </c>
      <c r="AN14" s="10">
        <v>2017</v>
      </c>
      <c r="AO14" s="10">
        <v>2018</v>
      </c>
      <c r="AP14" s="10">
        <v>2019</v>
      </c>
      <c r="AQ14" s="10">
        <v>2020</v>
      </c>
      <c r="AR14" s="10">
        <v>2021</v>
      </c>
      <c r="AS14" s="10">
        <v>2022</v>
      </c>
      <c r="AT14" s="10">
        <v>2023</v>
      </c>
      <c r="AU14" s="10">
        <v>2024</v>
      </c>
      <c r="AV14" s="10">
        <v>2025</v>
      </c>
    </row>
    <row r="15" spans="2:48" x14ac:dyDescent="0.25">
      <c r="B15" s="10" t="s">
        <v>171</v>
      </c>
      <c r="C15" s="1">
        <f>C5/C$12</f>
        <v>0.16311300944144069</v>
      </c>
      <c r="D15" s="1">
        <f t="shared" ref="D15:L15" si="0">D5/D$12</f>
        <v>0.1840501627030561</v>
      </c>
      <c r="E15" s="1">
        <f t="shared" si="0"/>
        <v>8.0710630031952876E-2</v>
      </c>
      <c r="F15" s="1">
        <f t="shared" si="0"/>
        <v>0.17830124954658189</v>
      </c>
      <c r="G15" s="1">
        <f t="shared" si="0"/>
        <v>0.17047919358834421</v>
      </c>
      <c r="H15" s="1">
        <f t="shared" si="0"/>
        <v>0.15950159857532667</v>
      </c>
      <c r="I15" s="1">
        <f t="shared" si="0"/>
        <v>0.15183029523785249</v>
      </c>
      <c r="J15" s="1">
        <f t="shared" si="0"/>
        <v>0.14089568506230146</v>
      </c>
      <c r="K15" s="1">
        <f t="shared" si="0"/>
        <v>9.4504508918815636E-2</v>
      </c>
      <c r="L15" s="1">
        <f t="shared" si="0"/>
        <v>0.18063217447205229</v>
      </c>
      <c r="N15" s="10" t="s">
        <v>171</v>
      </c>
      <c r="O15" s="1">
        <f t="shared" ref="O15:X21" si="1">O5/O$12</f>
        <v>0.16300111518739679</v>
      </c>
      <c r="P15" s="1">
        <f t="shared" si="1"/>
        <v>0.18397007271141949</v>
      </c>
      <c r="Q15" s="1">
        <f t="shared" si="1"/>
        <v>8.0469923447895927E-2</v>
      </c>
      <c r="R15" s="1">
        <f t="shared" si="1"/>
        <v>0.17799552769041663</v>
      </c>
      <c r="S15" s="1">
        <f t="shared" si="1"/>
        <v>0.17044592646732212</v>
      </c>
      <c r="T15" s="1">
        <f t="shared" si="1"/>
        <v>0.15924635154681793</v>
      </c>
      <c r="U15" s="1">
        <f t="shared" si="1"/>
        <v>0.15154175146105375</v>
      </c>
      <c r="V15" s="1">
        <f t="shared" si="1"/>
        <v>0.14048928140988473</v>
      </c>
      <c r="W15" s="1">
        <f t="shared" si="1"/>
        <v>9.4008406890791055E-2</v>
      </c>
      <c r="X15" s="1">
        <f t="shared" si="1"/>
        <v>0.18021233528002181</v>
      </c>
      <c r="Z15" s="10" t="s">
        <v>171</v>
      </c>
      <c r="AA15" s="1">
        <f t="shared" ref="AA15:AJ21" si="2">AA5/AA$12</f>
        <v>0.14358009883855161</v>
      </c>
      <c r="AB15" s="1">
        <f t="shared" si="2"/>
        <v>0.18323363143253693</v>
      </c>
      <c r="AC15" s="1">
        <f t="shared" si="2"/>
        <v>5.5809376830551767E-2</v>
      </c>
      <c r="AD15" s="1">
        <f t="shared" si="2"/>
        <v>0.17746868750352493</v>
      </c>
      <c r="AE15" s="1">
        <f t="shared" si="2"/>
        <v>0.15234198143010821</v>
      </c>
      <c r="AF15" s="1">
        <f t="shared" si="2"/>
        <v>0.15112958052385747</v>
      </c>
      <c r="AG15" s="1">
        <f t="shared" si="2"/>
        <v>0.14667810107096213</v>
      </c>
      <c r="AH15" s="1">
        <f t="shared" si="2"/>
        <v>0.14015551559564948</v>
      </c>
      <c r="AI15" s="1">
        <f t="shared" si="2"/>
        <v>8.0700069117401782E-2</v>
      </c>
      <c r="AJ15" s="1">
        <f t="shared" si="2"/>
        <v>0.17102369986267996</v>
      </c>
      <c r="AL15" s="10" t="s">
        <v>171</v>
      </c>
      <c r="AM15" s="1">
        <f t="shared" ref="AM15:AV21" si="3">AM5/AM$12</f>
        <v>0.14338125565960422</v>
      </c>
      <c r="AN15" s="1">
        <f t="shared" si="3"/>
        <v>0.18317219445579008</v>
      </c>
      <c r="AO15" s="1">
        <f t="shared" si="3"/>
        <v>5.5500657608806202E-2</v>
      </c>
      <c r="AP15" s="1">
        <f t="shared" si="3"/>
        <v>0.17713759037380256</v>
      </c>
      <c r="AQ15" s="1">
        <f t="shared" si="3"/>
        <v>0.15222806830677396</v>
      </c>
      <c r="AR15" s="1">
        <f t="shared" si="3"/>
        <v>0.15087351958352876</v>
      </c>
      <c r="AS15" s="1">
        <f t="shared" si="3"/>
        <v>0.14636130554881516</v>
      </c>
      <c r="AT15" s="1">
        <f t="shared" si="3"/>
        <v>0.13974480153817986</v>
      </c>
      <c r="AU15" s="1">
        <f t="shared" si="3"/>
        <v>8.009742660314316E-2</v>
      </c>
      <c r="AV15" s="1">
        <f t="shared" si="3"/>
        <v>0.17051103796153774</v>
      </c>
    </row>
    <row r="16" spans="2:48" x14ac:dyDescent="0.25">
      <c r="B16" s="10" t="s">
        <v>160</v>
      </c>
      <c r="C16" s="1">
        <f>C6/C$12</f>
        <v>0.28624648564436295</v>
      </c>
      <c r="D16" s="1">
        <f t="shared" ref="C16:L21" si="4">D6/D$12</f>
        <v>0.32391877358232918</v>
      </c>
      <c r="E16" s="1">
        <f t="shared" si="4"/>
        <v>0.25740187160559225</v>
      </c>
      <c r="F16" s="1">
        <f t="shared" si="4"/>
        <v>0.31926374572857075</v>
      </c>
      <c r="G16" s="1">
        <f t="shared" si="4"/>
        <v>0.35868318049150549</v>
      </c>
      <c r="H16" s="1">
        <f t="shared" si="4"/>
        <v>0.30457312999580127</v>
      </c>
      <c r="I16" s="1">
        <f t="shared" si="4"/>
        <v>0.34275163628988736</v>
      </c>
      <c r="J16" s="1">
        <f t="shared" si="4"/>
        <v>0.30255575768348991</v>
      </c>
      <c r="K16" s="1">
        <f t="shared" si="4"/>
        <v>0.29241495395991041</v>
      </c>
      <c r="L16" s="1">
        <f t="shared" si="4"/>
        <v>0.26754715371241217</v>
      </c>
      <c r="N16" s="10" t="s">
        <v>160</v>
      </c>
      <c r="O16" s="1">
        <f t="shared" si="1"/>
        <v>0.2861205064865382</v>
      </c>
      <c r="P16" s="1">
        <f t="shared" si="1"/>
        <v>0.32393360450823377</v>
      </c>
      <c r="Q16" s="1">
        <f t="shared" si="1"/>
        <v>0.25715794934011282</v>
      </c>
      <c r="R16" s="1">
        <f t="shared" si="1"/>
        <v>0.3193120300599967</v>
      </c>
      <c r="S16" s="1">
        <f t="shared" si="1"/>
        <v>0.35868805281682559</v>
      </c>
      <c r="T16" s="1">
        <f t="shared" si="1"/>
        <v>0.30453127396225743</v>
      </c>
      <c r="U16" s="1">
        <f t="shared" si="1"/>
        <v>0.34288133896703699</v>
      </c>
      <c r="V16" s="1">
        <f t="shared" si="1"/>
        <v>0.30263275093455727</v>
      </c>
      <c r="W16" s="1">
        <f t="shared" si="1"/>
        <v>0.29242124480088438</v>
      </c>
      <c r="X16" s="1">
        <f t="shared" si="1"/>
        <v>0.26738234535323158</v>
      </c>
      <c r="Z16" s="10" t="s">
        <v>160</v>
      </c>
      <c r="AA16" s="1">
        <f t="shared" si="2"/>
        <v>0.29093144711174779</v>
      </c>
      <c r="AB16" s="1">
        <f t="shared" si="2"/>
        <v>0.35058414791546622</v>
      </c>
      <c r="AC16" s="1">
        <f t="shared" si="2"/>
        <v>0.25396869011323076</v>
      </c>
      <c r="AD16" s="1">
        <f t="shared" si="2"/>
        <v>0.33652884363667879</v>
      </c>
      <c r="AE16" s="1">
        <f t="shared" si="2"/>
        <v>0.36623936248258498</v>
      </c>
      <c r="AF16" s="1">
        <f t="shared" si="2"/>
        <v>0.32177021001252976</v>
      </c>
      <c r="AG16" s="1">
        <f t="shared" si="2"/>
        <v>0.35485238240526068</v>
      </c>
      <c r="AH16" s="1">
        <f t="shared" si="2"/>
        <v>0.32922118325309857</v>
      </c>
      <c r="AI16" s="1">
        <f t="shared" si="2"/>
        <v>0.2936221310408505</v>
      </c>
      <c r="AJ16" s="1">
        <f t="shared" si="2"/>
        <v>0.26947104465658711</v>
      </c>
      <c r="AL16" s="10" t="s">
        <v>160</v>
      </c>
      <c r="AM16" s="1">
        <f t="shared" si="3"/>
        <v>0.29079640634429421</v>
      </c>
      <c r="AN16" s="1">
        <f t="shared" si="3"/>
        <v>0.35066692655069176</v>
      </c>
      <c r="AO16" s="1">
        <f t="shared" si="3"/>
        <v>0.2536737348578067</v>
      </c>
      <c r="AP16" s="1">
        <f t="shared" si="3"/>
        <v>0.33656448952328588</v>
      </c>
      <c r="AQ16" s="1">
        <f t="shared" si="3"/>
        <v>0.36624095505324694</v>
      </c>
      <c r="AR16" s="1">
        <f t="shared" si="3"/>
        <v>0.32174950966571769</v>
      </c>
      <c r="AS16" s="1">
        <f t="shared" si="3"/>
        <v>0.35502891569353351</v>
      </c>
      <c r="AT16" s="1">
        <f t="shared" si="3"/>
        <v>0.32950299886684836</v>
      </c>
      <c r="AU16" s="1">
        <f t="shared" si="3"/>
        <v>0.29360592988582807</v>
      </c>
      <c r="AV16" s="1">
        <f t="shared" si="3"/>
        <v>0.26929429036394198</v>
      </c>
    </row>
    <row r="17" spans="2:49" x14ac:dyDescent="0.25">
      <c r="B17" s="10" t="s">
        <v>170</v>
      </c>
      <c r="C17" s="1">
        <f t="shared" si="4"/>
        <v>4.7415674932634704E-3</v>
      </c>
      <c r="D17" s="1">
        <f t="shared" si="4"/>
        <v>6.3714991323538681E-2</v>
      </c>
      <c r="E17" s="1">
        <f t="shared" si="4"/>
        <v>2.202726764713398E-3</v>
      </c>
      <c r="F17" s="1">
        <f t="shared" si="4"/>
        <v>2.0522389163003665E-2</v>
      </c>
      <c r="G17" s="1">
        <f t="shared" si="4"/>
        <v>1.7375081825568238E-3</v>
      </c>
      <c r="H17" s="1">
        <f t="shared" si="4"/>
        <v>3.251267626186323E-2</v>
      </c>
      <c r="I17" s="1">
        <f t="shared" si="4"/>
        <v>1.5715738831440784E-2</v>
      </c>
      <c r="J17" s="1">
        <f t="shared" si="4"/>
        <v>9.9613562925180116E-2</v>
      </c>
      <c r="K17" s="1">
        <f t="shared" si="4"/>
        <v>3.693346565568916E-3</v>
      </c>
      <c r="L17" s="1">
        <f t="shared" si="4"/>
        <v>9.8290897330445114E-4</v>
      </c>
      <c r="N17" s="10" t="s">
        <v>170</v>
      </c>
      <c r="O17" s="1">
        <f t="shared" si="1"/>
        <v>4.6880103226552335E-3</v>
      </c>
      <c r="P17" s="1">
        <f t="shared" si="1"/>
        <v>6.3841733705419526E-2</v>
      </c>
      <c r="Q17" s="1">
        <f t="shared" si="1"/>
        <v>2.162502773755382E-3</v>
      </c>
      <c r="R17" s="1">
        <f t="shared" si="1"/>
        <v>2.0539596212594265E-2</v>
      </c>
      <c r="S17" s="1">
        <f t="shared" si="1"/>
        <v>1.7074769854283065E-3</v>
      </c>
      <c r="T17" s="1">
        <f t="shared" si="1"/>
        <v>3.264473669793732E-2</v>
      </c>
      <c r="U17" s="1">
        <f t="shared" si="1"/>
        <v>1.5780326183852739E-2</v>
      </c>
      <c r="V17" s="1">
        <f t="shared" si="1"/>
        <v>9.9749990898634427E-2</v>
      </c>
      <c r="W17" s="1">
        <f t="shared" si="1"/>
        <v>3.7010721192726023E-3</v>
      </c>
      <c r="X17" s="1">
        <f t="shared" si="1"/>
        <v>9.6926369721077462E-4</v>
      </c>
      <c r="Z17" s="10" t="s">
        <v>170</v>
      </c>
      <c r="AA17" s="1">
        <f t="shared" si="2"/>
        <v>2.6046621474830529E-3</v>
      </c>
      <c r="AB17" s="1">
        <f t="shared" si="2"/>
        <v>9.3751781071321257E-3</v>
      </c>
      <c r="AC17" s="1">
        <f t="shared" si="2"/>
        <v>3.3782982318563497E-5</v>
      </c>
      <c r="AD17" s="1">
        <f t="shared" si="2"/>
        <v>3.4680306513801633E-3</v>
      </c>
      <c r="AE17" s="1">
        <f t="shared" si="2"/>
        <v>1.4229249362144283E-5</v>
      </c>
      <c r="AF17" s="1">
        <f t="shared" si="2"/>
        <v>5.3089939897841519E-3</v>
      </c>
      <c r="AG17" s="1">
        <f t="shared" si="2"/>
        <v>4.7459436965396964E-3</v>
      </c>
      <c r="AH17" s="1">
        <f t="shared" si="2"/>
        <v>4.0088317710171253E-2</v>
      </c>
      <c r="AI17" s="1">
        <f t="shared" si="2"/>
        <v>5.0762857174037053E-4</v>
      </c>
      <c r="AJ17" s="1">
        <f t="shared" si="2"/>
        <v>6.3328073308065064E-5</v>
      </c>
      <c r="AL17" s="10" t="s">
        <v>170</v>
      </c>
      <c r="AM17" s="1">
        <f t="shared" si="3"/>
        <v>2.5945852789814776E-3</v>
      </c>
      <c r="AN17" s="1">
        <f t="shared" si="3"/>
        <v>9.3558760359867196E-3</v>
      </c>
      <c r="AO17" s="1">
        <f t="shared" si="3"/>
        <v>3.3776442125809321E-5</v>
      </c>
      <c r="AP17" s="1">
        <f t="shared" si="3"/>
        <v>3.4807951296135851E-3</v>
      </c>
      <c r="AQ17" s="1">
        <f t="shared" si="3"/>
        <v>1.429696923185066E-5</v>
      </c>
      <c r="AR17" s="1">
        <f t="shared" si="3"/>
        <v>5.3325343271285828E-3</v>
      </c>
      <c r="AS17" s="1">
        <f t="shared" si="3"/>
        <v>4.7710674472389173E-3</v>
      </c>
      <c r="AT17" s="1">
        <f t="shared" si="3"/>
        <v>3.9757512610590698E-2</v>
      </c>
      <c r="AU17" s="1">
        <f t="shared" si="3"/>
        <v>5.1181262716300875E-4</v>
      </c>
      <c r="AV17" s="1">
        <f t="shared" si="3"/>
        <v>6.2761737189724837E-5</v>
      </c>
    </row>
    <row r="18" spans="2:49" x14ac:dyDescent="0.25">
      <c r="B18" s="10" t="s">
        <v>158</v>
      </c>
      <c r="C18" s="1">
        <f t="shared" si="4"/>
        <v>0.34380756488141867</v>
      </c>
      <c r="D18" s="1">
        <f t="shared" si="4"/>
        <v>0.21178623443097444</v>
      </c>
      <c r="E18" s="1">
        <f t="shared" si="4"/>
        <v>0.37860634146663968</v>
      </c>
      <c r="F18" s="1">
        <f t="shared" si="4"/>
        <v>0.24897979426095171</v>
      </c>
      <c r="G18" s="1">
        <f t="shared" si="4"/>
        <v>0.30857285570656356</v>
      </c>
      <c r="H18" s="1">
        <f t="shared" si="4"/>
        <v>0.33194170508832571</v>
      </c>
      <c r="I18" s="1">
        <f t="shared" si="4"/>
        <v>0.28307540962029332</v>
      </c>
      <c r="J18" s="1">
        <f t="shared" si="4"/>
        <v>0.28096477879375609</v>
      </c>
      <c r="K18" s="1">
        <f t="shared" si="4"/>
        <v>0.34757286696171635</v>
      </c>
      <c r="L18" s="1">
        <f t="shared" si="4"/>
        <v>0.32639918158005898</v>
      </c>
      <c r="N18" s="10" t="s">
        <v>158</v>
      </c>
      <c r="O18" s="1">
        <f t="shared" si="1"/>
        <v>0.34394391453286993</v>
      </c>
      <c r="P18" s="1">
        <f t="shared" si="1"/>
        <v>0.21163259843067578</v>
      </c>
      <c r="Q18" s="1">
        <f t="shared" si="1"/>
        <v>0.378863407843407</v>
      </c>
      <c r="R18" s="1">
        <f t="shared" si="1"/>
        <v>0.249316321966261</v>
      </c>
      <c r="S18" s="1">
        <f t="shared" si="1"/>
        <v>0.30867247671455861</v>
      </c>
      <c r="T18" s="1">
        <f t="shared" si="1"/>
        <v>0.33211075371597087</v>
      </c>
      <c r="U18" s="1">
        <f t="shared" si="1"/>
        <v>0.28316074750097409</v>
      </c>
      <c r="V18" s="1">
        <f t="shared" si="1"/>
        <v>0.28126473399342111</v>
      </c>
      <c r="W18" s="1">
        <f t="shared" si="1"/>
        <v>0.34810258656342119</v>
      </c>
      <c r="X18" s="1">
        <f t="shared" si="1"/>
        <v>0.32685238958663337</v>
      </c>
      <c r="Z18" s="10" t="s">
        <v>158</v>
      </c>
      <c r="AA18" s="1">
        <f t="shared" si="2"/>
        <v>0.36284475523668674</v>
      </c>
      <c r="AB18" s="1">
        <f t="shared" si="2"/>
        <v>0.23148569837961736</v>
      </c>
      <c r="AC18" s="1">
        <f t="shared" si="2"/>
        <v>0.39527994830908436</v>
      </c>
      <c r="AD18" s="1">
        <f t="shared" si="2"/>
        <v>0.26664934954196468</v>
      </c>
      <c r="AE18" s="1">
        <f t="shared" si="2"/>
        <v>0.32248006791113087</v>
      </c>
      <c r="AF18" s="1">
        <f t="shared" si="2"/>
        <v>0.36029253227168923</v>
      </c>
      <c r="AG18" s="1">
        <f t="shared" si="2"/>
        <v>0.2967493117291804</v>
      </c>
      <c r="AH18" s="1">
        <f t="shared" si="2"/>
        <v>0.31200112385216666</v>
      </c>
      <c r="AI18" s="1">
        <f t="shared" si="2"/>
        <v>0.36153262522168356</v>
      </c>
      <c r="AJ18" s="1">
        <f t="shared" si="2"/>
        <v>0.33697687637550566</v>
      </c>
      <c r="AL18" s="10" t="s">
        <v>158</v>
      </c>
      <c r="AM18" s="1">
        <f t="shared" si="3"/>
        <v>0.36303715293679689</v>
      </c>
      <c r="AN18" s="1">
        <f t="shared" si="3"/>
        <v>0.2313600927003048</v>
      </c>
      <c r="AO18" s="1">
        <f t="shared" si="3"/>
        <v>0.39555923609211335</v>
      </c>
      <c r="AP18" s="1">
        <f t="shared" si="3"/>
        <v>0.26701862393897402</v>
      </c>
      <c r="AQ18" s="1">
        <f t="shared" si="3"/>
        <v>0.32261368297681947</v>
      </c>
      <c r="AR18" s="1">
        <f t="shared" si="3"/>
        <v>0.36051803259213244</v>
      </c>
      <c r="AS18" s="1">
        <f t="shared" si="3"/>
        <v>0.2968789508490049</v>
      </c>
      <c r="AT18" s="1">
        <f t="shared" si="3"/>
        <v>0.31251121723760716</v>
      </c>
      <c r="AU18" s="1">
        <f t="shared" si="3"/>
        <v>0.36213397051543983</v>
      </c>
      <c r="AV18" s="1">
        <f t="shared" si="3"/>
        <v>0.33749198680631487</v>
      </c>
    </row>
    <row r="19" spans="2:49" x14ac:dyDescent="0.25">
      <c r="B19" s="10" t="s">
        <v>166</v>
      </c>
      <c r="C19" s="1">
        <f t="shared" si="4"/>
        <v>1.67910217021532E-2</v>
      </c>
      <c r="D19" s="1">
        <f t="shared" si="4"/>
        <v>3.6948783524367847E-2</v>
      </c>
      <c r="E19" s="1">
        <f t="shared" si="4"/>
        <v>1.3791145282925113E-2</v>
      </c>
      <c r="F19" s="1">
        <f t="shared" si="4"/>
        <v>9.942714737472598E-2</v>
      </c>
      <c r="G19" s="1">
        <f t="shared" si="4"/>
        <v>3.4225265541259348E-2</v>
      </c>
      <c r="H19" s="1">
        <f t="shared" si="4"/>
        <v>6.437967049404994E-2</v>
      </c>
      <c r="I19" s="1">
        <f t="shared" si="4"/>
        <v>0.11753001413327735</v>
      </c>
      <c r="J19" s="1">
        <f t="shared" si="4"/>
        <v>8.3865842916464609E-2</v>
      </c>
      <c r="K19" s="1">
        <f t="shared" si="4"/>
        <v>7.4041497161320122E-2</v>
      </c>
      <c r="L19" s="1">
        <f t="shared" si="4"/>
        <v>4.8894790666388528E-2</v>
      </c>
      <c r="N19" s="10" t="s">
        <v>166</v>
      </c>
      <c r="O19" s="1">
        <f t="shared" si="1"/>
        <v>1.6776725814429769E-2</v>
      </c>
      <c r="P19" s="1">
        <f t="shared" si="1"/>
        <v>3.6887148507120923E-2</v>
      </c>
      <c r="Q19" s="1">
        <f t="shared" si="1"/>
        <v>1.3721226824295248E-2</v>
      </c>
      <c r="R19" s="1">
        <f t="shared" si="1"/>
        <v>9.9267912783947018E-2</v>
      </c>
      <c r="S19" s="1">
        <f t="shared" si="1"/>
        <v>3.4200522098606634E-2</v>
      </c>
      <c r="T19" s="1">
        <f t="shared" si="1"/>
        <v>6.425904838809543E-2</v>
      </c>
      <c r="U19" s="1">
        <f t="shared" si="1"/>
        <v>0.11747128597386629</v>
      </c>
      <c r="V19" s="1">
        <f t="shared" si="1"/>
        <v>8.3689200306422629E-2</v>
      </c>
      <c r="W19" s="1">
        <f t="shared" si="1"/>
        <v>7.3692392357850439E-2</v>
      </c>
      <c r="X19" s="1">
        <f t="shared" si="1"/>
        <v>4.870690717972441E-2</v>
      </c>
      <c r="Z19" s="10" t="s">
        <v>166</v>
      </c>
      <c r="AA19" s="1">
        <f t="shared" si="2"/>
        <v>5.1143781809905127E-3</v>
      </c>
      <c r="AB19" s="1">
        <f t="shared" si="2"/>
        <v>2.933013042196413E-2</v>
      </c>
      <c r="AC19" s="1">
        <f t="shared" si="2"/>
        <v>1.1950164233660628E-2</v>
      </c>
      <c r="AD19" s="1">
        <f t="shared" si="2"/>
        <v>7.1688641261632324E-2</v>
      </c>
      <c r="AE19" s="1">
        <f t="shared" si="2"/>
        <v>2.6318924102885777E-2</v>
      </c>
      <c r="AF19" s="1">
        <f t="shared" si="2"/>
        <v>4.588132197765904E-2</v>
      </c>
      <c r="AG19" s="1">
        <f t="shared" si="2"/>
        <v>0.10306616776007207</v>
      </c>
      <c r="AH19" s="1">
        <f t="shared" si="2"/>
        <v>7.4151737069603832E-2</v>
      </c>
      <c r="AI19" s="1">
        <f t="shared" si="2"/>
        <v>6.6564723225147102E-2</v>
      </c>
      <c r="AJ19" s="1">
        <f t="shared" si="2"/>
        <v>3.8854080421937019E-2</v>
      </c>
      <c r="AL19" s="10" t="s">
        <v>166</v>
      </c>
      <c r="AM19" s="1">
        <f t="shared" si="3"/>
        <v>5.0611850442024266E-3</v>
      </c>
      <c r="AN19" s="1">
        <f t="shared" si="3"/>
        <v>2.9243451939927025E-2</v>
      </c>
      <c r="AO19" s="1">
        <f t="shared" si="3"/>
        <v>1.1894997284431566E-2</v>
      </c>
      <c r="AP19" s="1">
        <f t="shared" si="3"/>
        <v>7.153803322592818E-2</v>
      </c>
      <c r="AQ19" s="1">
        <f t="shared" si="3"/>
        <v>2.6313905859222969E-2</v>
      </c>
      <c r="AR19" s="1">
        <f t="shared" si="3"/>
        <v>4.5779519621438253E-2</v>
      </c>
      <c r="AS19" s="1">
        <f t="shared" si="3"/>
        <v>0.10297567618330516</v>
      </c>
      <c r="AT19" s="1">
        <f t="shared" si="3"/>
        <v>7.3954516834026388E-2</v>
      </c>
      <c r="AU19" s="1">
        <f t="shared" si="3"/>
        <v>6.6241160583990363E-2</v>
      </c>
      <c r="AV19" s="1">
        <f t="shared" si="3"/>
        <v>3.8650800575369522E-2</v>
      </c>
    </row>
    <row r="20" spans="2:49" x14ac:dyDescent="0.25">
      <c r="B20" s="10" t="s">
        <v>159</v>
      </c>
      <c r="C20" s="1">
        <f t="shared" si="4"/>
        <v>4.5269521501839452E-2</v>
      </c>
      <c r="D20" s="1">
        <f t="shared" si="4"/>
        <v>5.3528078529158502E-2</v>
      </c>
      <c r="E20" s="1">
        <f t="shared" si="4"/>
        <v>6.3827301797925298E-2</v>
      </c>
      <c r="F20" s="1">
        <f t="shared" si="4"/>
        <v>1.6315226702984041E-2</v>
      </c>
      <c r="G20" s="1">
        <f t="shared" si="4"/>
        <v>1.8326673853041254E-2</v>
      </c>
      <c r="H20" s="1">
        <f t="shared" si="4"/>
        <v>3.0181400586469793E-2</v>
      </c>
      <c r="I20" s="1">
        <f t="shared" si="4"/>
        <v>2.5469165637772559E-2</v>
      </c>
      <c r="J20" s="1">
        <f t="shared" si="4"/>
        <v>1.530094374543073E-2</v>
      </c>
      <c r="K20" s="1">
        <f t="shared" si="4"/>
        <v>2.1187078498629334E-2</v>
      </c>
      <c r="L20" s="1">
        <f t="shared" si="4"/>
        <v>4.3841550658367603E-2</v>
      </c>
      <c r="N20" s="10" t="s">
        <v>159</v>
      </c>
      <c r="O20" s="1">
        <f t="shared" si="1"/>
        <v>4.5355826407224908E-2</v>
      </c>
      <c r="P20" s="1">
        <f t="shared" si="1"/>
        <v>5.3593768094394229E-2</v>
      </c>
      <c r="Q20" s="1">
        <f t="shared" si="1"/>
        <v>6.3975415889600054E-2</v>
      </c>
      <c r="R20" s="1">
        <f t="shared" si="1"/>
        <v>1.6314224318449432E-2</v>
      </c>
      <c r="S20" s="1">
        <f t="shared" si="1"/>
        <v>1.8411656823845952E-2</v>
      </c>
      <c r="T20" s="1">
        <f t="shared" si="1"/>
        <v>3.0310102524172974E-2</v>
      </c>
      <c r="U20" s="1">
        <f t="shared" si="1"/>
        <v>2.559382538182145E-2</v>
      </c>
      <c r="V20" s="1">
        <f t="shared" si="1"/>
        <v>1.5222344211242453E-2</v>
      </c>
      <c r="W20" s="1">
        <f t="shared" si="1"/>
        <v>2.1323036688639205E-2</v>
      </c>
      <c r="X20" s="1">
        <f t="shared" si="1"/>
        <v>4.3986190037170629E-2</v>
      </c>
      <c r="Z20" s="10" t="s">
        <v>159</v>
      </c>
      <c r="AA20" s="1">
        <f t="shared" si="2"/>
        <v>4.8752007502905925E-2</v>
      </c>
      <c r="AB20" s="1">
        <f t="shared" si="2"/>
        <v>5.8874506690588448E-2</v>
      </c>
      <c r="AC20" s="1">
        <f t="shared" si="2"/>
        <v>6.758400235946263E-2</v>
      </c>
      <c r="AD20" s="1">
        <f t="shared" si="2"/>
        <v>1.7788301968960869E-2</v>
      </c>
      <c r="AE20" s="1">
        <f t="shared" si="2"/>
        <v>1.928243540220757E-2</v>
      </c>
      <c r="AF20" s="1">
        <f t="shared" si="2"/>
        <v>3.3487732193563255E-2</v>
      </c>
      <c r="AG20" s="1">
        <f t="shared" si="2"/>
        <v>2.6848549963097892E-2</v>
      </c>
      <c r="AH20" s="1">
        <f t="shared" si="2"/>
        <v>1.7771008726922999E-2</v>
      </c>
      <c r="AI20" s="1">
        <f t="shared" si="2"/>
        <v>2.2843202314049384E-2</v>
      </c>
      <c r="AJ20" s="1">
        <f t="shared" si="2"/>
        <v>4.6978822639252092E-2</v>
      </c>
      <c r="AL20" s="10" t="s">
        <v>159</v>
      </c>
      <c r="AM20" s="1">
        <f t="shared" si="3"/>
        <v>4.885437812888857E-2</v>
      </c>
      <c r="AN20" s="1">
        <f t="shared" si="3"/>
        <v>5.8960507184515606E-2</v>
      </c>
      <c r="AO20" s="1">
        <f t="shared" si="3"/>
        <v>6.7747396565027415E-2</v>
      </c>
      <c r="AP20" s="1">
        <f t="shared" si="3"/>
        <v>1.7788697963009796E-2</v>
      </c>
      <c r="AQ20" s="1">
        <f t="shared" si="3"/>
        <v>1.937366240254218E-2</v>
      </c>
      <c r="AR20" s="1">
        <f t="shared" si="3"/>
        <v>3.3634967779285964E-2</v>
      </c>
      <c r="AS20" s="1">
        <f t="shared" si="3"/>
        <v>2.6982956421313504E-2</v>
      </c>
      <c r="AT20" s="1">
        <f t="shared" si="3"/>
        <v>1.7696627484406001E-2</v>
      </c>
      <c r="AU20" s="1">
        <f t="shared" si="3"/>
        <v>2.2995226853683954E-2</v>
      </c>
      <c r="AV20" s="1">
        <f t="shared" si="3"/>
        <v>4.7147938877596218E-2</v>
      </c>
    </row>
    <row r="21" spans="2:49" x14ac:dyDescent="0.25">
      <c r="B21" s="10" t="s">
        <v>176</v>
      </c>
      <c r="C21" s="1">
        <f t="shared" si="4"/>
        <v>0.14003082933552219</v>
      </c>
      <c r="D21" s="1">
        <f t="shared" si="4"/>
        <v>0.1260529759065753</v>
      </c>
      <c r="E21" s="1">
        <f t="shared" si="4"/>
        <v>0.20345998305025145</v>
      </c>
      <c r="F21" s="1">
        <f t="shared" si="4"/>
        <v>0.11719044722318198</v>
      </c>
      <c r="G21" s="1">
        <f t="shared" si="4"/>
        <v>0.10797532263672924</v>
      </c>
      <c r="H21" s="1">
        <f t="shared" si="4"/>
        <v>7.6909818998163251E-2</v>
      </c>
      <c r="I21" s="1">
        <f t="shared" si="4"/>
        <v>6.3627740249476122E-2</v>
      </c>
      <c r="J21" s="1">
        <f t="shared" si="4"/>
        <v>7.6803428873377239E-2</v>
      </c>
      <c r="K21" s="1">
        <f t="shared" si="4"/>
        <v>0.1665857479340393</v>
      </c>
      <c r="L21" s="1">
        <f t="shared" si="4"/>
        <v>0.13170223993741592</v>
      </c>
      <c r="N21" s="10" t="s">
        <v>176</v>
      </c>
      <c r="O21" s="1">
        <f t="shared" si="1"/>
        <v>0.14011390124888509</v>
      </c>
      <c r="P21" s="1">
        <f t="shared" si="1"/>
        <v>0.12614107404273625</v>
      </c>
      <c r="Q21" s="1">
        <f t="shared" si="1"/>
        <v>0.2036495738809336</v>
      </c>
      <c r="R21" s="1">
        <f t="shared" si="1"/>
        <v>0.11725438696833512</v>
      </c>
      <c r="S21" s="1">
        <f t="shared" si="1"/>
        <v>0.107873888093413</v>
      </c>
      <c r="T21" s="1">
        <f t="shared" si="1"/>
        <v>7.6897733164748072E-2</v>
      </c>
      <c r="U21" s="1">
        <f t="shared" si="1"/>
        <v>6.357072453139466E-2</v>
      </c>
      <c r="V21" s="1">
        <f t="shared" si="1"/>
        <v>7.695169824583728E-2</v>
      </c>
      <c r="W21" s="1">
        <f t="shared" si="1"/>
        <v>0.16675126057914114</v>
      </c>
      <c r="X21" s="1">
        <f t="shared" si="1"/>
        <v>0.13189056886600747</v>
      </c>
      <c r="Z21" s="10" t="s">
        <v>176</v>
      </c>
      <c r="AA21" s="1">
        <f t="shared" si="2"/>
        <v>0.14617265098163437</v>
      </c>
      <c r="AB21" s="1">
        <f t="shared" si="2"/>
        <v>0.13711670705269463</v>
      </c>
      <c r="AC21" s="1">
        <f t="shared" si="2"/>
        <v>0.21537403517169112</v>
      </c>
      <c r="AD21" s="1">
        <f t="shared" si="2"/>
        <v>0.12640814543585824</v>
      </c>
      <c r="AE21" s="1">
        <f t="shared" si="2"/>
        <v>0.11332299942172049</v>
      </c>
      <c r="AF21" s="1">
        <f t="shared" si="2"/>
        <v>8.2129629030917001E-2</v>
      </c>
      <c r="AG21" s="1">
        <f t="shared" si="2"/>
        <v>6.7059543374887218E-2</v>
      </c>
      <c r="AH21" s="1">
        <f t="shared" si="2"/>
        <v>8.6611113792387145E-2</v>
      </c>
      <c r="AI21" s="1">
        <f t="shared" si="2"/>
        <v>0.17422962050912735</v>
      </c>
      <c r="AJ21" s="1">
        <f t="shared" si="2"/>
        <v>0.13663214797073026</v>
      </c>
      <c r="AL21" s="10" t="s">
        <v>176</v>
      </c>
      <c r="AM21" s="1">
        <f t="shared" si="3"/>
        <v>0.14627503660723221</v>
      </c>
      <c r="AN21" s="1">
        <f t="shared" si="3"/>
        <v>0.13724095113278395</v>
      </c>
      <c r="AO21" s="1">
        <f t="shared" si="3"/>
        <v>0.2155902011496891</v>
      </c>
      <c r="AP21" s="1">
        <f t="shared" si="3"/>
        <v>0.12647176984538616</v>
      </c>
      <c r="AQ21" s="1">
        <f t="shared" si="3"/>
        <v>0.11321542843216272</v>
      </c>
      <c r="AR21" s="1">
        <f>AR11/AR$12</f>
        <v>8.2111916430768303E-2</v>
      </c>
      <c r="AS21" s="1">
        <f>AS11/AS$12</f>
        <v>6.7001127856788786E-2</v>
      </c>
      <c r="AT21" s="1">
        <f>AT11/AT$12</f>
        <v>8.683232542834142E-2</v>
      </c>
      <c r="AU21" s="1">
        <f>AU11/AU$12</f>
        <v>0.17441447293075141</v>
      </c>
      <c r="AV21" s="1">
        <f>AV11/AV$12</f>
        <v>0.13684118367805004</v>
      </c>
    </row>
    <row r="22" spans="2:49" x14ac:dyDescent="0.25">
      <c r="B22" s="31" t="s">
        <v>135</v>
      </c>
      <c r="C22" s="1">
        <f>MAX(C15:C21)</f>
        <v>0.34380756488141867</v>
      </c>
      <c r="D22" s="1">
        <f t="shared" ref="D22:AJ22" si="5">MAX(D15:D21)</f>
        <v>0.32391877358232918</v>
      </c>
      <c r="E22" s="1">
        <f t="shared" si="5"/>
        <v>0.37860634146663968</v>
      </c>
      <c r="F22" s="1">
        <f t="shared" si="5"/>
        <v>0.31926374572857075</v>
      </c>
      <c r="G22" s="1">
        <f t="shared" si="5"/>
        <v>0.35868318049150549</v>
      </c>
      <c r="H22" s="1">
        <f t="shared" si="5"/>
        <v>0.33194170508832571</v>
      </c>
      <c r="I22" s="1">
        <f t="shared" si="5"/>
        <v>0.34275163628988736</v>
      </c>
      <c r="J22" s="1">
        <f t="shared" si="5"/>
        <v>0.30255575768348991</v>
      </c>
      <c r="K22" s="1">
        <f t="shared" si="5"/>
        <v>0.34757286696171635</v>
      </c>
      <c r="L22" s="1">
        <f t="shared" si="5"/>
        <v>0.32639918158005898</v>
      </c>
      <c r="N22" s="31" t="s">
        <v>135</v>
      </c>
      <c r="O22" s="1">
        <f t="shared" si="5"/>
        <v>0.34394391453286993</v>
      </c>
      <c r="P22" s="1">
        <f t="shared" si="5"/>
        <v>0.32393360450823377</v>
      </c>
      <c r="Q22" s="1">
        <f t="shared" si="5"/>
        <v>0.378863407843407</v>
      </c>
      <c r="R22" s="1">
        <f t="shared" si="5"/>
        <v>0.3193120300599967</v>
      </c>
      <c r="S22" s="1">
        <f t="shared" si="5"/>
        <v>0.35868805281682559</v>
      </c>
      <c r="T22" s="1">
        <f t="shared" si="5"/>
        <v>0.33211075371597087</v>
      </c>
      <c r="U22" s="1">
        <f t="shared" si="5"/>
        <v>0.34288133896703699</v>
      </c>
      <c r="V22" s="1">
        <f t="shared" si="5"/>
        <v>0.30263275093455727</v>
      </c>
      <c r="W22" s="1">
        <f t="shared" si="5"/>
        <v>0.34810258656342119</v>
      </c>
      <c r="X22" s="1">
        <f t="shared" si="5"/>
        <v>0.32685238958663337</v>
      </c>
      <c r="Y22" s="16"/>
      <c r="Z22" s="31" t="s">
        <v>135</v>
      </c>
      <c r="AA22" s="1">
        <f t="shared" ref="AA22:AB22" si="6">MAX(AA15:AA21)</f>
        <v>0.36284475523668674</v>
      </c>
      <c r="AB22" s="1">
        <f t="shared" si="6"/>
        <v>0.35058414791546622</v>
      </c>
      <c r="AC22" s="1">
        <f t="shared" si="5"/>
        <v>0.39527994830908436</v>
      </c>
      <c r="AD22" s="1">
        <f t="shared" si="5"/>
        <v>0.33652884363667879</v>
      </c>
      <c r="AE22" s="1">
        <f t="shared" si="5"/>
        <v>0.36623936248258498</v>
      </c>
      <c r="AF22" s="1">
        <f t="shared" si="5"/>
        <v>0.36029253227168923</v>
      </c>
      <c r="AG22" s="1">
        <f t="shared" si="5"/>
        <v>0.35485238240526068</v>
      </c>
      <c r="AH22" s="1">
        <f t="shared" si="5"/>
        <v>0.32922118325309857</v>
      </c>
      <c r="AI22" s="1">
        <f t="shared" si="5"/>
        <v>0.36153262522168356</v>
      </c>
      <c r="AJ22" s="1">
        <f t="shared" si="5"/>
        <v>0.33697687637550566</v>
      </c>
      <c r="AL22" s="31" t="s">
        <v>135</v>
      </c>
      <c r="AM22" s="1">
        <f>MAX(AM15:AM21)</f>
        <v>0.36303715293679689</v>
      </c>
      <c r="AN22" s="1">
        <f t="shared" ref="AN22:AV22" si="7">MAX(AN15:AN21)</f>
        <v>0.35066692655069176</v>
      </c>
      <c r="AO22" s="1">
        <f t="shared" si="7"/>
        <v>0.39555923609211335</v>
      </c>
      <c r="AP22" s="1">
        <f t="shared" si="7"/>
        <v>0.33656448952328588</v>
      </c>
      <c r="AQ22" s="1">
        <f t="shared" si="7"/>
        <v>0.36624095505324694</v>
      </c>
      <c r="AR22" s="1">
        <f t="shared" si="7"/>
        <v>0.36051803259213244</v>
      </c>
      <c r="AS22" s="1">
        <f t="shared" si="7"/>
        <v>0.35502891569353351</v>
      </c>
      <c r="AT22" s="1">
        <f t="shared" si="7"/>
        <v>0.32950299886684836</v>
      </c>
      <c r="AU22" s="1">
        <f t="shared" si="7"/>
        <v>0.36213397051543983</v>
      </c>
      <c r="AV22" s="1">
        <f t="shared" si="7"/>
        <v>0.33749198680631487</v>
      </c>
      <c r="AW22" s="16"/>
    </row>
    <row r="24" spans="2:49" x14ac:dyDescent="0.25"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</row>
    <row r="25" spans="2:49" ht="60" x14ac:dyDescent="0.25">
      <c r="B25" s="10" t="s">
        <v>25</v>
      </c>
      <c r="C25" s="10" t="s">
        <v>46</v>
      </c>
      <c r="D25" s="10" t="s">
        <v>45</v>
      </c>
      <c r="E25" s="10" t="s">
        <v>44</v>
      </c>
      <c r="F25" s="10" t="s">
        <v>43</v>
      </c>
      <c r="G25" s="10" t="s">
        <v>165</v>
      </c>
      <c r="H25" s="10" t="s">
        <v>162</v>
      </c>
      <c r="K25" s="10" t="s">
        <v>149</v>
      </c>
      <c r="L25" s="10" t="s">
        <v>156</v>
      </c>
      <c r="M25" s="10" t="s">
        <v>157</v>
      </c>
      <c r="N25" s="10" t="s">
        <v>154</v>
      </c>
      <c r="O25" s="10"/>
      <c r="P25" s="10" t="s">
        <v>177</v>
      </c>
      <c r="Q25" s="10" t="s">
        <v>178</v>
      </c>
      <c r="R25" s="10" t="s">
        <v>179</v>
      </c>
      <c r="S25" s="10" t="s">
        <v>180</v>
      </c>
      <c r="T25" s="10" t="s">
        <v>184</v>
      </c>
      <c r="U25" s="10" t="s">
        <v>185</v>
      </c>
      <c r="V25" s="10" t="s">
        <v>25</v>
      </c>
      <c r="W25" s="10" t="s">
        <v>181</v>
      </c>
      <c r="X25" s="10" t="s">
        <v>164</v>
      </c>
      <c r="Y25" s="10" t="s">
        <v>184</v>
      </c>
      <c r="Z25" s="10" t="s">
        <v>185</v>
      </c>
    </row>
    <row r="26" spans="2:49" x14ac:dyDescent="0.25">
      <c r="B26">
        <v>2016</v>
      </c>
      <c r="C26" s="3">
        <v>0.34380756488141845</v>
      </c>
      <c r="D26" s="3">
        <v>0.34394391453286993</v>
      </c>
      <c r="E26" s="3">
        <v>0.36284475523668674</v>
      </c>
      <c r="F26" s="3">
        <v>0.36303715293679689</v>
      </c>
      <c r="G26" s="3">
        <f>MEDIAN(C26:F26)</f>
        <v>0.35339433488477834</v>
      </c>
      <c r="H26" s="3">
        <v>0.29510514325943821</v>
      </c>
      <c r="K26" s="3">
        <v>444.78920926404658</v>
      </c>
      <c r="L26" s="3">
        <v>152.97599569118881</v>
      </c>
      <c r="M26" s="3">
        <v>126.2071511812222</v>
      </c>
      <c r="N26" s="3" t="s">
        <v>158</v>
      </c>
      <c r="O26" s="32">
        <v>2016</v>
      </c>
      <c r="P26" s="3">
        <f>L26/K26</f>
        <v>0.34392919725796561</v>
      </c>
      <c r="Q26" s="3">
        <f>M26/K26</f>
        <v>0.28374598248470556</v>
      </c>
      <c r="R26" s="3">
        <f>MIN(C26:F26)</f>
        <v>0.34380756488141845</v>
      </c>
      <c r="S26" s="3">
        <f>MAX(C26:F26)</f>
        <v>0.36303715293679689</v>
      </c>
      <c r="T26" s="3">
        <f>G26-R26</f>
        <v>9.5867700033598902E-3</v>
      </c>
      <c r="U26" s="3">
        <f>S26-G26</f>
        <v>9.6428180520185536E-3</v>
      </c>
      <c r="V26" s="32">
        <v>2016</v>
      </c>
      <c r="W26" s="3">
        <v>0.343929197257966</v>
      </c>
      <c r="X26" s="3">
        <v>4.6709292578981931E-2</v>
      </c>
      <c r="Y26" s="3">
        <v>8.4119196843910338E-3</v>
      </c>
      <c r="Z26" s="3">
        <v>8.0394818597286921E-3</v>
      </c>
    </row>
    <row r="27" spans="2:49" x14ac:dyDescent="0.25">
      <c r="B27">
        <v>2017</v>
      </c>
      <c r="C27" s="3">
        <v>0.32391877358232918</v>
      </c>
      <c r="D27" s="3">
        <v>0.32393360450823377</v>
      </c>
      <c r="E27" s="3">
        <v>0.35058414791546622</v>
      </c>
      <c r="F27" s="3">
        <v>0.35066692655069176</v>
      </c>
      <c r="G27" s="3">
        <f t="shared" ref="G27:G35" si="8">MEDIAN(C27:F27)</f>
        <v>0.33725887621185002</v>
      </c>
      <c r="H27" s="3">
        <v>0.25192054488756954</v>
      </c>
      <c r="K27" s="3">
        <v>506.98200205631798</v>
      </c>
      <c r="L27" s="3">
        <v>165.63189721728969</v>
      </c>
      <c r="M27" s="3">
        <v>165.63189721728969</v>
      </c>
      <c r="N27" s="3" t="s">
        <v>160</v>
      </c>
      <c r="O27" s="32">
        <v>2017</v>
      </c>
      <c r="P27" s="3">
        <f t="shared" ref="P27:P35" si="9">L27/K27</f>
        <v>0.32670173013141895</v>
      </c>
      <c r="Q27" s="3">
        <f t="shared" ref="Q27:Q35" si="10">M27/K27</f>
        <v>0.32670173013141895</v>
      </c>
      <c r="R27" s="3">
        <f t="shared" ref="R27:R35" si="11">MIN(C27:F27)</f>
        <v>0.32391877358232918</v>
      </c>
      <c r="S27" s="3">
        <f t="shared" ref="S27:S35" si="12">MAX(C27:F27)</f>
        <v>0.35066692655069176</v>
      </c>
      <c r="T27" s="3">
        <f>G27-R27</f>
        <v>1.3340102629520845E-2</v>
      </c>
      <c r="U27" s="3">
        <f>S27-G27</f>
        <v>1.3408050338841737E-2</v>
      </c>
      <c r="V27" s="32">
        <v>2017</v>
      </c>
      <c r="W27" s="3">
        <v>0.32670173013141895</v>
      </c>
      <c r="X27" s="3">
        <v>5.1771968064457385E-2</v>
      </c>
      <c r="Y27" s="3">
        <v>8.3543121756555205E-3</v>
      </c>
      <c r="Z27" s="3">
        <v>8.1587720438287548E-3</v>
      </c>
    </row>
    <row r="28" spans="2:49" x14ac:dyDescent="0.25">
      <c r="B28">
        <v>2018</v>
      </c>
      <c r="C28" s="3">
        <v>0.37860634146663968</v>
      </c>
      <c r="D28" s="3">
        <v>0.378863407843407</v>
      </c>
      <c r="E28" s="3">
        <v>0.39527994830908436</v>
      </c>
      <c r="F28" s="3">
        <v>0.39555923609211335</v>
      </c>
      <c r="G28" s="3">
        <f t="shared" si="8"/>
        <v>0.38707167807624565</v>
      </c>
      <c r="H28" s="3">
        <v>0.35035734429318827</v>
      </c>
      <c r="K28" s="3">
        <v>419.20136525894821</v>
      </c>
      <c r="L28" s="3">
        <v>155.00951441382759</v>
      </c>
      <c r="M28" s="3">
        <v>106.8696383644953</v>
      </c>
      <c r="N28" s="3" t="s">
        <v>158</v>
      </c>
      <c r="O28" s="32">
        <v>2018</v>
      </c>
      <c r="P28" s="3">
        <f t="shared" si="9"/>
        <v>0.36977340070940712</v>
      </c>
      <c r="Q28" s="3">
        <f t="shared" si="10"/>
        <v>0.254936284137529</v>
      </c>
      <c r="R28" s="3">
        <f t="shared" si="11"/>
        <v>0.37860634146663968</v>
      </c>
      <c r="S28" s="3">
        <f t="shared" si="12"/>
        <v>0.39555923609211335</v>
      </c>
      <c r="T28" s="3">
        <f>G28-R28</f>
        <v>8.4653366096059668E-3</v>
      </c>
      <c r="U28" s="3">
        <f>S28-G28</f>
        <v>8.4875580158677022E-3</v>
      </c>
      <c r="V28" s="32">
        <v>2018</v>
      </c>
      <c r="W28" s="3">
        <v>0.36977340070940712</v>
      </c>
      <c r="X28" s="3">
        <v>8.8749877199918226E-2</v>
      </c>
      <c r="Y28" s="3">
        <v>7.4228273275590562E-3</v>
      </c>
      <c r="Z28" s="3">
        <v>6.9669492992506799E-3</v>
      </c>
    </row>
    <row r="29" spans="2:49" x14ac:dyDescent="0.25">
      <c r="B29">
        <v>2019</v>
      </c>
      <c r="C29" s="3">
        <v>0.31926374572857075</v>
      </c>
      <c r="D29" s="3">
        <v>0.3193120300599967</v>
      </c>
      <c r="E29" s="3">
        <v>0.33652884363667879</v>
      </c>
      <c r="F29" s="3">
        <v>0.33656448952328588</v>
      </c>
      <c r="G29" s="3">
        <f t="shared" si="8"/>
        <v>0.32792043684833772</v>
      </c>
      <c r="H29" s="3">
        <v>0.27763908967743256</v>
      </c>
      <c r="K29" s="3">
        <v>493.04018736120088</v>
      </c>
      <c r="L29" s="3">
        <v>156.09505140204271</v>
      </c>
      <c r="M29" s="3">
        <v>156.09505140204271</v>
      </c>
      <c r="N29" s="3" t="s">
        <v>160</v>
      </c>
      <c r="O29" s="32">
        <v>2019</v>
      </c>
      <c r="P29" s="3">
        <f t="shared" si="9"/>
        <v>0.3165970146114836</v>
      </c>
      <c r="Q29" s="3">
        <f t="shared" si="10"/>
        <v>0.3165970146114836</v>
      </c>
      <c r="R29" s="3">
        <f t="shared" si="11"/>
        <v>0.31926374572857075</v>
      </c>
      <c r="S29" s="3">
        <f t="shared" si="12"/>
        <v>0.33656448952328588</v>
      </c>
      <c r="T29" s="3">
        <f>G29-R29</f>
        <v>8.6566911197669683E-3</v>
      </c>
      <c r="U29" s="3">
        <f>S29-G29</f>
        <v>8.6440526749481661E-3</v>
      </c>
      <c r="V29" s="32">
        <v>2019</v>
      </c>
      <c r="W29" s="3">
        <v>0.3165970146114836</v>
      </c>
      <c r="X29" s="3">
        <v>0.11440084347860435</v>
      </c>
      <c r="Y29" s="3">
        <v>8.3162067730857547E-3</v>
      </c>
      <c r="Z29" s="3">
        <v>8.0680465704671134E-3</v>
      </c>
    </row>
    <row r="30" spans="2:49" x14ac:dyDescent="0.25">
      <c r="B30">
        <v>2020</v>
      </c>
      <c r="C30" s="3">
        <v>0.35868318049150549</v>
      </c>
      <c r="D30" s="3">
        <v>0.35868805281682559</v>
      </c>
      <c r="E30" s="3">
        <v>0.36623936248258498</v>
      </c>
      <c r="F30" s="3">
        <v>0.36624095505324694</v>
      </c>
      <c r="G30" s="3">
        <f t="shared" si="8"/>
        <v>0.36246370764970526</v>
      </c>
      <c r="H30" s="3">
        <v>0.30936652748599786</v>
      </c>
      <c r="K30" s="3">
        <v>446.05693863421328</v>
      </c>
      <c r="L30" s="3">
        <v>155.67963657865019</v>
      </c>
      <c r="M30" s="3">
        <v>155.67963657865019</v>
      </c>
      <c r="N30" s="3" t="s">
        <v>160</v>
      </c>
      <c r="O30" s="32">
        <v>2020</v>
      </c>
      <c r="P30" s="3">
        <f t="shared" si="9"/>
        <v>0.34901292434846415</v>
      </c>
      <c r="Q30" s="3">
        <f t="shared" si="10"/>
        <v>0.34901292434846415</v>
      </c>
      <c r="R30" s="3">
        <f t="shared" si="11"/>
        <v>0.35868318049150549</v>
      </c>
      <c r="S30" s="3">
        <f t="shared" si="12"/>
        <v>0.36624095505324694</v>
      </c>
      <c r="T30" s="3">
        <f>G30-R30</f>
        <v>3.7805271581997646E-3</v>
      </c>
      <c r="U30" s="3">
        <f>S30-G30</f>
        <v>3.7772474035416836E-3</v>
      </c>
      <c r="V30" s="32">
        <v>2020</v>
      </c>
      <c r="W30" s="3">
        <v>0.34901292434846415</v>
      </c>
      <c r="X30" s="3">
        <v>9.0141394331893387E-2</v>
      </c>
      <c r="Y30" s="3">
        <v>8.9055808721550944E-3</v>
      </c>
      <c r="Z30" s="3">
        <v>8.5736093470143437E-3</v>
      </c>
    </row>
    <row r="31" spans="2:49" x14ac:dyDescent="0.25">
      <c r="B31">
        <v>2021</v>
      </c>
      <c r="C31" s="3">
        <v>0.33194170508832571</v>
      </c>
      <c r="D31" s="3">
        <v>0.33211075371597087</v>
      </c>
      <c r="E31" s="3">
        <v>0.36029253227168923</v>
      </c>
      <c r="F31" s="3">
        <v>0.36051803259213244</v>
      </c>
      <c r="G31" s="3">
        <f t="shared" si="8"/>
        <v>0.34620164299383005</v>
      </c>
      <c r="H31" s="3">
        <v>0.28234447692866349</v>
      </c>
      <c r="K31" s="3">
        <v>522.65267962887413</v>
      </c>
      <c r="L31" s="3">
        <v>168.36688789474101</v>
      </c>
      <c r="M31" s="3">
        <v>153.4324337478723</v>
      </c>
      <c r="N31" s="3" t="s">
        <v>158</v>
      </c>
      <c r="O31" s="32">
        <v>2021</v>
      </c>
      <c r="P31" s="3">
        <f t="shared" si="9"/>
        <v>0.32213914604684546</v>
      </c>
      <c r="Q31" s="3">
        <f t="shared" si="10"/>
        <v>0.29356480838636817</v>
      </c>
      <c r="R31" s="3">
        <f t="shared" si="11"/>
        <v>0.33194170508832571</v>
      </c>
      <c r="S31" s="3">
        <f t="shared" si="12"/>
        <v>0.36051803259213244</v>
      </c>
      <c r="T31" s="3">
        <f>G31-R31</f>
        <v>1.4259937905504338E-2</v>
      </c>
      <c r="U31" s="3">
        <f>S31-G31</f>
        <v>1.4316389598302393E-2</v>
      </c>
      <c r="V31" s="32">
        <v>2021</v>
      </c>
      <c r="W31" s="3">
        <v>0.32213914604684546</v>
      </c>
      <c r="X31" s="3">
        <v>0.13938615849028069</v>
      </c>
      <c r="Y31" s="3">
        <v>7.8324037652901524E-3</v>
      </c>
      <c r="Z31" s="3">
        <v>7.531391485296357E-3</v>
      </c>
    </row>
    <row r="32" spans="2:49" x14ac:dyDescent="0.25">
      <c r="B32">
        <v>2022</v>
      </c>
      <c r="C32" s="3">
        <v>0.34275163628988736</v>
      </c>
      <c r="D32" s="3">
        <v>0.34288133896703699</v>
      </c>
      <c r="E32" s="3">
        <v>0.35485238240526068</v>
      </c>
      <c r="F32" s="3">
        <v>0.35502891569353351</v>
      </c>
      <c r="G32" s="3">
        <f t="shared" si="8"/>
        <v>0.34886686068614881</v>
      </c>
      <c r="H32" s="3">
        <v>0.32035125367672229</v>
      </c>
      <c r="K32" s="3">
        <v>545.44884009017505</v>
      </c>
      <c r="L32" s="3">
        <v>186.0053142208385</v>
      </c>
      <c r="M32" s="3">
        <v>186.0053142208385</v>
      </c>
      <c r="N32" s="3" t="s">
        <v>160</v>
      </c>
      <c r="O32" s="32">
        <v>2022</v>
      </c>
      <c r="P32" s="3">
        <f t="shared" si="9"/>
        <v>0.34101330968104654</v>
      </c>
      <c r="Q32" s="3">
        <f t="shared" si="10"/>
        <v>0.34101330968104654</v>
      </c>
      <c r="R32" s="3">
        <f t="shared" si="11"/>
        <v>0.34275163628988736</v>
      </c>
      <c r="S32" s="3">
        <f t="shared" si="12"/>
        <v>0.35502891569353351</v>
      </c>
      <c r="T32" s="3">
        <f>G32-R32</f>
        <v>6.1152243962614428E-3</v>
      </c>
      <c r="U32" s="3">
        <f>S32-G32</f>
        <v>6.1620550073847036E-3</v>
      </c>
      <c r="V32" s="32">
        <v>2022</v>
      </c>
      <c r="W32" s="3">
        <v>0.34101330968104654</v>
      </c>
      <c r="X32" s="3">
        <v>0.11240620908722931</v>
      </c>
      <c r="Y32" s="3">
        <v>7.8953094072808927E-3</v>
      </c>
      <c r="Z32" s="3">
        <v>7.6802808846851978E-3</v>
      </c>
    </row>
    <row r="33" spans="2:26" x14ac:dyDescent="0.25">
      <c r="B33">
        <v>2023</v>
      </c>
      <c r="C33" s="3">
        <v>0.30255575768348991</v>
      </c>
      <c r="D33" s="3">
        <v>0.30263275093455727</v>
      </c>
      <c r="E33" s="3">
        <v>0.32922118325309857</v>
      </c>
      <c r="F33" s="3">
        <v>0.32950299886684836</v>
      </c>
      <c r="G33" s="3">
        <f t="shared" si="8"/>
        <v>0.31592696709382795</v>
      </c>
      <c r="H33" s="3">
        <v>0.28456419442301856</v>
      </c>
      <c r="K33" s="3">
        <v>533.12336416634162</v>
      </c>
      <c r="L33" s="3">
        <v>163.77619416454789</v>
      </c>
      <c r="M33" s="3">
        <v>163.77619416454789</v>
      </c>
      <c r="N33" s="3" t="s">
        <v>160</v>
      </c>
      <c r="O33" s="32">
        <v>2023</v>
      </c>
      <c r="P33" s="3">
        <f t="shared" si="9"/>
        <v>0.30720130681319668</v>
      </c>
      <c r="Q33" s="3">
        <f t="shared" si="10"/>
        <v>0.30720130681319668</v>
      </c>
      <c r="R33" s="3">
        <f t="shared" si="11"/>
        <v>0.30255575768348991</v>
      </c>
      <c r="S33" s="3">
        <f t="shared" si="12"/>
        <v>0.32950299886684836</v>
      </c>
      <c r="T33" s="3">
        <f>G33-R33</f>
        <v>1.3371209410338036E-2</v>
      </c>
      <c r="U33" s="3">
        <f>S33-G33</f>
        <v>1.3576031773020414E-2</v>
      </c>
      <c r="V33" s="32">
        <v>2023</v>
      </c>
      <c r="W33" s="3">
        <v>0.30720130681319668</v>
      </c>
      <c r="X33" s="3">
        <v>7.242380927799974E-2</v>
      </c>
      <c r="Y33" s="3">
        <v>9.2328970139287092E-3</v>
      </c>
      <c r="Z33" s="3">
        <v>8.9395740737040486E-3</v>
      </c>
    </row>
    <row r="34" spans="2:26" x14ac:dyDescent="0.25">
      <c r="B34">
        <v>2024</v>
      </c>
      <c r="C34" s="3">
        <v>0.34757286696171635</v>
      </c>
      <c r="D34" s="3">
        <v>0.34810258656342119</v>
      </c>
      <c r="E34" s="3">
        <v>0.36153262522168356</v>
      </c>
      <c r="F34" s="3">
        <v>0.36213397051543983</v>
      </c>
      <c r="G34" s="3">
        <f t="shared" si="8"/>
        <v>0.3548176058925524</v>
      </c>
      <c r="H34" s="3">
        <v>0.29565243143425152</v>
      </c>
      <c r="K34" s="3">
        <v>442.46739290238298</v>
      </c>
      <c r="L34" s="3">
        <v>147.72069966445159</v>
      </c>
      <c r="M34" s="3">
        <v>123.7495579219473</v>
      </c>
      <c r="N34" s="3" t="s">
        <v>158</v>
      </c>
      <c r="O34" s="32">
        <v>2024</v>
      </c>
      <c r="P34" s="3">
        <f t="shared" si="9"/>
        <v>0.33385669098794291</v>
      </c>
      <c r="Q34" s="3">
        <f t="shared" si="10"/>
        <v>0.27968062710837743</v>
      </c>
      <c r="R34" s="3">
        <f t="shared" si="11"/>
        <v>0.34757286696171635</v>
      </c>
      <c r="S34" s="3">
        <f t="shared" si="12"/>
        <v>0.36213397051543983</v>
      </c>
      <c r="T34" s="3">
        <f>G34-R34</f>
        <v>7.2447389308360477E-3</v>
      </c>
      <c r="U34" s="3">
        <f>S34-G34</f>
        <v>7.3163646228874279E-3</v>
      </c>
      <c r="V34" s="32">
        <v>2024</v>
      </c>
      <c r="W34" s="3">
        <v>0.33385669098794291</v>
      </c>
      <c r="X34" s="3">
        <v>9.8162464385345483E-2</v>
      </c>
      <c r="Y34" s="3">
        <v>8.2605648730440517E-3</v>
      </c>
      <c r="Z34" s="3">
        <v>7.861679967329005E-3</v>
      </c>
    </row>
    <row r="35" spans="2:26" x14ac:dyDescent="0.25">
      <c r="B35">
        <v>2025</v>
      </c>
      <c r="C35" s="3">
        <v>0.32639918158005898</v>
      </c>
      <c r="D35" s="3">
        <v>0.32685238958663337</v>
      </c>
      <c r="E35" s="3">
        <v>0.33697687637550566</v>
      </c>
      <c r="F35" s="3">
        <v>0.33749198680631487</v>
      </c>
      <c r="G35" s="3">
        <f t="shared" si="8"/>
        <v>0.33191463298106949</v>
      </c>
      <c r="H35" s="3"/>
      <c r="K35" s="3">
        <v>466.84829857390139</v>
      </c>
      <c r="L35" s="3">
        <v>149.0560860697386</v>
      </c>
      <c r="M35" s="3">
        <v>122.3915119050075</v>
      </c>
      <c r="N35" s="3" t="s">
        <v>158</v>
      </c>
      <c r="O35" s="32">
        <v>2025</v>
      </c>
      <c r="P35" s="3">
        <f t="shared" si="9"/>
        <v>0.3192816307247251</v>
      </c>
      <c r="Q35" s="3">
        <f t="shared" si="10"/>
        <v>0.26216548775883158</v>
      </c>
      <c r="R35" s="3">
        <f t="shared" si="11"/>
        <v>0.32639918158005898</v>
      </c>
      <c r="S35" s="3">
        <f t="shared" si="12"/>
        <v>0.33749198680631487</v>
      </c>
      <c r="T35" s="3">
        <f>G35-R35</f>
        <v>5.5154514010105071E-3</v>
      </c>
      <c r="U35" s="3">
        <f>S35-G35</f>
        <v>5.5773538252453791E-3</v>
      </c>
      <c r="V35" s="32">
        <v>2025</v>
      </c>
      <c r="W35" s="3">
        <v>0.3192816307247251</v>
      </c>
      <c r="X35" s="3">
        <v>9.2001146484195218E-2</v>
      </c>
      <c r="Y35" s="3">
        <v>7.820274918001191E-3</v>
      </c>
      <c r="Z35" s="3">
        <v>7.4984934194647357E-3</v>
      </c>
    </row>
    <row r="36" spans="2:26" x14ac:dyDescent="0.25">
      <c r="C36" s="16"/>
      <c r="D36" s="16"/>
      <c r="E36" s="16"/>
      <c r="F36" s="16"/>
      <c r="G36" s="16"/>
      <c r="H36" s="16"/>
    </row>
    <row r="47" spans="2:26" x14ac:dyDescent="0.25">
      <c r="P47" s="16"/>
      <c r="Q47" s="16"/>
      <c r="R47" s="16"/>
      <c r="S47" s="16"/>
      <c r="T47" s="16"/>
    </row>
    <row r="48" spans="2:26" x14ac:dyDescent="0.25">
      <c r="P48" s="16"/>
      <c r="Q48" s="16"/>
      <c r="R48" s="16"/>
      <c r="S48" s="16"/>
      <c r="T48" s="16"/>
    </row>
    <row r="49" spans="16:21" x14ac:dyDescent="0.25">
      <c r="P49" s="16"/>
      <c r="Q49" s="16"/>
      <c r="R49" s="16"/>
      <c r="S49" s="16"/>
      <c r="T49" s="16"/>
    </row>
    <row r="50" spans="16:21" x14ac:dyDescent="0.25">
      <c r="P50" s="16"/>
      <c r="Q50" s="16"/>
      <c r="R50" s="16"/>
      <c r="S50" s="16"/>
      <c r="T50" s="16"/>
    </row>
    <row r="51" spans="16:21" x14ac:dyDescent="0.25">
      <c r="P51" s="16"/>
      <c r="Q51" s="16"/>
      <c r="R51" s="16"/>
      <c r="S51" s="16"/>
      <c r="T51" s="16"/>
    </row>
    <row r="52" spans="16:21" x14ac:dyDescent="0.25">
      <c r="P52" s="16"/>
      <c r="Q52" s="16"/>
      <c r="R52" s="16"/>
      <c r="S52" s="16"/>
      <c r="T52" s="16"/>
    </row>
    <row r="53" spans="16:21" x14ac:dyDescent="0.25">
      <c r="P53" s="16"/>
      <c r="Q53" s="16"/>
      <c r="R53" s="16"/>
      <c r="S53" s="16"/>
      <c r="T53" s="16"/>
    </row>
    <row r="54" spans="16:21" x14ac:dyDescent="0.25">
      <c r="P54" s="16"/>
      <c r="Q54" s="16"/>
      <c r="R54" s="16"/>
      <c r="S54" s="16"/>
      <c r="T54" s="16"/>
    </row>
    <row r="55" spans="16:21" x14ac:dyDescent="0.25">
      <c r="P55" s="16"/>
      <c r="Q55" s="16"/>
      <c r="R55" s="16"/>
      <c r="S55" s="16"/>
      <c r="T55" s="16"/>
      <c r="U55" s="16"/>
    </row>
    <row r="56" spans="16:21" x14ac:dyDescent="0.25">
      <c r="P56" s="16"/>
      <c r="Q56" s="16"/>
      <c r="R56" s="16"/>
      <c r="S56" s="16"/>
      <c r="T56" s="16"/>
      <c r="U56" s="16"/>
    </row>
  </sheetData>
  <autoFilter ref="B14:AW21" xr:uid="{16511DA6-D15B-47F8-9C55-A9FB8C43E32D}"/>
  <mergeCells count="4">
    <mergeCell ref="B3:L3"/>
    <mergeCell ref="N3:X3"/>
    <mergeCell ref="Z3:AJ3"/>
    <mergeCell ref="AL3:AV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31CF3-C969-4F49-BE45-0EDD92E8C47F}">
  <sheetPr>
    <tabColor theme="3" tint="0.39997558519241921"/>
  </sheetPr>
  <dimension ref="A1:AN77"/>
  <sheetViews>
    <sheetView workbookViewId="0"/>
  </sheetViews>
  <sheetFormatPr defaultRowHeight="15" x14ac:dyDescent="0.25"/>
  <cols>
    <col min="6" max="7" width="14.5703125" customWidth="1"/>
    <col min="8" max="8" width="13.85546875" customWidth="1"/>
    <col min="9" max="9" width="13.140625" customWidth="1"/>
    <col min="10" max="10" width="12.42578125" customWidth="1"/>
    <col min="12" max="12" width="13.140625" bestFit="1" customWidth="1"/>
    <col min="13" max="13" width="29.28515625" bestFit="1" customWidth="1"/>
    <col min="14" max="14" width="34" bestFit="1" customWidth="1"/>
  </cols>
  <sheetData>
    <row r="1" spans="1:40" ht="45" x14ac:dyDescent="0.25">
      <c r="A1" s="10" t="s">
        <v>25</v>
      </c>
      <c r="B1" s="10" t="s">
        <v>75</v>
      </c>
      <c r="C1" s="10" t="s">
        <v>86</v>
      </c>
      <c r="D1" s="10" t="s">
        <v>148</v>
      </c>
      <c r="E1" s="10" t="s">
        <v>149</v>
      </c>
      <c r="F1" s="10" t="s">
        <v>150</v>
      </c>
      <c r="G1" s="10" t="s">
        <v>151</v>
      </c>
      <c r="H1" s="10" t="s">
        <v>152</v>
      </c>
      <c r="I1" s="10" t="s">
        <v>153</v>
      </c>
      <c r="J1" s="10" t="s">
        <v>154</v>
      </c>
    </row>
    <row r="2" spans="1:40" ht="15" customHeight="1" x14ac:dyDescent="0.25">
      <c r="A2" s="2">
        <v>2016</v>
      </c>
      <c r="B2" s="2" t="s">
        <v>64</v>
      </c>
      <c r="C2" s="1">
        <v>86.162063365852021</v>
      </c>
      <c r="D2" s="1">
        <v>538561.41101141064</v>
      </c>
      <c r="E2" s="1">
        <v>625.05630665392687</v>
      </c>
      <c r="F2" s="1">
        <v>172201.9891060885</v>
      </c>
      <c r="G2" s="1">
        <v>199.85824663332761</v>
      </c>
      <c r="H2" s="1">
        <v>162696.47453114291</v>
      </c>
      <c r="I2" s="1">
        <v>188.8261122999327</v>
      </c>
      <c r="J2" s="1" t="s">
        <v>158</v>
      </c>
    </row>
    <row r="3" spans="1:40" ht="15" customHeight="1" x14ac:dyDescent="0.25">
      <c r="A3" s="2">
        <v>2016</v>
      </c>
      <c r="B3" s="2" t="s">
        <v>63</v>
      </c>
      <c r="C3" s="1">
        <v>84.586985591175548</v>
      </c>
      <c r="D3" s="1">
        <v>147270.06841465671</v>
      </c>
      <c r="E3" s="1">
        <v>174.10487841053941</v>
      </c>
      <c r="F3" s="1">
        <v>59531.765348324792</v>
      </c>
      <c r="G3" s="1">
        <v>70.379343739771912</v>
      </c>
      <c r="H3" s="1">
        <v>0</v>
      </c>
      <c r="I3" s="1">
        <v>0</v>
      </c>
      <c r="J3" s="1" t="s">
        <v>159</v>
      </c>
    </row>
    <row r="4" spans="1:40" ht="15" customHeight="1" x14ac:dyDescent="0.25">
      <c r="A4" s="2">
        <v>2016</v>
      </c>
      <c r="B4" s="2" t="s">
        <v>62</v>
      </c>
      <c r="C4" s="1">
        <v>144.61536789027591</v>
      </c>
      <c r="D4" s="1">
        <v>247210.78917808321</v>
      </c>
      <c r="E4" s="1">
        <v>170.94365058466661</v>
      </c>
      <c r="F4" s="1">
        <v>79086.529314994608</v>
      </c>
      <c r="G4" s="1">
        <v>54.6875</v>
      </c>
      <c r="H4" s="1">
        <v>68765.002425213141</v>
      </c>
      <c r="I4" s="1">
        <v>47.550273133756612</v>
      </c>
      <c r="J4" s="1" t="s">
        <v>158</v>
      </c>
      <c r="L4" s="7"/>
      <c r="M4" s="10" t="s">
        <v>155</v>
      </c>
      <c r="N4" s="10" t="s">
        <v>150</v>
      </c>
      <c r="O4" s="26" t="s">
        <v>164</v>
      </c>
    </row>
    <row r="5" spans="1:40" ht="15" customHeight="1" x14ac:dyDescent="0.25">
      <c r="A5" s="2">
        <v>2016</v>
      </c>
      <c r="B5" s="2" t="s">
        <v>61</v>
      </c>
      <c r="C5" s="1">
        <v>69.46799923947809</v>
      </c>
      <c r="D5" s="1">
        <v>349123.41060044052</v>
      </c>
      <c r="E5" s="1">
        <v>502.56724595867797</v>
      </c>
      <c r="F5" s="1">
        <v>135697.74336101799</v>
      </c>
      <c r="G5" s="1">
        <v>195.3384937620344</v>
      </c>
      <c r="H5" s="1">
        <v>135697.74336101799</v>
      </c>
      <c r="I5" s="1">
        <v>195.3384937620344</v>
      </c>
      <c r="J5" s="1" t="s">
        <v>160</v>
      </c>
      <c r="M5" s="10" t="s">
        <v>161</v>
      </c>
      <c r="N5" s="10" t="s">
        <v>163</v>
      </c>
      <c r="O5" s="27"/>
    </row>
    <row r="6" spans="1:40" ht="15" customHeight="1" x14ac:dyDescent="0.25">
      <c r="A6" s="2">
        <v>2016</v>
      </c>
      <c r="B6" s="2" t="s">
        <v>60</v>
      </c>
      <c r="C6" s="1">
        <v>308.72395152890567</v>
      </c>
      <c r="D6" s="1">
        <v>1283063.59782913</v>
      </c>
      <c r="E6" s="1">
        <v>415.60222051932283</v>
      </c>
      <c r="F6" s="1">
        <v>421478.45530823211</v>
      </c>
      <c r="G6" s="1">
        <v>136.5227586719229</v>
      </c>
      <c r="H6" s="1">
        <v>293365.00208981353</v>
      </c>
      <c r="I6" s="1">
        <v>95.025021750651518</v>
      </c>
      <c r="J6" s="1" t="s">
        <v>158</v>
      </c>
      <c r="L6" s="2">
        <v>2016</v>
      </c>
      <c r="M6" s="1">
        <v>2364275.2996568098</v>
      </c>
      <c r="N6" s="1">
        <v>2480119.9479359179</v>
      </c>
      <c r="O6" s="1">
        <f>1-(M6/N6)</f>
        <v>4.6709292578981931E-2</v>
      </c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</row>
    <row r="7" spans="1:40" ht="15" customHeight="1" x14ac:dyDescent="0.25">
      <c r="A7" s="2">
        <v>2016</v>
      </c>
      <c r="B7" s="2" t="s">
        <v>59</v>
      </c>
      <c r="C7" s="1">
        <v>708.58388490072753</v>
      </c>
      <c r="D7" s="1">
        <v>4094962.295337657</v>
      </c>
      <c r="E7" s="1">
        <v>577.90790654395994</v>
      </c>
      <c r="F7" s="1">
        <v>1533594.788394294</v>
      </c>
      <c r="G7" s="1">
        <v>216.43094361497509</v>
      </c>
      <c r="H7" s="1">
        <v>1218973.073140824</v>
      </c>
      <c r="I7" s="1">
        <v>172.0294659695235</v>
      </c>
      <c r="J7" s="1" t="s">
        <v>158</v>
      </c>
      <c r="L7" s="2">
        <v>2017</v>
      </c>
      <c r="M7" s="1">
        <v>2567368.3915558411</v>
      </c>
      <c r="N7" s="1">
        <v>2707543.233366847</v>
      </c>
      <c r="O7" s="1">
        <f t="shared" ref="O7:O15" si="0">1-(M7/N7)</f>
        <v>5.1771968064457385E-2</v>
      </c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</row>
    <row r="8" spans="1:40" ht="15" customHeight="1" x14ac:dyDescent="0.25">
      <c r="A8" s="2">
        <v>2016</v>
      </c>
      <c r="B8" s="2" t="s">
        <v>58</v>
      </c>
      <c r="C8" s="1">
        <v>143.38019922135439</v>
      </c>
      <c r="D8" s="1">
        <v>214116.6239271675</v>
      </c>
      <c r="E8" s="1">
        <v>149.33486289596249</v>
      </c>
      <c r="F8" s="1">
        <v>78528.677102965798</v>
      </c>
      <c r="G8" s="1">
        <v>54.769541072914123</v>
      </c>
      <c r="H8" s="1">
        <v>71060.037513383562</v>
      </c>
      <c r="I8" s="1">
        <v>49.560565475068877</v>
      </c>
      <c r="J8" s="1" t="s">
        <v>158</v>
      </c>
      <c r="L8" s="2">
        <v>2018</v>
      </c>
      <c r="M8" s="1">
        <v>2390281.1007751031</v>
      </c>
      <c r="N8" s="1">
        <v>2623079.0437978404</v>
      </c>
      <c r="O8" s="1">
        <f t="shared" si="0"/>
        <v>8.8749877199918226E-2</v>
      </c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</row>
    <row r="9" spans="1:40" ht="15" customHeight="1" x14ac:dyDescent="0.25">
      <c r="A9" s="2">
        <v>2017</v>
      </c>
      <c r="B9" s="2" t="s">
        <v>64</v>
      </c>
      <c r="C9" s="1">
        <v>86.162063365852021</v>
      </c>
      <c r="D9" s="1">
        <v>563898.20170362911</v>
      </c>
      <c r="E9" s="1">
        <v>654.46227687151088</v>
      </c>
      <c r="F9" s="1">
        <v>189380.489720907</v>
      </c>
      <c r="G9" s="1">
        <v>219.7956761049002</v>
      </c>
      <c r="H9" s="1">
        <v>189380.489720907</v>
      </c>
      <c r="I9" s="1">
        <v>219.7956761049002</v>
      </c>
      <c r="J9" s="1" t="s">
        <v>160</v>
      </c>
      <c r="L9" s="2">
        <v>2019</v>
      </c>
      <c r="M9" s="1">
        <v>2407020.321957333</v>
      </c>
      <c r="N9" s="1">
        <v>2717956.881770337</v>
      </c>
      <c r="O9" s="1">
        <f t="shared" si="0"/>
        <v>0.11440084347860435</v>
      </c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r="10" spans="1:40" ht="15" customHeight="1" x14ac:dyDescent="0.25">
      <c r="A10" s="2">
        <v>2017</v>
      </c>
      <c r="B10" s="2" t="s">
        <v>63</v>
      </c>
      <c r="C10" s="1">
        <v>106.5153859793645</v>
      </c>
      <c r="D10" s="1">
        <v>289061.0388945837</v>
      </c>
      <c r="E10" s="1">
        <v>271.37960984395647</v>
      </c>
      <c r="F10" s="1">
        <v>140174.84181100581</v>
      </c>
      <c r="G10" s="1">
        <v>131.60055753650681</v>
      </c>
      <c r="H10" s="1">
        <v>0</v>
      </c>
      <c r="I10" s="1">
        <v>0</v>
      </c>
      <c r="J10" s="1" t="s">
        <v>166</v>
      </c>
      <c r="L10" s="2">
        <v>2020</v>
      </c>
      <c r="M10" s="1">
        <v>2457940.036500229</v>
      </c>
      <c r="N10" s="1">
        <v>2701452.7545138407</v>
      </c>
      <c r="O10" s="1">
        <f t="shared" si="0"/>
        <v>9.0141394331893387E-2</v>
      </c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</row>
    <row r="11" spans="1:40" ht="15" customHeight="1" x14ac:dyDescent="0.25">
      <c r="A11" s="2">
        <v>2017</v>
      </c>
      <c r="B11" s="2" t="s">
        <v>62</v>
      </c>
      <c r="C11" s="1">
        <v>144.61536789027591</v>
      </c>
      <c r="D11" s="1">
        <v>325762.48905530729</v>
      </c>
      <c r="E11" s="1">
        <v>225.2613216753515</v>
      </c>
      <c r="F11" s="1">
        <v>85223.19757788509</v>
      </c>
      <c r="G11" s="1">
        <v>58.930941310847793</v>
      </c>
      <c r="H11" s="1">
        <v>85223.19757788509</v>
      </c>
      <c r="I11" s="1">
        <v>58.930941310847793</v>
      </c>
      <c r="J11" s="1" t="s">
        <v>160</v>
      </c>
      <c r="L11" s="2">
        <v>2021</v>
      </c>
      <c r="M11" s="1">
        <v>2543116.500762132</v>
      </c>
      <c r="N11" s="1">
        <v>2955003.0200547399</v>
      </c>
      <c r="O11" s="1">
        <f t="shared" si="0"/>
        <v>0.13938615849028069</v>
      </c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</row>
    <row r="12" spans="1:40" ht="15" customHeight="1" x14ac:dyDescent="0.25">
      <c r="A12" s="2">
        <v>2017</v>
      </c>
      <c r="B12" s="2" t="s">
        <v>61</v>
      </c>
      <c r="C12" s="1">
        <v>81.964214271856974</v>
      </c>
      <c r="D12" s="1">
        <v>504119.64638225548</v>
      </c>
      <c r="E12" s="1">
        <v>615.04847067795151</v>
      </c>
      <c r="F12" s="1">
        <v>187397.99248406521</v>
      </c>
      <c r="G12" s="1">
        <v>228.6339156043245</v>
      </c>
      <c r="H12" s="1">
        <v>187397.99248406521</v>
      </c>
      <c r="I12" s="1">
        <v>228.6339156043245</v>
      </c>
      <c r="J12" s="1" t="s">
        <v>160</v>
      </c>
      <c r="L12" s="2">
        <v>2022</v>
      </c>
      <c r="M12" s="1">
        <v>3118045.880418628</v>
      </c>
      <c r="N12" s="1">
        <v>3512919.887837586</v>
      </c>
      <c r="O12" s="1">
        <f t="shared" si="0"/>
        <v>0.11240620908722931</v>
      </c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</row>
    <row r="13" spans="1:40" ht="15" customHeight="1" x14ac:dyDescent="0.25">
      <c r="A13" s="2">
        <v>2017</v>
      </c>
      <c r="B13" s="2" t="s">
        <v>60</v>
      </c>
      <c r="C13" s="1">
        <v>271.3128466247577</v>
      </c>
      <c r="D13" s="1">
        <v>1368105.9671657479</v>
      </c>
      <c r="E13" s="1">
        <v>504.2540315305904</v>
      </c>
      <c r="F13" s="1">
        <v>370208.60763397731</v>
      </c>
      <c r="G13" s="1">
        <v>136.4508213449983</v>
      </c>
      <c r="H13" s="1">
        <v>370208.60763397731</v>
      </c>
      <c r="I13" s="1">
        <v>136.4508213449983</v>
      </c>
      <c r="J13" s="1" t="s">
        <v>160</v>
      </c>
      <c r="L13" s="2">
        <v>2023</v>
      </c>
      <c r="M13" s="1">
        <v>2839142.3742750902</v>
      </c>
      <c r="N13" s="1">
        <v>3060818.5102995997</v>
      </c>
      <c r="O13" s="1">
        <f t="shared" si="0"/>
        <v>7.242380927799974E-2</v>
      </c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</row>
    <row r="14" spans="1:40" ht="15" customHeight="1" x14ac:dyDescent="0.25">
      <c r="A14" s="2">
        <v>2017</v>
      </c>
      <c r="B14" s="2" t="s">
        <v>59</v>
      </c>
      <c r="C14" s="1">
        <v>711.5703743843078</v>
      </c>
      <c r="D14" s="1">
        <v>4547492.6254319269</v>
      </c>
      <c r="E14" s="1">
        <v>639.07840870506766</v>
      </c>
      <c r="F14" s="1">
        <v>1641460.1692124619</v>
      </c>
      <c r="G14" s="1">
        <v>230.681353286068</v>
      </c>
      <c r="H14" s="1">
        <v>1641460.1692124619</v>
      </c>
      <c r="I14" s="1">
        <v>230.681353286068</v>
      </c>
      <c r="J14" s="1" t="s">
        <v>160</v>
      </c>
      <c r="L14" s="2">
        <v>2024</v>
      </c>
      <c r="M14" s="1">
        <v>2583357.7063894351</v>
      </c>
      <c r="N14" s="1">
        <v>2864548.8842164096</v>
      </c>
      <c r="O14" s="1">
        <f t="shared" si="0"/>
        <v>9.8162464385345483E-2</v>
      </c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</row>
    <row r="15" spans="1:40" ht="15" customHeight="1" x14ac:dyDescent="0.25">
      <c r="A15" s="2">
        <v>2017</v>
      </c>
      <c r="B15" s="2" t="s">
        <v>58</v>
      </c>
      <c r="C15" s="1">
        <v>147.90441562365609</v>
      </c>
      <c r="D15" s="1">
        <v>260007.52267029139</v>
      </c>
      <c r="E15" s="1">
        <v>175.794293614521</v>
      </c>
      <c r="F15" s="1">
        <v>93697.934926544694</v>
      </c>
      <c r="G15" s="1">
        <v>63.350329691954428</v>
      </c>
      <c r="H15" s="1">
        <v>93697.934926544694</v>
      </c>
      <c r="I15" s="1">
        <v>63.350329691954428</v>
      </c>
      <c r="J15" s="1" t="s">
        <v>160</v>
      </c>
      <c r="L15" s="2">
        <v>2025</v>
      </c>
      <c r="M15" s="1">
        <v>2624764.8711272711</v>
      </c>
      <c r="N15" s="1">
        <v>2890713.8604460629</v>
      </c>
      <c r="O15" s="1">
        <f t="shared" si="0"/>
        <v>9.2001146484195218E-2</v>
      </c>
      <c r="AD15" s="8"/>
      <c r="AE15" s="8"/>
      <c r="AF15" s="8"/>
      <c r="AG15" s="8"/>
      <c r="AH15" s="8"/>
      <c r="AI15" s="8"/>
      <c r="AK15" s="8"/>
      <c r="AL15" s="8"/>
      <c r="AM15" s="8"/>
      <c r="AN15" s="8"/>
    </row>
    <row r="16" spans="1:40" ht="15" customHeight="1" x14ac:dyDescent="0.25">
      <c r="A16" s="2">
        <v>2018</v>
      </c>
      <c r="B16" s="2" t="s">
        <v>64</v>
      </c>
      <c r="C16" s="1">
        <v>86.162063365852021</v>
      </c>
      <c r="D16" s="1">
        <v>516313.73430052208</v>
      </c>
      <c r="E16" s="1">
        <v>599.23557321069097</v>
      </c>
      <c r="F16" s="1">
        <v>181819.62837554919</v>
      </c>
      <c r="G16" s="1">
        <v>211.02051328962071</v>
      </c>
      <c r="H16" s="1">
        <v>157811.77215567441</v>
      </c>
      <c r="I16" s="1">
        <v>183.1569091905229</v>
      </c>
      <c r="J16" s="1" t="s">
        <v>158</v>
      </c>
      <c r="N16" s="2" t="s">
        <v>168</v>
      </c>
      <c r="O16" s="1">
        <f>AVERAGE(O6:O15)*100</f>
        <v>9.0615316337890572</v>
      </c>
      <c r="AJ16" s="16"/>
    </row>
    <row r="17" spans="1:36" ht="15" customHeight="1" x14ac:dyDescent="0.25">
      <c r="A17" s="2">
        <v>2018</v>
      </c>
      <c r="B17" s="2" t="s">
        <v>63</v>
      </c>
      <c r="C17" s="1">
        <v>145.93257151774321</v>
      </c>
      <c r="D17" s="1">
        <v>260839.65891323579</v>
      </c>
      <c r="E17" s="1">
        <v>178.73984964454749</v>
      </c>
      <c r="F17" s="1">
        <v>156024.1884826828</v>
      </c>
      <c r="G17" s="1">
        <v>106.91526015061871</v>
      </c>
      <c r="H17" s="1">
        <v>0</v>
      </c>
      <c r="I17" s="1">
        <v>0</v>
      </c>
      <c r="J17" s="1" t="s">
        <v>159</v>
      </c>
      <c r="N17" s="2" t="s">
        <v>169</v>
      </c>
      <c r="O17" s="1">
        <f>_xlfn.STDEV.S(O6:O15)*100</f>
        <v>2.8380841235353653</v>
      </c>
      <c r="AJ17" s="16"/>
    </row>
    <row r="18" spans="1:36" ht="15" customHeight="1" x14ac:dyDescent="0.25">
      <c r="A18" s="2">
        <v>2018</v>
      </c>
      <c r="B18" s="2" t="s">
        <v>62</v>
      </c>
      <c r="C18" s="1">
        <v>144.61536789027591</v>
      </c>
      <c r="D18" s="1">
        <v>255521.35182655929</v>
      </c>
      <c r="E18" s="1">
        <v>176.69031691046229</v>
      </c>
      <c r="F18" s="1">
        <v>83428.606638008787</v>
      </c>
      <c r="G18" s="1">
        <v>57.690000623798603</v>
      </c>
      <c r="H18" s="1">
        <v>70447.072310376854</v>
      </c>
      <c r="I18" s="1">
        <v>48.713406699505967</v>
      </c>
      <c r="J18" s="1" t="s">
        <v>158</v>
      </c>
    </row>
    <row r="19" spans="1:36" ht="15" customHeight="1" x14ac:dyDescent="0.25">
      <c r="A19" s="2">
        <v>2018</v>
      </c>
      <c r="B19" s="2" t="s">
        <v>61</v>
      </c>
      <c r="C19" s="1">
        <v>69.46799923947809</v>
      </c>
      <c r="D19" s="1">
        <v>313844.08386588568</v>
      </c>
      <c r="E19" s="1">
        <v>451.78224117836788</v>
      </c>
      <c r="F19" s="1">
        <v>132410.84261104499</v>
      </c>
      <c r="G19" s="1">
        <v>190.60696156597669</v>
      </c>
      <c r="H19" s="1">
        <v>132410.84261104499</v>
      </c>
      <c r="I19" s="1">
        <v>190.60696156597669</v>
      </c>
      <c r="J19" s="1" t="s">
        <v>160</v>
      </c>
    </row>
    <row r="20" spans="1:36" ht="15" customHeight="1" x14ac:dyDescent="0.25">
      <c r="A20" s="2">
        <v>2018</v>
      </c>
      <c r="B20" s="2" t="s">
        <v>60</v>
      </c>
      <c r="C20" s="1">
        <v>263.29036326090022</v>
      </c>
      <c r="D20" s="1">
        <v>1138305.544781321</v>
      </c>
      <c r="E20" s="1">
        <v>432.33847630547308</v>
      </c>
      <c r="F20" s="1">
        <v>359600.94777264522</v>
      </c>
      <c r="G20" s="1">
        <v>136.5796086567394</v>
      </c>
      <c r="H20" s="1">
        <v>295015.39957061579</v>
      </c>
      <c r="I20" s="1">
        <v>112.0494483416693</v>
      </c>
      <c r="J20" s="1" t="s">
        <v>158</v>
      </c>
    </row>
    <row r="21" spans="1:36" ht="15" customHeight="1" x14ac:dyDescent="0.25">
      <c r="A21" s="2">
        <v>2018</v>
      </c>
      <c r="B21" s="2" t="s">
        <v>59</v>
      </c>
      <c r="C21" s="1">
        <v>684.64940387830802</v>
      </c>
      <c r="D21" s="1">
        <v>3760731.8375722328</v>
      </c>
      <c r="E21" s="1">
        <v>549.29308581428029</v>
      </c>
      <c r="F21" s="1">
        <v>1624121.7178963721</v>
      </c>
      <c r="G21" s="1">
        <v>237.2194744779255</v>
      </c>
      <c r="H21" s="1">
        <v>920709.79355617042</v>
      </c>
      <c r="I21" s="1">
        <v>134.47901777766251</v>
      </c>
      <c r="J21" s="1" t="s">
        <v>158</v>
      </c>
    </row>
    <row r="22" spans="1:36" ht="15" customHeight="1" x14ac:dyDescent="0.25">
      <c r="A22" s="2">
        <v>2018</v>
      </c>
      <c r="B22" s="2" t="s">
        <v>58</v>
      </c>
      <c r="C22" s="1">
        <v>147.90441562365609</v>
      </c>
      <c r="D22" s="1">
        <v>218621.83991798889</v>
      </c>
      <c r="E22" s="1">
        <v>147.8129229584828</v>
      </c>
      <c r="F22" s="1">
        <v>85673.112021537672</v>
      </c>
      <c r="G22" s="1">
        <v>57.924647929060868</v>
      </c>
      <c r="H22" s="1">
        <v>71558.652166746513</v>
      </c>
      <c r="I22" s="1">
        <v>48.381687500681551</v>
      </c>
      <c r="J22" s="1" t="s">
        <v>158</v>
      </c>
    </row>
    <row r="23" spans="1:36" ht="15" customHeight="1" x14ac:dyDescent="0.25">
      <c r="A23" s="2">
        <v>2019</v>
      </c>
      <c r="B23" s="2" t="s">
        <v>64</v>
      </c>
      <c r="C23" s="1">
        <v>95.634456177845038</v>
      </c>
      <c r="D23" s="1">
        <v>640311.04952219361</v>
      </c>
      <c r="E23" s="1">
        <v>669.5401167247187</v>
      </c>
      <c r="F23" s="1">
        <v>194310.7935297818</v>
      </c>
      <c r="G23" s="1">
        <v>203.18073767098639</v>
      </c>
      <c r="H23" s="1">
        <v>194310.7935297818</v>
      </c>
      <c r="I23" s="1">
        <v>203.18073767098639</v>
      </c>
      <c r="J23" s="1" t="s">
        <v>160</v>
      </c>
    </row>
    <row r="24" spans="1:36" ht="15" customHeight="1" x14ac:dyDescent="0.25">
      <c r="A24" s="2">
        <v>2019</v>
      </c>
      <c r="B24" s="2" t="s">
        <v>63</v>
      </c>
      <c r="C24" s="1">
        <v>153.09053231094549</v>
      </c>
      <c r="D24" s="1">
        <v>372881.38543609792</v>
      </c>
      <c r="E24" s="1">
        <v>243.56920039884</v>
      </c>
      <c r="F24" s="1">
        <v>310936.55981300439</v>
      </c>
      <c r="G24" s="1">
        <v>203.10632873197821</v>
      </c>
      <c r="H24" s="1">
        <v>0</v>
      </c>
      <c r="I24" s="1">
        <v>0</v>
      </c>
      <c r="J24" s="1" t="s">
        <v>166</v>
      </c>
    </row>
    <row r="25" spans="1:36" ht="15" customHeight="1" x14ac:dyDescent="0.25">
      <c r="A25" s="2">
        <v>2019</v>
      </c>
      <c r="B25" s="2" t="s">
        <v>62</v>
      </c>
      <c r="C25" s="1">
        <v>144.61536789027591</v>
      </c>
      <c r="D25" s="1">
        <v>314725.17785446602</v>
      </c>
      <c r="E25" s="1">
        <v>217.62913751549399</v>
      </c>
      <c r="F25" s="1">
        <v>79573.042175375158</v>
      </c>
      <c r="G25" s="1">
        <v>55.023918506191997</v>
      </c>
      <c r="H25" s="1">
        <v>79573.042175375158</v>
      </c>
      <c r="I25" s="1">
        <v>55.023918506191997</v>
      </c>
      <c r="J25" s="1" t="s">
        <v>160</v>
      </c>
    </row>
    <row r="26" spans="1:36" ht="15" customHeight="1" x14ac:dyDescent="0.25">
      <c r="A26" s="2">
        <v>2019</v>
      </c>
      <c r="B26" s="2" t="s">
        <v>61</v>
      </c>
      <c r="C26" s="1">
        <v>69.46799923947809</v>
      </c>
      <c r="D26" s="1">
        <v>342502.94939649181</v>
      </c>
      <c r="E26" s="1">
        <v>493.03701437517458</v>
      </c>
      <c r="F26" s="1">
        <v>140911.2271150155</v>
      </c>
      <c r="G26" s="1">
        <v>202.8433647977252</v>
      </c>
      <c r="H26" s="1">
        <v>140911.2271150155</v>
      </c>
      <c r="I26" s="1">
        <v>202.8433647977252</v>
      </c>
      <c r="J26" s="1" t="s">
        <v>160</v>
      </c>
    </row>
    <row r="27" spans="1:36" ht="15" customHeight="1" x14ac:dyDescent="0.25">
      <c r="A27" s="2">
        <v>2019</v>
      </c>
      <c r="B27" s="2" t="s">
        <v>60</v>
      </c>
      <c r="C27" s="1">
        <v>246.66000965570481</v>
      </c>
      <c r="D27" s="1">
        <v>1181989.123985928</v>
      </c>
      <c r="E27" s="1">
        <v>479.19771252574873</v>
      </c>
      <c r="F27" s="1">
        <v>336777.87970688532</v>
      </c>
      <c r="G27" s="1">
        <v>136.53525765160299</v>
      </c>
      <c r="H27" s="1">
        <v>336777.87970688532</v>
      </c>
      <c r="I27" s="1">
        <v>136.53525765160299</v>
      </c>
      <c r="J27" s="1" t="s">
        <v>160</v>
      </c>
    </row>
    <row r="28" spans="1:36" ht="15" customHeight="1" x14ac:dyDescent="0.25">
      <c r="A28" s="2">
        <v>2019</v>
      </c>
      <c r="B28" s="2" t="s">
        <v>59</v>
      </c>
      <c r="C28" s="1">
        <v>660.46976559897587</v>
      </c>
      <c r="D28" s="1">
        <v>4427513.7830809094</v>
      </c>
      <c r="E28" s="1">
        <v>670.35828340539183</v>
      </c>
      <c r="F28" s="1">
        <v>1554237.3956422091</v>
      </c>
      <c r="G28" s="1">
        <v>235.32301955301179</v>
      </c>
      <c r="H28" s="1">
        <v>1554237.3956422091</v>
      </c>
      <c r="I28" s="1">
        <v>235.32301955301179</v>
      </c>
      <c r="J28" s="1" t="s">
        <v>160</v>
      </c>
    </row>
    <row r="29" spans="1:36" ht="15" customHeight="1" x14ac:dyDescent="0.25">
      <c r="A29" s="2">
        <v>2019</v>
      </c>
      <c r="B29" s="2" t="s">
        <v>58</v>
      </c>
      <c r="C29" s="1">
        <v>172.08405390298819</v>
      </c>
      <c r="D29" s="1">
        <v>322865.59969583922</v>
      </c>
      <c r="E29" s="1">
        <v>187.62087036713669</v>
      </c>
      <c r="F29" s="1">
        <v>101209.9837880657</v>
      </c>
      <c r="G29" s="1">
        <v>58.814272149308167</v>
      </c>
      <c r="H29" s="1">
        <v>101209.9837880657</v>
      </c>
      <c r="I29" s="1">
        <v>58.814272149308167</v>
      </c>
      <c r="J29" s="1" t="s">
        <v>160</v>
      </c>
    </row>
    <row r="30" spans="1:36" ht="15" customHeight="1" x14ac:dyDescent="0.25">
      <c r="A30" s="2">
        <v>2020</v>
      </c>
      <c r="B30" s="2" t="s">
        <v>64</v>
      </c>
      <c r="C30" s="1">
        <v>86.162063365852021</v>
      </c>
      <c r="D30" s="1">
        <v>584807.37816905871</v>
      </c>
      <c r="E30" s="1">
        <v>678.72954212564866</v>
      </c>
      <c r="F30" s="1">
        <v>201995.59902523371</v>
      </c>
      <c r="G30" s="1">
        <v>234.43681724234241</v>
      </c>
      <c r="H30" s="1">
        <v>201995.59902523371</v>
      </c>
      <c r="I30" s="1">
        <v>234.43681724234241</v>
      </c>
      <c r="J30" s="1" t="s">
        <v>160</v>
      </c>
    </row>
    <row r="31" spans="1:36" ht="15" customHeight="1" x14ac:dyDescent="0.25">
      <c r="A31" s="2">
        <v>2020</v>
      </c>
      <c r="B31" s="2" t="s">
        <v>63</v>
      </c>
      <c r="C31" s="1">
        <v>230.0855296355117</v>
      </c>
      <c r="D31" s="1">
        <v>420216.87365456059</v>
      </c>
      <c r="E31" s="1">
        <v>182.63507240991819</v>
      </c>
      <c r="F31" s="1">
        <v>243512.71801361261</v>
      </c>
      <c r="G31" s="1">
        <v>105.8357378664236</v>
      </c>
      <c r="H31" s="1">
        <v>0</v>
      </c>
      <c r="I31" s="1">
        <v>0</v>
      </c>
      <c r="J31" s="1" t="s">
        <v>166</v>
      </c>
    </row>
    <row r="32" spans="1:36" ht="15" customHeight="1" x14ac:dyDescent="0.25">
      <c r="A32" s="2">
        <v>2020</v>
      </c>
      <c r="B32" s="2" t="s">
        <v>62</v>
      </c>
      <c r="C32" s="1">
        <v>144.61536789027591</v>
      </c>
      <c r="D32" s="1">
        <v>252515.75831100839</v>
      </c>
      <c r="E32" s="1">
        <v>174.61198072849339</v>
      </c>
      <c r="F32" s="1">
        <v>95083.463589692197</v>
      </c>
      <c r="G32" s="1">
        <v>65.749211150114377</v>
      </c>
      <c r="H32" s="1">
        <v>95083.463589692197</v>
      </c>
      <c r="I32" s="1">
        <v>65.749211150114377</v>
      </c>
      <c r="J32" s="1" t="s">
        <v>160</v>
      </c>
    </row>
    <row r="33" spans="1:10" ht="15" customHeight="1" x14ac:dyDescent="0.25">
      <c r="A33" s="2">
        <v>2020</v>
      </c>
      <c r="B33" s="2" t="s">
        <v>61</v>
      </c>
      <c r="C33" s="1">
        <v>106.2907363284726</v>
      </c>
      <c r="D33" s="1">
        <v>676395.64418372756</v>
      </c>
      <c r="E33" s="1">
        <v>636.36368280811178</v>
      </c>
      <c r="F33" s="1">
        <v>228128.60395406641</v>
      </c>
      <c r="G33" s="1">
        <v>214.62698616469791</v>
      </c>
      <c r="H33" s="1">
        <v>228128.60395406641</v>
      </c>
      <c r="I33" s="1">
        <v>214.62698616469791</v>
      </c>
      <c r="J33" s="1" t="s">
        <v>160</v>
      </c>
    </row>
    <row r="34" spans="1:10" ht="15" customHeight="1" x14ac:dyDescent="0.25">
      <c r="A34" s="2">
        <v>2020</v>
      </c>
      <c r="B34" s="2" t="s">
        <v>60</v>
      </c>
      <c r="C34" s="1">
        <v>187.31651068916989</v>
      </c>
      <c r="D34" s="1">
        <v>987782.65441851539</v>
      </c>
      <c r="E34" s="1">
        <v>527.33346931580786</v>
      </c>
      <c r="F34" s="1">
        <v>346623.64861548168</v>
      </c>
      <c r="G34" s="1">
        <v>185.04703474359701</v>
      </c>
      <c r="H34" s="1">
        <v>346623.64861548168</v>
      </c>
      <c r="I34" s="1">
        <v>185.04703474359701</v>
      </c>
      <c r="J34" s="1" t="s">
        <v>160</v>
      </c>
    </row>
    <row r="35" spans="1:10" ht="15" customHeight="1" x14ac:dyDescent="0.25">
      <c r="A35" s="2">
        <v>2020</v>
      </c>
      <c r="B35" s="2" t="s">
        <v>59</v>
      </c>
      <c r="C35" s="1">
        <v>676.47029833226975</v>
      </c>
      <c r="D35" s="1">
        <v>3863092.872628856</v>
      </c>
      <c r="E35" s="1">
        <v>571.06614764206188</v>
      </c>
      <c r="F35" s="1">
        <v>1481625.109623763</v>
      </c>
      <c r="G35" s="1">
        <v>219.02293615499079</v>
      </c>
      <c r="H35" s="1">
        <v>1481625.109623763</v>
      </c>
      <c r="I35" s="1">
        <v>219.02293615499079</v>
      </c>
      <c r="J35" s="1" t="s">
        <v>160</v>
      </c>
    </row>
    <row r="36" spans="1:10" ht="15" customHeight="1" x14ac:dyDescent="0.25">
      <c r="A36" s="2">
        <v>2020</v>
      </c>
      <c r="B36" s="2" t="s">
        <v>58</v>
      </c>
      <c r="C36" s="1">
        <v>147.90441562365609</v>
      </c>
      <c r="D36" s="1">
        <v>257736.14288795699</v>
      </c>
      <c r="E36" s="1">
        <v>174.25858572320689</v>
      </c>
      <c r="F36" s="1">
        <v>104483.6116919913</v>
      </c>
      <c r="G36" s="1">
        <v>70.642658808679968</v>
      </c>
      <c r="H36" s="1">
        <v>104483.6116919913</v>
      </c>
      <c r="I36" s="1">
        <v>70.642658808679968</v>
      </c>
      <c r="J36" s="1" t="s">
        <v>160</v>
      </c>
    </row>
    <row r="37" spans="1:10" ht="15" customHeight="1" x14ac:dyDescent="0.25">
      <c r="A37" s="2">
        <v>2021</v>
      </c>
      <c r="B37" s="2" t="s">
        <v>64</v>
      </c>
      <c r="C37" s="1">
        <v>86.162063365852021</v>
      </c>
      <c r="D37" s="1">
        <v>578768.19970092596</v>
      </c>
      <c r="E37" s="1">
        <v>671.72044991938401</v>
      </c>
      <c r="F37" s="1">
        <v>182637.85783597291</v>
      </c>
      <c r="G37" s="1">
        <v>211.9701533382225</v>
      </c>
      <c r="H37" s="1">
        <v>182637.85783597291</v>
      </c>
      <c r="I37" s="1">
        <v>211.9701533382225</v>
      </c>
      <c r="J37" s="1" t="s">
        <v>160</v>
      </c>
    </row>
    <row r="38" spans="1:10" ht="15" customHeight="1" x14ac:dyDescent="0.25">
      <c r="A38" s="2">
        <v>2021</v>
      </c>
      <c r="B38" s="2" t="s">
        <v>63</v>
      </c>
      <c r="C38" s="1">
        <v>227.67010509021191</v>
      </c>
      <c r="D38" s="1">
        <v>597722.35109938472</v>
      </c>
      <c r="E38" s="1">
        <v>262.53879527245942</v>
      </c>
      <c r="F38" s="1">
        <v>381991.49043499387</v>
      </c>
      <c r="G38" s="1">
        <v>167.78289371089531</v>
      </c>
      <c r="H38" s="1">
        <v>0</v>
      </c>
      <c r="I38" s="1">
        <v>0</v>
      </c>
      <c r="J38" s="1" t="s">
        <v>166</v>
      </c>
    </row>
    <row r="39" spans="1:10" ht="15" customHeight="1" x14ac:dyDescent="0.25">
      <c r="A39" s="2">
        <v>2021</v>
      </c>
      <c r="B39" s="2" t="s">
        <v>62</v>
      </c>
      <c r="C39" s="1">
        <v>41.279659431150378</v>
      </c>
      <c r="D39" s="1">
        <v>81998.366718953315</v>
      </c>
      <c r="E39" s="1">
        <v>198.6410930926331</v>
      </c>
      <c r="F39" s="1">
        <v>23785.156488980869</v>
      </c>
      <c r="G39" s="1">
        <v>57.619556015600651</v>
      </c>
      <c r="H39" s="1">
        <v>23785.156488980869</v>
      </c>
      <c r="I39" s="1">
        <v>57.619556015600651</v>
      </c>
      <c r="J39" s="1" t="s">
        <v>160</v>
      </c>
    </row>
    <row r="40" spans="1:10" ht="15" customHeight="1" x14ac:dyDescent="0.25">
      <c r="A40" s="2">
        <v>2021</v>
      </c>
      <c r="B40" s="2" t="s">
        <v>61</v>
      </c>
      <c r="C40" s="1">
        <v>133.22023092534599</v>
      </c>
      <c r="D40" s="1">
        <v>886273.39633699099</v>
      </c>
      <c r="E40" s="1">
        <v>665.26937401395219</v>
      </c>
      <c r="F40" s="1">
        <v>282216.54182869347</v>
      </c>
      <c r="G40" s="1">
        <v>211.84210526315789</v>
      </c>
      <c r="H40" s="1">
        <v>281756.4567321667</v>
      </c>
      <c r="I40" s="1">
        <v>211.49674848563919</v>
      </c>
      <c r="J40" s="1" t="s">
        <v>158</v>
      </c>
    </row>
    <row r="41" spans="1:10" ht="15" customHeight="1" x14ac:dyDescent="0.25">
      <c r="A41" s="2">
        <v>2021</v>
      </c>
      <c r="B41" s="2" t="s">
        <v>60</v>
      </c>
      <c r="C41" s="1">
        <v>205.85695641829341</v>
      </c>
      <c r="D41" s="1">
        <v>1084242.0090839621</v>
      </c>
      <c r="E41" s="1">
        <v>526.69680342539618</v>
      </c>
      <c r="F41" s="1">
        <v>312670.14890405582</v>
      </c>
      <c r="G41" s="1">
        <v>151.88709400168241</v>
      </c>
      <c r="H41" s="1">
        <v>292922.27725891938</v>
      </c>
      <c r="I41" s="1">
        <v>142.29408729026031</v>
      </c>
      <c r="J41" s="1" t="s">
        <v>158</v>
      </c>
    </row>
    <row r="42" spans="1:10" ht="15" customHeight="1" x14ac:dyDescent="0.25">
      <c r="A42" s="2">
        <v>2021</v>
      </c>
      <c r="B42" s="2" t="s">
        <v>59</v>
      </c>
      <c r="C42" s="1">
        <v>668.36776051230356</v>
      </c>
      <c r="D42" s="1">
        <v>4394193.7142878398</v>
      </c>
      <c r="E42" s="1">
        <v>657.45147715079679</v>
      </c>
      <c r="F42" s="1">
        <v>1679972.502548045</v>
      </c>
      <c r="G42" s="1">
        <v>251.3545089697844</v>
      </c>
      <c r="H42" s="1">
        <v>1444706.2964011701</v>
      </c>
      <c r="I42" s="1">
        <v>216.15439609082941</v>
      </c>
      <c r="J42" s="1" t="s">
        <v>158</v>
      </c>
    </row>
    <row r="43" spans="1:10" ht="15" customHeight="1" x14ac:dyDescent="0.25">
      <c r="A43" s="2">
        <v>2021</v>
      </c>
      <c r="B43" s="2" t="s">
        <v>58</v>
      </c>
      <c r="C43" s="1">
        <v>147.90441562365609</v>
      </c>
      <c r="D43" s="1">
        <v>271267.85420480848</v>
      </c>
      <c r="E43" s="1">
        <v>183.4075426761103</v>
      </c>
      <c r="F43" s="1">
        <v>91729.322013998113</v>
      </c>
      <c r="G43" s="1">
        <v>62.01932621633425</v>
      </c>
      <c r="H43" s="1">
        <v>91729.322013998113</v>
      </c>
      <c r="I43" s="1">
        <v>62.01932621633425</v>
      </c>
      <c r="J43" s="1" t="s">
        <v>160</v>
      </c>
    </row>
    <row r="44" spans="1:10" ht="15" customHeight="1" x14ac:dyDescent="0.25">
      <c r="A44" s="2">
        <v>2022</v>
      </c>
      <c r="B44" s="2" t="s">
        <v>65</v>
      </c>
      <c r="C44" s="1">
        <v>166.53088985912621</v>
      </c>
      <c r="D44" s="1">
        <v>739644.71620712057</v>
      </c>
      <c r="E44" s="1">
        <v>444.14866024724279</v>
      </c>
      <c r="F44" s="1">
        <v>208296.5465202812</v>
      </c>
      <c r="G44" s="1">
        <v>125.0798255485729</v>
      </c>
      <c r="H44" s="1">
        <v>208296.5465202812</v>
      </c>
      <c r="I44" s="1">
        <v>125.0798255485729</v>
      </c>
      <c r="J44" s="1" t="s">
        <v>160</v>
      </c>
    </row>
    <row r="45" spans="1:10" ht="15" customHeight="1" x14ac:dyDescent="0.25">
      <c r="A45" s="2">
        <v>2022</v>
      </c>
      <c r="B45" s="2" t="s">
        <v>64</v>
      </c>
      <c r="C45" s="1">
        <v>86.162063365852021</v>
      </c>
      <c r="D45" s="1">
        <v>624442.04334542877</v>
      </c>
      <c r="E45" s="1">
        <v>724.72967678825273</v>
      </c>
      <c r="F45" s="1">
        <v>209815.14518096691</v>
      </c>
      <c r="G45" s="1">
        <v>243.51221057702921</v>
      </c>
      <c r="H45" s="1">
        <v>209815.14518096691</v>
      </c>
      <c r="I45" s="1">
        <v>243.51221057702921</v>
      </c>
      <c r="J45" s="1" t="s">
        <v>160</v>
      </c>
    </row>
    <row r="46" spans="1:10" ht="15" customHeight="1" x14ac:dyDescent="0.25">
      <c r="A46" s="2">
        <v>2022</v>
      </c>
      <c r="B46" s="2" t="s">
        <v>63</v>
      </c>
      <c r="C46" s="1">
        <v>180.53456039247521</v>
      </c>
      <c r="D46" s="1">
        <v>596917.76021823124</v>
      </c>
      <c r="E46" s="1">
        <v>330.63905266700999</v>
      </c>
      <c r="F46" s="1">
        <v>394874.00741895818</v>
      </c>
      <c r="G46" s="1">
        <v>218.72488378985011</v>
      </c>
      <c r="H46" s="1">
        <v>0</v>
      </c>
      <c r="I46" s="1">
        <v>0</v>
      </c>
      <c r="J46" s="1" t="s">
        <v>166</v>
      </c>
    </row>
    <row r="47" spans="1:10" ht="15" customHeight="1" x14ac:dyDescent="0.25">
      <c r="A47" s="2">
        <v>2022</v>
      </c>
      <c r="B47" s="2" t="s">
        <v>62</v>
      </c>
      <c r="C47" s="1">
        <v>41.279659431150378</v>
      </c>
      <c r="D47" s="1">
        <v>85339.765850450844</v>
      </c>
      <c r="E47" s="1">
        <v>206.73563451459071</v>
      </c>
      <c r="F47" s="1">
        <v>27045.40736251304</v>
      </c>
      <c r="G47" s="1">
        <v>65.517515733436696</v>
      </c>
      <c r="H47" s="1">
        <v>27045.40736251304</v>
      </c>
      <c r="I47" s="1">
        <v>65.517515733436696</v>
      </c>
      <c r="J47" s="1" t="s">
        <v>160</v>
      </c>
    </row>
    <row r="48" spans="1:10" ht="15" customHeight="1" x14ac:dyDescent="0.25">
      <c r="A48" s="2">
        <v>2022</v>
      </c>
      <c r="B48" s="2" t="s">
        <v>61</v>
      </c>
      <c r="C48" s="1">
        <v>217.29429224631139</v>
      </c>
      <c r="D48" s="1">
        <v>1466823.8838798171</v>
      </c>
      <c r="E48" s="1">
        <v>675.04022711149548</v>
      </c>
      <c r="F48" s="1">
        <v>515359.16022891621</v>
      </c>
      <c r="G48" s="1">
        <v>237.17105263157899</v>
      </c>
      <c r="H48" s="1">
        <v>515359.16022891621</v>
      </c>
      <c r="I48" s="1">
        <v>237.17105263157899</v>
      </c>
      <c r="J48" s="1" t="s">
        <v>160</v>
      </c>
    </row>
    <row r="49" spans="1:10" ht="15" customHeight="1" x14ac:dyDescent="0.25">
      <c r="A49" s="2">
        <v>2022</v>
      </c>
      <c r="B49" s="2" t="s">
        <v>60</v>
      </c>
      <c r="C49" s="1">
        <v>239.77057536173379</v>
      </c>
      <c r="D49" s="1">
        <v>1378412.2962104571</v>
      </c>
      <c r="E49" s="1">
        <v>574.88801289770151</v>
      </c>
      <c r="F49" s="1">
        <v>441034.04172997217</v>
      </c>
      <c r="G49" s="1">
        <v>183.94001893877049</v>
      </c>
      <c r="H49" s="1">
        <v>441034.04172997217</v>
      </c>
      <c r="I49" s="1">
        <v>183.94001893877049</v>
      </c>
      <c r="J49" s="1" t="s">
        <v>160</v>
      </c>
    </row>
    <row r="50" spans="1:10" ht="15" customHeight="1" x14ac:dyDescent="0.25">
      <c r="A50" s="2">
        <v>2022</v>
      </c>
      <c r="B50" s="2" t="s">
        <v>59</v>
      </c>
      <c r="C50" s="1">
        <v>596.84440233595251</v>
      </c>
      <c r="D50" s="1">
        <v>3963501.2207752368</v>
      </c>
      <c r="E50" s="1">
        <v>664.07613194707608</v>
      </c>
      <c r="F50" s="1">
        <v>1612584.0911596559</v>
      </c>
      <c r="G50" s="1">
        <v>270.18500715567779</v>
      </c>
      <c r="H50" s="1">
        <v>1612584.0911596559</v>
      </c>
      <c r="I50" s="1">
        <v>270.18500715567779</v>
      </c>
      <c r="J50" s="1" t="s">
        <v>160</v>
      </c>
    </row>
    <row r="51" spans="1:10" ht="15" customHeight="1" x14ac:dyDescent="0.25">
      <c r="A51" s="2">
        <v>2022</v>
      </c>
      <c r="B51" s="2" t="s">
        <v>58</v>
      </c>
      <c r="C51" s="1">
        <v>147.90441562365609</v>
      </c>
      <c r="D51" s="1">
        <v>288390.99302529788</v>
      </c>
      <c r="E51" s="1">
        <v>194.98470806923771</v>
      </c>
      <c r="F51" s="1">
        <v>103911.4882363221</v>
      </c>
      <c r="G51" s="1">
        <v>70.255839082401508</v>
      </c>
      <c r="H51" s="1">
        <v>103911.4882363221</v>
      </c>
      <c r="I51" s="1">
        <v>70.255839082401508</v>
      </c>
      <c r="J51" s="1" t="s">
        <v>160</v>
      </c>
    </row>
    <row r="52" spans="1:10" ht="15" customHeight="1" x14ac:dyDescent="0.25">
      <c r="A52" s="2">
        <v>2023</v>
      </c>
      <c r="B52" s="2" t="s">
        <v>65</v>
      </c>
      <c r="C52" s="1">
        <v>291.17195202384909</v>
      </c>
      <c r="D52" s="1">
        <v>1494262.127050641</v>
      </c>
      <c r="E52" s="1">
        <v>513.18889634268419</v>
      </c>
      <c r="F52" s="1">
        <v>326564.40801092301</v>
      </c>
      <c r="G52" s="1">
        <v>112.15517351210219</v>
      </c>
      <c r="H52" s="1">
        <v>326564.40801092301</v>
      </c>
      <c r="I52" s="1">
        <v>112.15517351210219</v>
      </c>
      <c r="J52" s="1" t="s">
        <v>160</v>
      </c>
    </row>
    <row r="53" spans="1:10" ht="15" customHeight="1" x14ac:dyDescent="0.25">
      <c r="A53" s="2">
        <v>2023</v>
      </c>
      <c r="B53" s="2" t="s">
        <v>64</v>
      </c>
      <c r="C53" s="1">
        <v>93.320024159054441</v>
      </c>
      <c r="D53" s="1">
        <v>604290.84993951721</v>
      </c>
      <c r="E53" s="1">
        <v>647.54682115123035</v>
      </c>
      <c r="F53" s="1">
        <v>199403.9257895333</v>
      </c>
      <c r="G53" s="1">
        <v>213.67753339805151</v>
      </c>
      <c r="H53" s="1">
        <v>199403.9257895333</v>
      </c>
      <c r="I53" s="1">
        <v>213.67753339805151</v>
      </c>
      <c r="J53" s="1" t="s">
        <v>160</v>
      </c>
    </row>
    <row r="54" spans="1:10" ht="15" customHeight="1" x14ac:dyDescent="0.25">
      <c r="A54" s="2">
        <v>2023</v>
      </c>
      <c r="B54" s="2" t="s">
        <v>63</v>
      </c>
      <c r="C54" s="1">
        <v>106.5153859793645</v>
      </c>
      <c r="D54" s="1">
        <v>417262.99600413279</v>
      </c>
      <c r="E54" s="1">
        <v>391.73964603101592</v>
      </c>
      <c r="F54" s="1">
        <v>199436.3835316172</v>
      </c>
      <c r="G54" s="1">
        <v>187.23715986933061</v>
      </c>
      <c r="H54" s="1">
        <v>0</v>
      </c>
      <c r="I54" s="1">
        <v>0</v>
      </c>
      <c r="J54" s="1" t="s">
        <v>170</v>
      </c>
    </row>
    <row r="55" spans="1:10" ht="15" customHeight="1" x14ac:dyDescent="0.25">
      <c r="A55" s="2">
        <v>2023</v>
      </c>
      <c r="B55" s="2" t="s">
        <v>62</v>
      </c>
      <c r="C55" s="1">
        <v>41.279659431150378</v>
      </c>
      <c r="D55" s="1">
        <v>106354.32231872781</v>
      </c>
      <c r="E55" s="1">
        <v>257.64341030020921</v>
      </c>
      <c r="F55" s="1">
        <v>23287.70260671806</v>
      </c>
      <c r="G55" s="1">
        <v>56.41447368421052</v>
      </c>
      <c r="H55" s="1">
        <v>23287.70260671806</v>
      </c>
      <c r="I55" s="1">
        <v>56.41447368421052</v>
      </c>
      <c r="J55" s="1" t="s">
        <v>160</v>
      </c>
    </row>
    <row r="56" spans="1:10" ht="15" customHeight="1" x14ac:dyDescent="0.25">
      <c r="A56" s="2">
        <v>2023</v>
      </c>
      <c r="B56" s="2" t="s">
        <v>61</v>
      </c>
      <c r="C56" s="1">
        <v>180.47155515731691</v>
      </c>
      <c r="D56" s="1">
        <v>895498.62690217746</v>
      </c>
      <c r="E56" s="1">
        <v>496.19931856938439</v>
      </c>
      <c r="F56" s="1">
        <v>389730.10623550211</v>
      </c>
      <c r="G56" s="1">
        <v>215.95098789710909</v>
      </c>
      <c r="H56" s="1">
        <v>389730.10623550211</v>
      </c>
      <c r="I56" s="1">
        <v>215.95098789710909</v>
      </c>
      <c r="J56" s="1" t="s">
        <v>160</v>
      </c>
    </row>
    <row r="57" spans="1:10" ht="15" customHeight="1" x14ac:dyDescent="0.25">
      <c r="A57" s="2">
        <v>2023</v>
      </c>
      <c r="B57" s="2" t="s">
        <v>60</v>
      </c>
      <c r="C57" s="1">
        <v>264.1548858315553</v>
      </c>
      <c r="D57" s="1">
        <v>1266457.6368563441</v>
      </c>
      <c r="E57" s="1">
        <v>479.43752123666241</v>
      </c>
      <c r="F57" s="1">
        <v>316620.56711148482</v>
      </c>
      <c r="G57" s="1">
        <v>119.8617114783883</v>
      </c>
      <c r="H57" s="1">
        <v>294380.81461859238</v>
      </c>
      <c r="I57" s="1">
        <v>111.4425022622187</v>
      </c>
      <c r="J57" s="1" t="s">
        <v>158</v>
      </c>
    </row>
    <row r="58" spans="1:10" ht="15" customHeight="1" x14ac:dyDescent="0.25">
      <c r="A58" s="2">
        <v>2023</v>
      </c>
      <c r="B58" s="2" t="s">
        <v>59</v>
      </c>
      <c r="C58" s="1">
        <v>608.73221969324538</v>
      </c>
      <c r="D58" s="1">
        <v>4166683.4128717259</v>
      </c>
      <c r="E58" s="1">
        <v>684.48544007928751</v>
      </c>
      <c r="F58" s="1">
        <v>1516089.5112683079</v>
      </c>
      <c r="G58" s="1">
        <v>249.05688613497429</v>
      </c>
      <c r="H58" s="1">
        <v>1516089.5112683079</v>
      </c>
      <c r="I58" s="1">
        <v>249.05688613497429</v>
      </c>
      <c r="J58" s="1" t="s">
        <v>160</v>
      </c>
    </row>
    <row r="59" spans="1:10" ht="15" customHeight="1" x14ac:dyDescent="0.25">
      <c r="A59" s="2">
        <v>2023</v>
      </c>
      <c r="B59" s="2" t="s">
        <v>58</v>
      </c>
      <c r="C59" s="1">
        <v>147.90441562365609</v>
      </c>
      <c r="D59" s="1">
        <v>291150.62948581547</v>
      </c>
      <c r="E59" s="1">
        <v>196.85053232396419</v>
      </c>
      <c r="F59" s="1">
        <v>89685.905745513373</v>
      </c>
      <c r="G59" s="1">
        <v>60.637747268965811</v>
      </c>
      <c r="H59" s="1">
        <v>89685.905745513373</v>
      </c>
      <c r="I59" s="1">
        <v>60.637747268965811</v>
      </c>
      <c r="J59" s="1" t="s">
        <v>160</v>
      </c>
    </row>
    <row r="60" spans="1:10" ht="15" customHeight="1" x14ac:dyDescent="0.25">
      <c r="A60" s="2">
        <v>2024</v>
      </c>
      <c r="B60" s="2" t="s">
        <v>65</v>
      </c>
      <c r="C60" s="1">
        <v>291.17195202384909</v>
      </c>
      <c r="D60" s="1">
        <v>1104646.5319482959</v>
      </c>
      <c r="E60" s="1">
        <v>379.37944375144269</v>
      </c>
      <c r="F60" s="1">
        <v>291650.85326073039</v>
      </c>
      <c r="G60" s="1">
        <v>100.16447368421051</v>
      </c>
      <c r="H60" s="1">
        <v>291650.85326073039</v>
      </c>
      <c r="I60" s="1">
        <v>100.16447368421051</v>
      </c>
      <c r="J60" s="1" t="s">
        <v>160</v>
      </c>
    </row>
    <row r="61" spans="1:10" ht="15" customHeight="1" x14ac:dyDescent="0.25">
      <c r="A61" s="2">
        <v>2024</v>
      </c>
      <c r="B61" s="2" t="s">
        <v>64</v>
      </c>
      <c r="C61" s="1">
        <v>93.320024159054441</v>
      </c>
      <c r="D61" s="1">
        <v>561162.82083674637</v>
      </c>
      <c r="E61" s="1">
        <v>601.33162833338065</v>
      </c>
      <c r="F61" s="1">
        <v>181840.47361246709</v>
      </c>
      <c r="G61" s="1">
        <v>194.85686512740139</v>
      </c>
      <c r="H61" s="1">
        <v>181840.47361246709</v>
      </c>
      <c r="I61" s="1">
        <v>194.85686512740139</v>
      </c>
      <c r="J61" s="1" t="s">
        <v>160</v>
      </c>
    </row>
    <row r="62" spans="1:10" ht="15" customHeight="1" x14ac:dyDescent="0.25">
      <c r="A62" s="2">
        <v>2024</v>
      </c>
      <c r="B62" s="2" t="s">
        <v>63</v>
      </c>
      <c r="C62" s="1">
        <v>134.04475416045031</v>
      </c>
      <c r="D62" s="1">
        <v>588778.59412651428</v>
      </c>
      <c r="E62" s="1">
        <v>439.2403103084153</v>
      </c>
      <c r="F62" s="1">
        <v>250793.503858643</v>
      </c>
      <c r="G62" s="1">
        <v>187.0968434605397</v>
      </c>
      <c r="H62" s="1">
        <v>0</v>
      </c>
      <c r="I62" s="1">
        <v>0</v>
      </c>
      <c r="J62" s="1" t="s">
        <v>159</v>
      </c>
    </row>
    <row r="63" spans="1:10" ht="15" customHeight="1" x14ac:dyDescent="0.25">
      <c r="A63" s="2">
        <v>2024</v>
      </c>
      <c r="B63" s="2" t="s">
        <v>62</v>
      </c>
      <c r="C63" s="1">
        <v>38.340081074907701</v>
      </c>
      <c r="D63" s="1">
        <v>66286.170676499227</v>
      </c>
      <c r="E63" s="1">
        <v>172.89001175295189</v>
      </c>
      <c r="F63" s="1">
        <v>19623.937533794549</v>
      </c>
      <c r="G63" s="1">
        <v>51.183870726443928</v>
      </c>
      <c r="H63" s="1">
        <v>19623.937533794549</v>
      </c>
      <c r="I63" s="1">
        <v>51.183870726443928</v>
      </c>
      <c r="J63" s="1" t="s">
        <v>160</v>
      </c>
    </row>
    <row r="64" spans="1:10" ht="15" customHeight="1" x14ac:dyDescent="0.25">
      <c r="A64" s="2">
        <v>2024</v>
      </c>
      <c r="B64" s="2" t="s">
        <v>61</v>
      </c>
      <c r="C64" s="1">
        <v>217.29429224631139</v>
      </c>
      <c r="D64" s="1">
        <v>1262578.292359119</v>
      </c>
      <c r="E64" s="1">
        <v>581.04530924721121</v>
      </c>
      <c r="F64" s="1">
        <v>418490.77863381762</v>
      </c>
      <c r="G64" s="1">
        <v>192.5917033105693</v>
      </c>
      <c r="H64" s="1">
        <v>381671.61934148992</v>
      </c>
      <c r="I64" s="1">
        <v>175.6473285128219</v>
      </c>
      <c r="J64" s="1" t="s">
        <v>158</v>
      </c>
    </row>
    <row r="65" spans="1:10" ht="15" customHeight="1" x14ac:dyDescent="0.25">
      <c r="A65" s="2">
        <v>2024</v>
      </c>
      <c r="B65" s="2" t="s">
        <v>60</v>
      </c>
      <c r="C65" s="1">
        <v>242.59431091087831</v>
      </c>
      <c r="D65" s="1">
        <v>934507.58733528771</v>
      </c>
      <c r="E65" s="1">
        <v>385.21413953462297</v>
      </c>
      <c r="F65" s="1">
        <v>287953.7925237958</v>
      </c>
      <c r="G65" s="1">
        <v>118.6976691426128</v>
      </c>
      <c r="H65" s="1">
        <v>271994.76402519172</v>
      </c>
      <c r="I65" s="1">
        <v>112.1191849074788</v>
      </c>
      <c r="J65" s="1" t="s">
        <v>158</v>
      </c>
    </row>
    <row r="66" spans="1:10" ht="15" customHeight="1" x14ac:dyDescent="0.25">
      <c r="A66" s="2">
        <v>2024</v>
      </c>
      <c r="B66" s="2" t="s">
        <v>59</v>
      </c>
      <c r="C66" s="1">
        <v>584.14242986840225</v>
      </c>
      <c r="D66" s="1">
        <v>3001046.6481394041</v>
      </c>
      <c r="E66" s="1">
        <v>513.75255326265051</v>
      </c>
      <c r="F66" s="1">
        <v>1334453.8103581551</v>
      </c>
      <c r="G66" s="1">
        <v>228.4466496739135</v>
      </c>
      <c r="H66" s="1">
        <v>937624.05850967905</v>
      </c>
      <c r="I66" s="1">
        <v>160.51291783767709</v>
      </c>
      <c r="J66" s="1" t="s">
        <v>158</v>
      </c>
    </row>
    <row r="67" spans="1:10" ht="15" customHeight="1" x14ac:dyDescent="0.25">
      <c r="A67" s="2">
        <v>2024</v>
      </c>
      <c r="B67" s="2" t="s">
        <v>58</v>
      </c>
      <c r="C67" s="1">
        <v>147.90441562365609</v>
      </c>
      <c r="D67" s="1">
        <v>218917.36845608481</v>
      </c>
      <c r="E67" s="1">
        <v>148.01273344882529</v>
      </c>
      <c r="F67" s="1">
        <v>79741.734435006452</v>
      </c>
      <c r="G67" s="1">
        <v>53.914370371409262</v>
      </c>
      <c r="H67" s="1">
        <v>79741.734435006452</v>
      </c>
      <c r="I67" s="1">
        <v>53.914370371409262</v>
      </c>
      <c r="J67" s="1" t="s">
        <v>160</v>
      </c>
    </row>
    <row r="68" spans="1:10" ht="15" customHeight="1" x14ac:dyDescent="0.25">
      <c r="A68" s="2">
        <v>2025</v>
      </c>
      <c r="B68" s="2" t="s">
        <v>65</v>
      </c>
      <c r="C68" s="1">
        <v>291.17195202384909</v>
      </c>
      <c r="D68" s="1">
        <v>1195738.2782104451</v>
      </c>
      <c r="E68" s="1">
        <v>410.66396330389182</v>
      </c>
      <c r="F68" s="1">
        <v>305730.54962504149</v>
      </c>
      <c r="G68" s="1">
        <v>105</v>
      </c>
      <c r="H68" s="1">
        <v>305730.54962504149</v>
      </c>
      <c r="I68" s="1">
        <v>105</v>
      </c>
      <c r="J68" s="1" t="s">
        <v>160</v>
      </c>
    </row>
    <row r="69" spans="1:10" ht="15" customHeight="1" x14ac:dyDescent="0.25">
      <c r="A69" s="2">
        <v>2025</v>
      </c>
      <c r="B69" s="2" t="s">
        <v>64</v>
      </c>
      <c r="C69" s="1">
        <v>110.1550521446958</v>
      </c>
      <c r="D69" s="1">
        <v>735328.65851745184</v>
      </c>
      <c r="E69" s="1">
        <v>667.53965814618255</v>
      </c>
      <c r="F69" s="1">
        <v>224647.31921865311</v>
      </c>
      <c r="G69" s="1">
        <v>203.93737268043239</v>
      </c>
      <c r="H69" s="1">
        <v>224647.31921865311</v>
      </c>
      <c r="I69" s="1">
        <v>203.93737268043239</v>
      </c>
      <c r="J69" s="1" t="s">
        <v>160</v>
      </c>
    </row>
    <row r="70" spans="1:10" ht="15" customHeight="1" x14ac:dyDescent="0.25">
      <c r="A70" s="2">
        <v>2025</v>
      </c>
      <c r="B70" s="2" t="s">
        <v>63</v>
      </c>
      <c r="C70" s="1">
        <v>209.4542030099409</v>
      </c>
      <c r="D70" s="1">
        <v>365794.58304443798</v>
      </c>
      <c r="E70" s="1">
        <v>174.64179653013551</v>
      </c>
      <c r="F70" s="1">
        <v>215416.10899526731</v>
      </c>
      <c r="G70" s="1">
        <v>102.8464007404251</v>
      </c>
      <c r="H70" s="1">
        <v>0</v>
      </c>
      <c r="I70" s="1">
        <v>0</v>
      </c>
      <c r="J70" s="1" t="s">
        <v>166</v>
      </c>
    </row>
    <row r="71" spans="1:10" ht="15" customHeight="1" x14ac:dyDescent="0.25">
      <c r="A71" s="2">
        <v>2025</v>
      </c>
      <c r="B71" s="2" t="s">
        <v>62</v>
      </c>
      <c r="C71" s="1">
        <v>38.340081074907701</v>
      </c>
      <c r="D71" s="1">
        <v>60147.165185210128</v>
      </c>
      <c r="E71" s="1">
        <v>156.87803337634159</v>
      </c>
      <c r="F71" s="1">
        <v>23705.276963779201</v>
      </c>
      <c r="G71" s="1">
        <v>61.828969316638997</v>
      </c>
      <c r="H71" s="1">
        <v>23705.276963779201</v>
      </c>
      <c r="I71" s="1">
        <v>61.828969316638997</v>
      </c>
      <c r="J71" s="1" t="s">
        <v>160</v>
      </c>
    </row>
    <row r="72" spans="1:10" ht="15" customHeight="1" x14ac:dyDescent="0.25">
      <c r="A72" s="2">
        <v>2025</v>
      </c>
      <c r="B72" s="2" t="s">
        <v>61</v>
      </c>
      <c r="C72" s="1">
        <v>123.1593343465393</v>
      </c>
      <c r="D72" s="1">
        <v>807596.99386505561</v>
      </c>
      <c r="E72" s="1">
        <v>655.73348390523256</v>
      </c>
      <c r="F72" s="1">
        <v>255126.9354781241</v>
      </c>
      <c r="G72" s="1">
        <v>207.15192789225489</v>
      </c>
      <c r="H72" s="1">
        <v>255126.9354781241</v>
      </c>
      <c r="I72" s="1">
        <v>207.15192789225489</v>
      </c>
      <c r="J72" s="1" t="s">
        <v>160</v>
      </c>
    </row>
    <row r="73" spans="1:10" ht="15" customHeight="1" x14ac:dyDescent="0.25">
      <c r="A73" s="2">
        <v>2025</v>
      </c>
      <c r="B73" s="2" t="s">
        <v>60</v>
      </c>
      <c r="C73" s="1">
        <v>243.7005266998307</v>
      </c>
      <c r="D73" s="1">
        <v>1167914.179501005</v>
      </c>
      <c r="E73" s="1">
        <v>479.24154917381082</v>
      </c>
      <c r="F73" s="1">
        <v>333211.55335206352</v>
      </c>
      <c r="G73" s="1">
        <v>136.72992745004811</v>
      </c>
      <c r="H73" s="1">
        <v>271050.73041360098</v>
      </c>
      <c r="I73" s="1">
        <v>111.2228742728398</v>
      </c>
      <c r="J73" s="1" t="s">
        <v>171</v>
      </c>
    </row>
    <row r="74" spans="1:10" ht="15" customHeight="1" x14ac:dyDescent="0.25">
      <c r="A74" s="2">
        <v>2025</v>
      </c>
      <c r="B74" s="2" t="s">
        <v>59</v>
      </c>
      <c r="C74" s="1">
        <v>597.03875580456929</v>
      </c>
      <c r="D74" s="1">
        <v>3590693.857231569</v>
      </c>
      <c r="E74" s="1">
        <v>601.41721493318312</v>
      </c>
      <c r="F74" s="1">
        <v>1436112.2929409179</v>
      </c>
      <c r="G74" s="1">
        <v>240.5392077111666</v>
      </c>
      <c r="H74" s="1">
        <v>978197.26407055487</v>
      </c>
      <c r="I74" s="1">
        <v>163.841501838911</v>
      </c>
      <c r="J74" s="1" t="s">
        <v>158</v>
      </c>
    </row>
    <row r="75" spans="1:10" ht="15" customHeight="1" x14ac:dyDescent="0.25">
      <c r="A75" s="2">
        <v>2025</v>
      </c>
      <c r="B75" s="2" t="s">
        <v>58</v>
      </c>
      <c r="C75" s="1">
        <v>147.90441562365609</v>
      </c>
      <c r="D75" s="1">
        <v>297631.51493747142</v>
      </c>
      <c r="E75" s="1">
        <v>201.23233892813391</v>
      </c>
      <c r="F75" s="1">
        <v>96763.823872216162</v>
      </c>
      <c r="G75" s="1">
        <v>65.423215029923426</v>
      </c>
      <c r="H75" s="1">
        <v>96763.823872216162</v>
      </c>
      <c r="I75" s="1">
        <v>65.423215029923426</v>
      </c>
      <c r="J75" s="1" t="s">
        <v>160</v>
      </c>
    </row>
    <row r="76" spans="1:10" ht="15" customHeight="1" x14ac:dyDescent="0.25"/>
    <row r="77" spans="1:10" ht="15" customHeight="1" x14ac:dyDescent="0.25"/>
  </sheetData>
  <mergeCells count="1">
    <mergeCell ref="O4:O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AD364-6E44-4E29-B63F-BD792C74420C}">
  <sheetPr>
    <tabColor theme="3" tint="0.39997558519241921"/>
  </sheetPr>
  <dimension ref="B1:Y76"/>
  <sheetViews>
    <sheetView showGridLines="0" tabSelected="1" zoomScale="110" zoomScaleNormal="110" workbookViewId="0">
      <selection activeCell="F43" sqref="F43"/>
    </sheetView>
  </sheetViews>
  <sheetFormatPr defaultRowHeight="15" x14ac:dyDescent="0.25"/>
  <cols>
    <col min="2" max="2" width="14.85546875" customWidth="1"/>
    <col min="3" max="3" width="13" customWidth="1"/>
    <col min="8" max="8" width="8.7109375" customWidth="1"/>
    <col min="9" max="9" width="18.42578125" customWidth="1"/>
    <col min="12" max="12" width="14.7109375" customWidth="1"/>
    <col min="13" max="13" width="9.28515625" bestFit="1" customWidth="1"/>
    <col min="14" max="14" width="9.7109375" bestFit="1" customWidth="1"/>
    <col min="15" max="19" width="9.28515625" bestFit="1" customWidth="1"/>
    <col min="21" max="21" width="13.140625" bestFit="1" customWidth="1"/>
    <col min="22" max="22" width="21.7109375" bestFit="1" customWidth="1"/>
    <col min="23" max="23" width="22.28515625" bestFit="1" customWidth="1"/>
    <col min="24" max="24" width="21.7109375" bestFit="1" customWidth="1"/>
    <col min="25" max="25" width="22.28515625" bestFit="1" customWidth="1"/>
    <col min="26" max="26" width="21.7109375" bestFit="1" customWidth="1"/>
    <col min="27" max="27" width="22.28515625" bestFit="1" customWidth="1"/>
    <col min="28" max="28" width="21.7109375" bestFit="1" customWidth="1"/>
    <col min="29" max="29" width="22.28515625" bestFit="1" customWidth="1"/>
    <col min="30" max="30" width="21.7109375" bestFit="1" customWidth="1"/>
    <col min="31" max="31" width="22.28515625" bestFit="1" customWidth="1"/>
    <col min="32" max="32" width="21.7109375" bestFit="1" customWidth="1"/>
    <col min="33" max="33" width="22.28515625" bestFit="1" customWidth="1"/>
    <col min="34" max="34" width="21.7109375" bestFit="1" customWidth="1"/>
    <col min="35" max="35" width="22.28515625" bestFit="1" customWidth="1"/>
    <col min="36" max="36" width="21.7109375" bestFit="1" customWidth="1"/>
    <col min="37" max="37" width="22.28515625" bestFit="1" customWidth="1"/>
    <col min="38" max="38" width="21.7109375" bestFit="1" customWidth="1"/>
    <col min="39" max="39" width="22.28515625" bestFit="1" customWidth="1"/>
    <col min="40" max="40" width="21.7109375" bestFit="1" customWidth="1"/>
    <col min="41" max="41" width="22.28515625" bestFit="1" customWidth="1"/>
    <col min="42" max="42" width="21.7109375" bestFit="1" customWidth="1"/>
    <col min="43" max="43" width="22.28515625" bestFit="1" customWidth="1"/>
    <col min="44" max="44" width="26.7109375" bestFit="1" customWidth="1"/>
    <col min="45" max="45" width="27.28515625" bestFit="1" customWidth="1"/>
  </cols>
  <sheetData>
    <row r="1" spans="2:25" ht="15" customHeight="1" x14ac:dyDescent="0.25"/>
    <row r="2" spans="2:25" ht="30" x14ac:dyDescent="0.25">
      <c r="I2" s="14"/>
      <c r="J2" s="15" t="s">
        <v>73</v>
      </c>
      <c r="K2" s="15" t="s">
        <v>25</v>
      </c>
      <c r="L2" s="15" t="s">
        <v>75</v>
      </c>
      <c r="M2" s="15" t="s">
        <v>86</v>
      </c>
      <c r="N2" s="15" t="s">
        <v>85</v>
      </c>
      <c r="O2" s="15" t="s">
        <v>84</v>
      </c>
      <c r="P2" s="15" t="s">
        <v>83</v>
      </c>
      <c r="Q2" s="15" t="s">
        <v>76</v>
      </c>
      <c r="R2" s="15" t="s">
        <v>82</v>
      </c>
      <c r="S2" s="15" t="s">
        <v>81</v>
      </c>
    </row>
    <row r="3" spans="2:25" x14ac:dyDescent="0.25">
      <c r="I3" s="14"/>
      <c r="J3" s="2" t="s">
        <v>66</v>
      </c>
      <c r="K3" s="2">
        <v>2016</v>
      </c>
      <c r="L3" s="2" t="s">
        <v>64</v>
      </c>
      <c r="M3" s="3">
        <v>86.162063365852021</v>
      </c>
      <c r="N3" s="3">
        <v>1545.520451737769</v>
      </c>
      <c r="O3" s="3">
        <v>5.5749545901493676</v>
      </c>
      <c r="P3" s="3" cm="1">
        <f t="array" ref="P3">IFERROR(_xlfn.XLOOKUP(1,($D$11:$D$19=J3)*($B$11:$B$19=L3),$G$11:$G$19),"")</f>
        <v>1.25</v>
      </c>
      <c r="Q3" s="3">
        <v>1.0526315789473699</v>
      </c>
      <c r="R3" s="3">
        <f t="shared" ref="R3:R34" si="0">(P3*M3)/N3</f>
        <v>6.9686932376867114E-2</v>
      </c>
      <c r="S3" s="3">
        <f t="shared" ref="S3:S34" si="1">(Q3*M3)/N3</f>
        <v>5.868373252788818E-2</v>
      </c>
      <c r="U3" s="13" t="s">
        <v>80</v>
      </c>
      <c r="V3" t="s">
        <v>79</v>
      </c>
      <c r="W3" t="s">
        <v>78</v>
      </c>
      <c r="X3" s="12" t="s">
        <v>79</v>
      </c>
      <c r="Y3" s="12" t="s">
        <v>78</v>
      </c>
    </row>
    <row r="4" spans="2:25" x14ac:dyDescent="0.25">
      <c r="I4" s="8"/>
      <c r="J4" s="2" t="s">
        <v>67</v>
      </c>
      <c r="K4" s="2">
        <v>2016</v>
      </c>
      <c r="L4" s="2" t="s">
        <v>63</v>
      </c>
      <c r="M4" s="3">
        <v>84.586985591175548</v>
      </c>
      <c r="N4" s="3">
        <v>1545.520451737769</v>
      </c>
      <c r="O4" s="3">
        <v>5.4730421390455692</v>
      </c>
      <c r="P4" s="3" cm="1">
        <f t="array" ref="P4">IFERROR(_xlfn.XLOOKUP(1,($D$11:$D$19=J4)*($B$11:$B$19=L4),$G$11:$G$19),"")</f>
        <v>1.4285714285714286</v>
      </c>
      <c r="Q4" s="3">
        <v>1.1764705882352942</v>
      </c>
      <c r="R4" s="3">
        <f t="shared" si="0"/>
        <v>7.8186316272079573E-2</v>
      </c>
      <c r="S4" s="3">
        <f t="shared" si="1"/>
        <v>6.4388731047594946E-2</v>
      </c>
      <c r="U4" s="7">
        <v>2016</v>
      </c>
      <c r="V4">
        <v>1.0898318707349934</v>
      </c>
      <c r="W4">
        <v>0.90980713683972647</v>
      </c>
      <c r="X4">
        <v>1.0898318707349934</v>
      </c>
      <c r="Y4">
        <v>0.90980713683972647</v>
      </c>
    </row>
    <row r="5" spans="2:25" x14ac:dyDescent="0.25">
      <c r="I5" s="8"/>
      <c r="J5" s="2" t="s">
        <v>66</v>
      </c>
      <c r="K5" s="2">
        <v>2016</v>
      </c>
      <c r="L5" s="2" t="s">
        <v>62</v>
      </c>
      <c r="M5" s="3">
        <v>144.61536789027591</v>
      </c>
      <c r="N5" s="3">
        <v>1545.520451737769</v>
      </c>
      <c r="O5" s="3">
        <v>9.3570659467929822</v>
      </c>
      <c r="P5" s="3" cm="1">
        <f t="array" ref="P5">IFERROR(_xlfn.XLOOKUP(1,($D$11:$D$19=J5)*($B$11:$B$19=L5),$G$11:$G$19),"")</f>
        <v>0.6875</v>
      </c>
      <c r="Q5" s="3">
        <v>0.57894736842105265</v>
      </c>
      <c r="R5" s="3">
        <f t="shared" si="0"/>
        <v>6.4329828384201773E-2</v>
      </c>
      <c r="S5" s="3">
        <f t="shared" si="1"/>
        <v>5.4172487060380449E-2</v>
      </c>
      <c r="U5" s="7">
        <v>2017</v>
      </c>
      <c r="V5">
        <v>1.088014247639411</v>
      </c>
      <c r="W5">
        <v>0.90835082844306891</v>
      </c>
      <c r="X5">
        <v>1.088014247639411</v>
      </c>
      <c r="Y5">
        <v>0.90835082844306891</v>
      </c>
    </row>
    <row r="6" spans="2:25" x14ac:dyDescent="0.25">
      <c r="I6" s="8"/>
      <c r="J6" s="2" t="s">
        <v>66</v>
      </c>
      <c r="K6" s="2">
        <v>2016</v>
      </c>
      <c r="L6" s="2" t="s">
        <v>61</v>
      </c>
      <c r="M6" s="3">
        <v>69.46799923947809</v>
      </c>
      <c r="N6" s="3">
        <v>1545.520451737769</v>
      </c>
      <c r="O6" s="3">
        <v>4.4947965043988187</v>
      </c>
      <c r="P6" s="3" cm="1">
        <f t="array" ref="P6">IFERROR(_xlfn.XLOOKUP(1,($D$11:$D$19=J6)*($B$11:$B$19=L6),$G$11:$G$19),"")</f>
        <v>1</v>
      </c>
      <c r="Q6" s="3">
        <v>1.1764705882352942</v>
      </c>
      <c r="R6" s="3">
        <f t="shared" si="0"/>
        <v>4.4947965043988194E-2</v>
      </c>
      <c r="S6" s="3">
        <f t="shared" si="1"/>
        <v>5.2879958875280228E-2</v>
      </c>
      <c r="U6" s="7">
        <v>2018</v>
      </c>
      <c r="V6">
        <v>1.0937245704588543</v>
      </c>
      <c r="W6">
        <v>0.91279334088537656</v>
      </c>
      <c r="X6">
        <v>1.0937245704588543</v>
      </c>
      <c r="Y6">
        <v>0.91279334088537656</v>
      </c>
    </row>
    <row r="7" spans="2:25" x14ac:dyDescent="0.25">
      <c r="I7" s="8"/>
      <c r="J7" s="2" t="s">
        <v>67</v>
      </c>
      <c r="K7" s="2">
        <v>2016</v>
      </c>
      <c r="L7" s="2" t="s">
        <v>60</v>
      </c>
      <c r="M7" s="3">
        <v>308.72395152890567</v>
      </c>
      <c r="N7" s="3">
        <v>1545.520451737769</v>
      </c>
      <c r="O7" s="3">
        <v>19.975403831232342</v>
      </c>
      <c r="P7" s="3" cm="1">
        <f t="array" ref="P7">IFERROR(_xlfn.XLOOKUP(1,($D$11:$D$19=J7)*($B$11:$B$19=L7),$G$11:$G$19),"")</f>
        <v>1.4285714285714286</v>
      </c>
      <c r="Q7" s="3">
        <v>1.1764705882352942</v>
      </c>
      <c r="R7" s="3">
        <f t="shared" si="0"/>
        <v>0.28536291187474772</v>
      </c>
      <c r="S7" s="3">
        <f t="shared" si="1"/>
        <v>0.23500475095567458</v>
      </c>
      <c r="U7" s="7">
        <v>2019</v>
      </c>
      <c r="V7">
        <v>1.0887075166430029</v>
      </c>
      <c r="W7">
        <v>0.90873146553278472</v>
      </c>
      <c r="X7">
        <v>1.0887075166430029</v>
      </c>
      <c r="Y7">
        <v>0.90873146553278472</v>
      </c>
    </row>
    <row r="8" spans="2:25" x14ac:dyDescent="0.25">
      <c r="I8" s="8"/>
      <c r="J8" s="2" t="s">
        <v>67</v>
      </c>
      <c r="K8" s="2">
        <v>2016</v>
      </c>
      <c r="L8" s="2" t="s">
        <v>59</v>
      </c>
      <c r="M8" s="3">
        <v>708.58388490072753</v>
      </c>
      <c r="N8" s="3">
        <v>1545.520451737769</v>
      </c>
      <c r="O8" s="3">
        <v>45.847590311988583</v>
      </c>
      <c r="P8" s="3" cm="1">
        <f t="array" ref="P8">IFERROR(_xlfn.XLOOKUP(1,($D$11:$D$19=J8)*($B$11:$B$19=L8),$G$11:$G$19),"")</f>
        <v>1.4285714285714286</v>
      </c>
      <c r="Q8" s="3">
        <v>0.8421052631578948</v>
      </c>
      <c r="R8" s="3">
        <f t="shared" si="0"/>
        <v>0.65496557588555115</v>
      </c>
      <c r="S8" s="3">
        <f t="shared" si="1"/>
        <v>0.3860849710483249</v>
      </c>
      <c r="U8" s="7">
        <v>2020</v>
      </c>
      <c r="V8">
        <v>1.10375425010019</v>
      </c>
      <c r="W8">
        <v>0.92067513286375424</v>
      </c>
      <c r="X8">
        <v>1.10375425010019</v>
      </c>
      <c r="Y8">
        <v>0.92067513286375424</v>
      </c>
    </row>
    <row r="9" spans="2:25" ht="15" customHeight="1" x14ac:dyDescent="0.25">
      <c r="B9" s="10"/>
      <c r="C9" s="10"/>
      <c r="D9" s="10"/>
      <c r="E9" s="21" t="s">
        <v>77</v>
      </c>
      <c r="F9" s="22"/>
      <c r="G9" s="11"/>
      <c r="H9" s="23" t="s">
        <v>76</v>
      </c>
      <c r="I9" s="8"/>
      <c r="J9" s="2" t="s">
        <v>66</v>
      </c>
      <c r="K9" s="2">
        <v>2016</v>
      </c>
      <c r="L9" s="2" t="s">
        <v>58</v>
      </c>
      <c r="M9" s="3">
        <v>143.38019922135439</v>
      </c>
      <c r="N9" s="3">
        <v>1545.520451737769</v>
      </c>
      <c r="O9" s="3">
        <v>9.2771466763923449</v>
      </c>
      <c r="P9" s="3" cm="1">
        <f t="array" ref="P9">IFERROR(_xlfn.XLOOKUP(1,($D$11:$D$19=J9)*($B$11:$B$19=L9),$G$11:$G$19),"")</f>
        <v>0.74999999999999989</v>
      </c>
      <c r="Q9" s="3">
        <v>0.63157894736842102</v>
      </c>
      <c r="R9" s="3">
        <f t="shared" si="0"/>
        <v>6.9578600072942573E-2</v>
      </c>
      <c r="S9" s="3">
        <f t="shared" si="1"/>
        <v>5.8592505324583231E-2</v>
      </c>
      <c r="U9" s="7">
        <v>2021</v>
      </c>
      <c r="V9">
        <v>1.1420468240739958</v>
      </c>
      <c r="W9">
        <v>0.95176659401349117</v>
      </c>
      <c r="X9">
        <v>1.1420468240739958</v>
      </c>
      <c r="Y9">
        <v>0.95176659401349117</v>
      </c>
    </row>
    <row r="10" spans="2:25" x14ac:dyDescent="0.25">
      <c r="B10" s="10" t="s">
        <v>75</v>
      </c>
      <c r="C10" s="10" t="s">
        <v>74</v>
      </c>
      <c r="D10" s="10" t="s">
        <v>73</v>
      </c>
      <c r="E10" s="5" t="s">
        <v>72</v>
      </c>
      <c r="F10" s="5" t="s">
        <v>71</v>
      </c>
      <c r="G10" s="9" t="s">
        <v>70</v>
      </c>
      <c r="H10" s="24"/>
      <c r="I10" s="8"/>
      <c r="J10" s="2" t="str">
        <f t="shared" ref="J10:J44" si="2">J3</f>
        <v>drip</v>
      </c>
      <c r="K10" s="2">
        <v>2017</v>
      </c>
      <c r="L10" s="2" t="s">
        <v>64</v>
      </c>
      <c r="M10" s="3">
        <v>86.162063365852021</v>
      </c>
      <c r="N10" s="3">
        <v>1550.0446681400711</v>
      </c>
      <c r="O10" s="3">
        <v>5.5586826068205877</v>
      </c>
      <c r="P10" s="3" cm="1">
        <f t="array" ref="P10">IFERROR(_xlfn.XLOOKUP(1,($D$11:$D$19=J10)*($B$11:$B$19=L10),$G$11:$G$19),"")</f>
        <v>1.25</v>
      </c>
      <c r="Q10" s="3">
        <v>1.0526315789473684</v>
      </c>
      <c r="R10" s="3">
        <f t="shared" si="0"/>
        <v>6.9483532585257343E-2</v>
      </c>
      <c r="S10" s="3">
        <f t="shared" si="1"/>
        <v>5.8512448492848278E-2</v>
      </c>
      <c r="U10" s="7">
        <v>2022</v>
      </c>
      <c r="V10">
        <v>1.1212707534885944</v>
      </c>
      <c r="W10">
        <v>0.934134510597046</v>
      </c>
      <c r="X10">
        <v>1.1212707534885944</v>
      </c>
      <c r="Y10">
        <v>0.934134510597046</v>
      </c>
    </row>
    <row r="11" spans="2:25" ht="15" customHeight="1" x14ac:dyDescent="0.25">
      <c r="B11" s="2" t="s">
        <v>65</v>
      </c>
      <c r="C11" s="1">
        <v>0.6</v>
      </c>
      <c r="D11" s="1" t="s">
        <v>66</v>
      </c>
      <c r="E11" s="1">
        <v>0.8</v>
      </c>
      <c r="F11" s="1">
        <v>0.95</v>
      </c>
      <c r="G11" s="3">
        <f>1*C11/E11</f>
        <v>0.74999999999999989</v>
      </c>
      <c r="H11" s="3">
        <f t="shared" ref="H11:H19" si="3">C11/F11</f>
        <v>0.63157894736842102</v>
      </c>
      <c r="I11" s="8"/>
      <c r="J11" s="2" t="str">
        <f t="shared" si="2"/>
        <v>Sprinkler</v>
      </c>
      <c r="K11" s="2">
        <v>2017</v>
      </c>
      <c r="L11" s="2" t="s">
        <v>63</v>
      </c>
      <c r="M11" s="3">
        <v>106.5153859793645</v>
      </c>
      <c r="N11" s="3">
        <v>1550.0446681400711</v>
      </c>
      <c r="O11" s="3">
        <v>6.8717623542535948</v>
      </c>
      <c r="P11" s="3" cm="1">
        <f t="array" ref="P11">IFERROR(_xlfn.XLOOKUP(1,($D$11:$D$19=J11)*($B$11:$B$19=L11),$G$11:$G$19),"")</f>
        <v>1.4285714285714286</v>
      </c>
      <c r="Q11" s="3">
        <v>1.1764705882352942</v>
      </c>
      <c r="R11" s="3">
        <f t="shared" si="0"/>
        <v>9.8168033632194229E-2</v>
      </c>
      <c r="S11" s="3">
        <f t="shared" si="1"/>
        <v>8.0844262991218788E-2</v>
      </c>
      <c r="U11" s="7">
        <v>2023</v>
      </c>
      <c r="V11">
        <v>1.0789505078917287</v>
      </c>
      <c r="W11">
        <v>0.90015310315577834</v>
      </c>
      <c r="X11">
        <v>1.0789505078917287</v>
      </c>
      <c r="Y11">
        <v>0.90015310315577834</v>
      </c>
    </row>
    <row r="12" spans="2:25" x14ac:dyDescent="0.25">
      <c r="B12" s="2" t="s">
        <v>64</v>
      </c>
      <c r="C12" s="1">
        <v>1</v>
      </c>
      <c r="D12" s="1" t="s">
        <v>66</v>
      </c>
      <c r="E12" s="1">
        <v>0.8</v>
      </c>
      <c r="F12" s="1">
        <v>0.95</v>
      </c>
      <c r="G12" s="3">
        <f t="shared" ref="G12:G19" si="4">C12/E12</f>
        <v>1.25</v>
      </c>
      <c r="H12" s="3">
        <f t="shared" si="3"/>
        <v>1.0526315789473684</v>
      </c>
      <c r="I12" s="8"/>
      <c r="J12" s="2" t="str">
        <f t="shared" si="2"/>
        <v>drip</v>
      </c>
      <c r="K12" s="2">
        <v>2017</v>
      </c>
      <c r="L12" s="2" t="s">
        <v>62</v>
      </c>
      <c r="M12" s="3">
        <v>144.61536789027591</v>
      </c>
      <c r="N12" s="3">
        <v>1550.0446681400711</v>
      </c>
      <c r="O12" s="3">
        <v>9.329754868535673</v>
      </c>
      <c r="P12" s="3" cm="1">
        <f t="array" ref="P12">IFERROR(_xlfn.XLOOKUP(1,($D$11:$D$19=J12)*($B$11:$B$19=L12),$G$11:$G$19),"")</f>
        <v>0.6875</v>
      </c>
      <c r="Q12" s="3">
        <v>0.57894736842105265</v>
      </c>
      <c r="R12" s="3">
        <f t="shared" si="0"/>
        <v>6.4142064721182751E-2</v>
      </c>
      <c r="S12" s="3">
        <f t="shared" si="1"/>
        <v>5.4014370291522326E-2</v>
      </c>
      <c r="U12" s="7">
        <v>2024</v>
      </c>
      <c r="V12">
        <v>1.0892734513467999</v>
      </c>
      <c r="W12">
        <v>0.90827040767385381</v>
      </c>
      <c r="X12">
        <v>1.0892734513467999</v>
      </c>
      <c r="Y12">
        <v>0.90827040767385381</v>
      </c>
    </row>
    <row r="13" spans="2:25" x14ac:dyDescent="0.25">
      <c r="B13" s="2" t="s">
        <v>63</v>
      </c>
      <c r="C13" s="1">
        <v>1</v>
      </c>
      <c r="D13" s="1" t="s">
        <v>67</v>
      </c>
      <c r="E13" s="1">
        <v>0.7</v>
      </c>
      <c r="F13" s="1">
        <v>0.85</v>
      </c>
      <c r="G13" s="3">
        <f t="shared" si="4"/>
        <v>1.4285714285714286</v>
      </c>
      <c r="H13" s="3">
        <f t="shared" si="3"/>
        <v>1.1764705882352942</v>
      </c>
      <c r="J13" s="2" t="str">
        <f t="shared" si="2"/>
        <v>drip</v>
      </c>
      <c r="K13" s="2">
        <v>2017</v>
      </c>
      <c r="L13" s="2" t="s">
        <v>61</v>
      </c>
      <c r="M13" s="3">
        <v>81.964214271856974</v>
      </c>
      <c r="N13" s="3">
        <v>1550.0446681400711</v>
      </c>
      <c r="O13" s="3">
        <v>5.2878614375808564</v>
      </c>
      <c r="P13" s="3" cm="1">
        <f t="array" ref="P13">IFERROR(_xlfn.XLOOKUP(1,($D$11:$D$19=J13)*($B$11:$B$19=L13),$G$11:$G$19),"")</f>
        <v>1</v>
      </c>
      <c r="Q13" s="3">
        <v>1.1764705882352942</v>
      </c>
      <c r="R13" s="3">
        <f t="shared" si="0"/>
        <v>5.2878614375808562E-2</v>
      </c>
      <c r="S13" s="3">
        <f t="shared" si="1"/>
        <v>6.2210134559774775E-2</v>
      </c>
      <c r="U13" s="7">
        <v>2025</v>
      </c>
      <c r="V13">
        <v>1.0867613308126987</v>
      </c>
      <c r="W13">
        <v>0.90648244864128535</v>
      </c>
      <c r="X13">
        <v>1.0867613308126987</v>
      </c>
      <c r="Y13">
        <v>0.90648244864128535</v>
      </c>
    </row>
    <row r="14" spans="2:25" x14ac:dyDescent="0.25">
      <c r="B14" s="2" t="s">
        <v>69</v>
      </c>
      <c r="C14" s="1">
        <v>0.8</v>
      </c>
      <c r="D14" s="1" t="s">
        <v>66</v>
      </c>
      <c r="E14" s="1">
        <v>0.8</v>
      </c>
      <c r="F14" s="1">
        <v>0.95</v>
      </c>
      <c r="G14" s="3">
        <f t="shared" si="4"/>
        <v>1</v>
      </c>
      <c r="H14" s="3">
        <f t="shared" si="3"/>
        <v>0.8421052631578948</v>
      </c>
      <c r="J14" s="2" t="str">
        <f t="shared" si="2"/>
        <v>Sprinkler</v>
      </c>
      <c r="K14" s="2">
        <v>2017</v>
      </c>
      <c r="L14" s="2" t="s">
        <v>60</v>
      </c>
      <c r="M14" s="3">
        <v>271.3128466247577</v>
      </c>
      <c r="N14" s="3">
        <v>1550.0446681400711</v>
      </c>
      <c r="O14" s="3">
        <v>17.503550200931389</v>
      </c>
      <c r="P14" s="3" cm="1">
        <f t="array" ref="P14">IFERROR(_xlfn.XLOOKUP(1,($D$11:$D$19=J14)*($B$11:$B$19=L14),$G$11:$G$19),"")</f>
        <v>1.4285714285714286</v>
      </c>
      <c r="Q14" s="3">
        <v>1.1764705882352942</v>
      </c>
      <c r="R14" s="3">
        <f t="shared" si="0"/>
        <v>0.25005071715616273</v>
      </c>
      <c r="S14" s="3">
        <f t="shared" si="1"/>
        <v>0.20592412001095753</v>
      </c>
      <c r="U14" s="7" t="s">
        <v>68</v>
      </c>
    </row>
    <row r="15" spans="2:25" x14ac:dyDescent="0.25">
      <c r="B15" s="2" t="s">
        <v>62</v>
      </c>
      <c r="C15" s="1">
        <v>0.55000000000000004</v>
      </c>
      <c r="D15" s="1" t="s">
        <v>66</v>
      </c>
      <c r="E15" s="1">
        <v>0.8</v>
      </c>
      <c r="F15" s="1">
        <v>0.95</v>
      </c>
      <c r="G15" s="3">
        <f t="shared" si="4"/>
        <v>0.6875</v>
      </c>
      <c r="H15" s="3">
        <f t="shared" si="3"/>
        <v>0.57894736842105265</v>
      </c>
      <c r="J15" s="2" t="str">
        <f t="shared" si="2"/>
        <v>Sprinkler</v>
      </c>
      <c r="K15" s="2">
        <v>2017</v>
      </c>
      <c r="L15" s="2" t="s">
        <v>59</v>
      </c>
      <c r="M15" s="3">
        <v>711.5703743843078</v>
      </c>
      <c r="N15" s="3">
        <v>1550.0446681400711</v>
      </c>
      <c r="O15" s="3">
        <v>45.906443150321273</v>
      </c>
      <c r="P15" s="3" cm="1">
        <f t="array" ref="P15">IFERROR(_xlfn.XLOOKUP(1,($D$11:$D$19=J15)*($B$11:$B$19=L15),$G$11:$G$19),"")</f>
        <v>1.4285714285714286</v>
      </c>
      <c r="Q15" s="3">
        <v>0.8421052631578948</v>
      </c>
      <c r="R15" s="3">
        <f t="shared" si="0"/>
        <v>0.6558063307188754</v>
      </c>
      <c r="S15" s="3">
        <f t="shared" si="1"/>
        <v>0.38658057389744238</v>
      </c>
    </row>
    <row r="16" spans="2:25" x14ac:dyDescent="0.25">
      <c r="B16" s="2" t="s">
        <v>60</v>
      </c>
      <c r="C16" s="1">
        <v>1</v>
      </c>
      <c r="D16" s="1" t="s">
        <v>67</v>
      </c>
      <c r="E16" s="1">
        <v>0.7</v>
      </c>
      <c r="F16" s="1">
        <v>0.85</v>
      </c>
      <c r="G16" s="3">
        <f t="shared" si="4"/>
        <v>1.4285714285714286</v>
      </c>
      <c r="H16" s="3">
        <f t="shared" si="3"/>
        <v>1.1764705882352942</v>
      </c>
      <c r="J16" s="2" t="str">
        <f t="shared" si="2"/>
        <v>drip</v>
      </c>
      <c r="K16" s="2">
        <v>2017</v>
      </c>
      <c r="L16" s="2" t="s">
        <v>58</v>
      </c>
      <c r="M16" s="3">
        <v>147.90441562365609</v>
      </c>
      <c r="N16" s="3">
        <v>1550.0446681400711</v>
      </c>
      <c r="O16" s="3">
        <v>9.5419453815566175</v>
      </c>
      <c r="P16" s="3" cm="1">
        <f t="array" ref="P16">IFERROR(_xlfn.XLOOKUP(1,($D$11:$D$19=J16)*($B$11:$B$19=L16),$G$11:$G$19),"")</f>
        <v>0.74999999999999989</v>
      </c>
      <c r="Q16" s="3">
        <v>0.63157894736842102</v>
      </c>
      <c r="R16" s="3">
        <f t="shared" si="0"/>
        <v>7.1564590361674604E-2</v>
      </c>
      <c r="S16" s="3">
        <f t="shared" si="1"/>
        <v>6.0264918199304941E-2</v>
      </c>
    </row>
    <row r="17" spans="2:19" x14ac:dyDescent="0.25">
      <c r="B17" s="2" t="s">
        <v>59</v>
      </c>
      <c r="C17" s="1">
        <v>1</v>
      </c>
      <c r="D17" s="1" t="s">
        <v>67</v>
      </c>
      <c r="E17" s="1">
        <v>0.7</v>
      </c>
      <c r="F17" s="1">
        <v>0.85</v>
      </c>
      <c r="G17" s="3">
        <f t="shared" si="4"/>
        <v>1.4285714285714286</v>
      </c>
      <c r="H17" s="3">
        <f t="shared" si="3"/>
        <v>1.1764705882352942</v>
      </c>
      <c r="J17" s="2" t="str">
        <f t="shared" si="2"/>
        <v>drip</v>
      </c>
      <c r="K17" s="2">
        <v>2018</v>
      </c>
      <c r="L17" s="2" t="s">
        <v>64</v>
      </c>
      <c r="M17" s="3">
        <v>86.162063365852021</v>
      </c>
      <c r="N17" s="3">
        <v>1542.0221847762141</v>
      </c>
      <c r="O17" s="3">
        <v>5.5876020602360086</v>
      </c>
      <c r="P17" s="3" cm="1">
        <f t="array" ref="P17">IFERROR(_xlfn.XLOOKUP(1,($D$11:$D$19=J17)*($B$11:$B$19=L17),$G$11:$G$19),"")</f>
        <v>1.25</v>
      </c>
      <c r="Q17" s="3">
        <v>1.0526315789473684</v>
      </c>
      <c r="R17" s="3">
        <f t="shared" si="0"/>
        <v>6.9845025752950082E-2</v>
      </c>
      <c r="S17" s="3">
        <f t="shared" si="1"/>
        <v>5.8816863791957955E-2</v>
      </c>
    </row>
    <row r="18" spans="2:19" x14ac:dyDescent="0.25">
      <c r="B18" s="2" t="s">
        <v>61</v>
      </c>
      <c r="C18" s="1">
        <v>0.8</v>
      </c>
      <c r="D18" s="1" t="s">
        <v>66</v>
      </c>
      <c r="E18" s="1">
        <v>0.8</v>
      </c>
      <c r="F18" s="1">
        <v>0.95</v>
      </c>
      <c r="G18" s="3">
        <f t="shared" si="4"/>
        <v>1</v>
      </c>
      <c r="H18" s="3">
        <f t="shared" si="3"/>
        <v>0.8421052631578948</v>
      </c>
      <c r="J18" s="2" t="str">
        <f t="shared" si="2"/>
        <v>Sprinkler</v>
      </c>
      <c r="K18" s="2">
        <v>2018</v>
      </c>
      <c r="L18" s="2" t="s">
        <v>63</v>
      </c>
      <c r="M18" s="3">
        <v>145.93257151774321</v>
      </c>
      <c r="N18" s="3">
        <v>1542.0221847762141</v>
      </c>
      <c r="O18" s="3">
        <v>9.4637141383878127</v>
      </c>
      <c r="P18" s="3" cm="1">
        <f t="array" ref="P18">IFERROR(_xlfn.XLOOKUP(1,($D$11:$D$19=J18)*($B$11:$B$19=L18),$G$11:$G$19),"")</f>
        <v>1.4285714285714286</v>
      </c>
      <c r="Q18" s="3">
        <v>1.1764705882352942</v>
      </c>
      <c r="R18" s="3">
        <f t="shared" si="0"/>
        <v>0.13519591626268304</v>
      </c>
      <c r="S18" s="3">
        <f t="shared" si="1"/>
        <v>0.1113378133927978</v>
      </c>
    </row>
    <row r="19" spans="2:19" x14ac:dyDescent="0.25">
      <c r="B19" s="2" t="s">
        <v>58</v>
      </c>
      <c r="C19" s="1">
        <v>0.6</v>
      </c>
      <c r="D19" s="1" t="s">
        <v>66</v>
      </c>
      <c r="E19" s="1">
        <v>0.8</v>
      </c>
      <c r="F19" s="1">
        <v>0.95</v>
      </c>
      <c r="G19" s="3">
        <f t="shared" si="4"/>
        <v>0.74999999999999989</v>
      </c>
      <c r="H19" s="3">
        <f t="shared" si="3"/>
        <v>0.63157894736842102</v>
      </c>
      <c r="J19" s="2" t="str">
        <f t="shared" si="2"/>
        <v>drip</v>
      </c>
      <c r="K19" s="2">
        <v>2018</v>
      </c>
      <c r="L19" s="2" t="s">
        <v>62</v>
      </c>
      <c r="M19" s="3">
        <v>144.61536789027591</v>
      </c>
      <c r="N19" s="3">
        <v>1542.0221847762141</v>
      </c>
      <c r="O19" s="3">
        <v>9.378293601610098</v>
      </c>
      <c r="P19" s="3" cm="1">
        <f t="array" ref="P19">IFERROR(_xlfn.XLOOKUP(1,($D$11:$D$19=J19)*($B$11:$B$19=L19),$G$11:$G$19),"")</f>
        <v>0.6875</v>
      </c>
      <c r="Q19" s="3">
        <v>0.57894736842105265</v>
      </c>
      <c r="R19" s="3">
        <f t="shared" si="0"/>
        <v>6.4475768511069412E-2</v>
      </c>
      <c r="S19" s="3">
        <f t="shared" si="1"/>
        <v>5.4295384009321615E-2</v>
      </c>
    </row>
    <row r="20" spans="2:19" x14ac:dyDescent="0.25">
      <c r="J20" s="2" t="str">
        <f t="shared" si="2"/>
        <v>drip</v>
      </c>
      <c r="K20" s="2">
        <v>2018</v>
      </c>
      <c r="L20" s="2" t="s">
        <v>61</v>
      </c>
      <c r="M20" s="3">
        <v>69.46799923947809</v>
      </c>
      <c r="N20" s="3">
        <v>1542.0221847762141</v>
      </c>
      <c r="O20" s="3">
        <v>4.5049935030318418</v>
      </c>
      <c r="P20" s="3" cm="1">
        <f t="array" ref="P20">IFERROR(_xlfn.XLOOKUP(1,($D$11:$D$19=J20)*($B$11:$B$19=L20),$G$11:$G$19),"")</f>
        <v>1</v>
      </c>
      <c r="Q20" s="3">
        <v>1.1764705882352942</v>
      </c>
      <c r="R20" s="3">
        <f t="shared" si="0"/>
        <v>4.5049935030318407E-2</v>
      </c>
      <c r="S20" s="3">
        <f t="shared" si="1"/>
        <v>5.2999923565080473E-2</v>
      </c>
    </row>
    <row r="21" spans="2:19" x14ac:dyDescent="0.25">
      <c r="J21" s="2" t="str">
        <f t="shared" si="2"/>
        <v>Sprinkler</v>
      </c>
      <c r="K21" s="2">
        <v>2018</v>
      </c>
      <c r="L21" s="2" t="s">
        <v>60</v>
      </c>
      <c r="M21" s="3">
        <v>263.29036326090022</v>
      </c>
      <c r="N21" s="3">
        <v>1542.0221847762141</v>
      </c>
      <c r="O21" s="3">
        <v>17.074356378284548</v>
      </c>
      <c r="P21" s="3" cm="1">
        <f t="array" ref="P21">IFERROR(_xlfn.XLOOKUP(1,($D$11:$D$19=J21)*($B$11:$B$19=L21),$G$11:$G$19),"")</f>
        <v>1.4285714285714286</v>
      </c>
      <c r="Q21" s="3">
        <v>1.1764705882352942</v>
      </c>
      <c r="R21" s="3">
        <f t="shared" si="0"/>
        <v>0.24391937683263637</v>
      </c>
      <c r="S21" s="3">
        <f t="shared" si="1"/>
        <v>0.20087478092099467</v>
      </c>
    </row>
    <row r="22" spans="2:19" x14ac:dyDescent="0.25">
      <c r="J22" s="2" t="str">
        <f t="shared" si="2"/>
        <v>Sprinkler</v>
      </c>
      <c r="K22" s="2">
        <v>2018</v>
      </c>
      <c r="L22" s="2" t="s">
        <v>59</v>
      </c>
      <c r="M22" s="3">
        <v>684.64940387830802</v>
      </c>
      <c r="N22" s="3">
        <v>1542.0221847762141</v>
      </c>
      <c r="O22" s="3">
        <v>44.39945226713246</v>
      </c>
      <c r="P22" s="3" cm="1">
        <f t="array" ref="P22">IFERROR(_xlfn.XLOOKUP(1,($D$11:$D$19=J22)*($B$11:$B$19=L22),$G$11:$G$19),"")</f>
        <v>1.4285714285714286</v>
      </c>
      <c r="Q22" s="3">
        <v>0.8421052631578948</v>
      </c>
      <c r="R22" s="3">
        <f t="shared" si="0"/>
        <v>0.63427788953046349</v>
      </c>
      <c r="S22" s="3">
        <f t="shared" si="1"/>
        <v>0.37389012435479957</v>
      </c>
    </row>
    <row r="23" spans="2:19" x14ac:dyDescent="0.25">
      <c r="J23" s="2" t="str">
        <f t="shared" si="2"/>
        <v>drip</v>
      </c>
      <c r="K23" s="2">
        <v>2018</v>
      </c>
      <c r="L23" s="2" t="s">
        <v>58</v>
      </c>
      <c r="M23" s="3">
        <v>147.90441562365609</v>
      </c>
      <c r="N23" s="3">
        <v>1542.0221847762141</v>
      </c>
      <c r="O23" s="3">
        <v>9.5915880513172223</v>
      </c>
      <c r="P23" s="3" cm="1">
        <f t="array" ref="P23">IFERROR(_xlfn.XLOOKUP(1,($D$11:$D$19=J23)*($B$11:$B$19=L23),$G$11:$G$19),"")</f>
        <v>0.74999999999999989</v>
      </c>
      <c r="Q23" s="3">
        <v>0.63157894736842102</v>
      </c>
      <c r="R23" s="3">
        <f t="shared" si="0"/>
        <v>7.1936910384879135E-2</v>
      </c>
      <c r="S23" s="3">
        <f t="shared" si="1"/>
        <v>6.0578450850424542E-2</v>
      </c>
    </row>
    <row r="24" spans="2:19" x14ac:dyDescent="0.25">
      <c r="J24" s="2" t="str">
        <f t="shared" si="2"/>
        <v>drip</v>
      </c>
      <c r="K24" s="2">
        <v>2019</v>
      </c>
      <c r="L24" s="2" t="s">
        <v>64</v>
      </c>
      <c r="M24" s="3">
        <v>95.634456177845038</v>
      </c>
      <c r="N24" s="3">
        <v>1542.022184776213</v>
      </c>
      <c r="O24" s="3">
        <v>6.2018858821881366</v>
      </c>
      <c r="P24" s="3" cm="1">
        <f t="array" ref="P24">IFERROR(_xlfn.XLOOKUP(1,($D$11:$D$19=J24)*($B$11:$B$19=L24),$G$11:$G$19),"")</f>
        <v>1.25</v>
      </c>
      <c r="Q24" s="3">
        <v>1.0526315789473684</v>
      </c>
      <c r="R24" s="3">
        <f t="shared" si="0"/>
        <v>7.752357352735173E-2</v>
      </c>
      <c r="S24" s="3">
        <f t="shared" si="1"/>
        <v>6.5283009286190921E-2</v>
      </c>
    </row>
    <row r="25" spans="2:19" x14ac:dyDescent="0.25">
      <c r="J25" s="2" t="str">
        <f t="shared" si="2"/>
        <v>Sprinkler</v>
      </c>
      <c r="K25" s="2">
        <v>2019</v>
      </c>
      <c r="L25" s="2" t="s">
        <v>63</v>
      </c>
      <c r="M25" s="3">
        <v>153.09053231094549</v>
      </c>
      <c r="N25" s="3">
        <v>1542.022184776213</v>
      </c>
      <c r="O25" s="3">
        <v>9.9279072520712717</v>
      </c>
      <c r="P25" s="3" cm="1">
        <f t="array" ref="P25">IFERROR(_xlfn.XLOOKUP(1,($D$11:$D$19=J25)*($B$11:$B$19=L25),$G$11:$G$19),"")</f>
        <v>1.4285714285714286</v>
      </c>
      <c r="Q25" s="3">
        <v>1.1764705882352942</v>
      </c>
      <c r="R25" s="3">
        <f t="shared" si="0"/>
        <v>0.141827246458161</v>
      </c>
      <c r="S25" s="3">
        <f t="shared" si="1"/>
        <v>0.1167989088478973</v>
      </c>
    </row>
    <row r="26" spans="2:19" x14ac:dyDescent="0.25">
      <c r="J26" s="2" t="str">
        <f t="shared" si="2"/>
        <v>drip</v>
      </c>
      <c r="K26" s="2">
        <v>2019</v>
      </c>
      <c r="L26" s="2" t="s">
        <v>62</v>
      </c>
      <c r="M26" s="3">
        <v>144.61536789027591</v>
      </c>
      <c r="N26" s="3">
        <v>1542.022184776213</v>
      </c>
      <c r="O26" s="3">
        <v>9.3782936016100997</v>
      </c>
      <c r="P26" s="3" cm="1">
        <f t="array" ref="P26">IFERROR(_xlfn.XLOOKUP(1,($D$11:$D$19=J26)*($B$11:$B$19=L26),$G$11:$G$19),"")</f>
        <v>0.6875</v>
      </c>
      <c r="Q26" s="3">
        <v>0.57894736842105265</v>
      </c>
      <c r="R26" s="3">
        <f t="shared" si="0"/>
        <v>6.4475768511069453E-2</v>
      </c>
      <c r="S26" s="3">
        <f t="shared" si="1"/>
        <v>5.4295384009321657E-2</v>
      </c>
    </row>
    <row r="27" spans="2:19" x14ac:dyDescent="0.25">
      <c r="J27" s="2" t="str">
        <f t="shared" si="2"/>
        <v>drip</v>
      </c>
      <c r="K27" s="2">
        <v>2019</v>
      </c>
      <c r="L27" s="2" t="s">
        <v>61</v>
      </c>
      <c r="M27" s="3">
        <v>69.46799923947809</v>
      </c>
      <c r="N27" s="3">
        <v>1542.022184776213</v>
      </c>
      <c r="O27" s="3">
        <v>4.5049935030318426</v>
      </c>
      <c r="P27" s="3" cm="1">
        <f t="array" ref="P27">IFERROR(_xlfn.XLOOKUP(1,($D$11:$D$19=J27)*($B$11:$B$19=L27),$G$11:$G$19),"")</f>
        <v>1</v>
      </c>
      <c r="Q27" s="3">
        <v>1.1764705882352942</v>
      </c>
      <c r="R27" s="3">
        <f t="shared" si="0"/>
        <v>4.5049935030318441E-2</v>
      </c>
      <c r="S27" s="3">
        <f t="shared" si="1"/>
        <v>5.2999923565080514E-2</v>
      </c>
    </row>
    <row r="28" spans="2:19" ht="15" customHeight="1" x14ac:dyDescent="0.25">
      <c r="J28" s="2" t="str">
        <f t="shared" si="2"/>
        <v>Sprinkler</v>
      </c>
      <c r="K28" s="2">
        <v>2019</v>
      </c>
      <c r="L28" s="2" t="s">
        <v>60</v>
      </c>
      <c r="M28" s="3">
        <v>246.66000965570481</v>
      </c>
      <c r="N28" s="3">
        <v>1542.022184776213</v>
      </c>
      <c r="O28" s="3">
        <v>15.99587944264897</v>
      </c>
      <c r="P28" s="3" cm="1">
        <f t="array" ref="P28">IFERROR(_xlfn.XLOOKUP(1,($D$11:$D$19=J28)*($B$11:$B$19=L28),$G$11:$G$19),"")</f>
        <v>1.4285714285714286</v>
      </c>
      <c r="Q28" s="3">
        <v>1.1764705882352942</v>
      </c>
      <c r="R28" s="3">
        <f t="shared" si="0"/>
        <v>0.22851256346641391</v>
      </c>
      <c r="S28" s="3">
        <f t="shared" si="1"/>
        <v>0.18818681697234085</v>
      </c>
    </row>
    <row r="29" spans="2:19" x14ac:dyDescent="0.25">
      <c r="J29" s="2" t="str">
        <f t="shared" si="2"/>
        <v>Sprinkler</v>
      </c>
      <c r="K29" s="2">
        <v>2019</v>
      </c>
      <c r="L29" s="2" t="s">
        <v>59</v>
      </c>
      <c r="M29" s="3">
        <v>660.46976559897587</v>
      </c>
      <c r="N29" s="3">
        <v>1542.022184776213</v>
      </c>
      <c r="O29" s="3">
        <v>42.831404899328788</v>
      </c>
      <c r="P29" s="3" cm="1">
        <f t="array" ref="P29">IFERROR(_xlfn.XLOOKUP(1,($D$11:$D$19=J29)*($B$11:$B$19=L29),$G$11:$G$19),"")</f>
        <v>1.4285714285714286</v>
      </c>
      <c r="Q29" s="3">
        <v>0.8421052631578948</v>
      </c>
      <c r="R29" s="3">
        <f t="shared" si="0"/>
        <v>0.61187721284755425</v>
      </c>
      <c r="S29" s="3">
        <f t="shared" si="1"/>
        <v>0.36068551494171619</v>
      </c>
    </row>
    <row r="30" spans="2:19" x14ac:dyDescent="0.25">
      <c r="J30" s="2" t="str">
        <f t="shared" si="2"/>
        <v>drip</v>
      </c>
      <c r="K30" s="2">
        <v>2019</v>
      </c>
      <c r="L30" s="2" t="s">
        <v>58</v>
      </c>
      <c r="M30" s="3">
        <v>172.08405390298819</v>
      </c>
      <c r="N30" s="3">
        <v>1542.022184776213</v>
      </c>
      <c r="O30" s="3">
        <v>11.1596354191209</v>
      </c>
      <c r="P30" s="3" cm="1">
        <f t="array" ref="P30">IFERROR(_xlfn.XLOOKUP(1,($D$11:$D$19=J30)*($B$11:$B$19=L30),$G$11:$G$19),"")</f>
        <v>0.74999999999999989</v>
      </c>
      <c r="Q30" s="3">
        <v>0.63157894736842102</v>
      </c>
      <c r="R30" s="3">
        <f t="shared" si="0"/>
        <v>8.3697265643406737E-2</v>
      </c>
      <c r="S30" s="3">
        <f t="shared" si="1"/>
        <v>7.0481907910237257E-2</v>
      </c>
    </row>
    <row r="31" spans="2:19" x14ac:dyDescent="0.25">
      <c r="J31" s="2" t="str">
        <f t="shared" si="2"/>
        <v>drip</v>
      </c>
      <c r="K31" s="2">
        <v>2020</v>
      </c>
      <c r="L31" s="2" t="s">
        <v>64</v>
      </c>
      <c r="M31" s="3">
        <v>86.162063365852021</v>
      </c>
      <c r="N31" s="3">
        <v>1578.8449218652081</v>
      </c>
      <c r="O31" s="3">
        <v>5.457284763855232</v>
      </c>
      <c r="P31" s="3" cm="1">
        <f t="array" ref="P31">IFERROR(_xlfn.XLOOKUP(1,($D$11:$D$19=J31)*($B$11:$B$19=L31),$G$11:$G$19),"")</f>
        <v>1.25</v>
      </c>
      <c r="Q31" s="3">
        <v>1.0526315789473684</v>
      </c>
      <c r="R31" s="3">
        <f t="shared" si="0"/>
        <v>6.8216059548190378E-2</v>
      </c>
      <c r="S31" s="3">
        <f t="shared" si="1"/>
        <v>5.7445102777423471E-2</v>
      </c>
    </row>
    <row r="32" spans="2:19" x14ac:dyDescent="0.25">
      <c r="J32" s="2" t="str">
        <f t="shared" si="2"/>
        <v>Sprinkler</v>
      </c>
      <c r="K32" s="2">
        <v>2020</v>
      </c>
      <c r="L32" s="2" t="s">
        <v>63</v>
      </c>
      <c r="M32" s="3">
        <v>230.0855296355117</v>
      </c>
      <c r="N32" s="3">
        <v>1578.8449218652081</v>
      </c>
      <c r="O32" s="3">
        <v>14.57302908278632</v>
      </c>
      <c r="P32" s="3" cm="1">
        <f t="array" ref="P32">IFERROR(_xlfn.XLOOKUP(1,($D$11:$D$19=J32)*($B$11:$B$19=L32),$G$11:$G$19),"")</f>
        <v>1.4285714285714286</v>
      </c>
      <c r="Q32" s="3">
        <v>1.1764705882352942</v>
      </c>
      <c r="R32" s="3">
        <f t="shared" si="0"/>
        <v>0.20818612975409026</v>
      </c>
      <c r="S32" s="3">
        <f t="shared" si="1"/>
        <v>0.17144740097395669</v>
      </c>
    </row>
    <row r="33" spans="10:19" x14ac:dyDescent="0.25">
      <c r="J33" s="2" t="str">
        <f t="shared" si="2"/>
        <v>drip</v>
      </c>
      <c r="K33" s="2">
        <v>2020</v>
      </c>
      <c r="L33" s="2" t="s">
        <v>62</v>
      </c>
      <c r="M33" s="3">
        <v>144.61536789027591</v>
      </c>
      <c r="N33" s="3">
        <v>1578.8449218652081</v>
      </c>
      <c r="O33" s="3">
        <v>9.1595675982813383</v>
      </c>
      <c r="P33" s="3" cm="1">
        <f t="array" ref="P33">IFERROR(_xlfn.XLOOKUP(1,($D$11:$D$19=J33)*($B$11:$B$19=L33),$G$11:$G$19),"")</f>
        <v>0.6875</v>
      </c>
      <c r="Q33" s="3">
        <v>0.57894736842105265</v>
      </c>
      <c r="R33" s="3">
        <f t="shared" si="0"/>
        <v>6.2972027238184194E-2</v>
      </c>
      <c r="S33" s="3">
        <f t="shared" si="1"/>
        <v>5.3029075568997219E-2</v>
      </c>
    </row>
    <row r="34" spans="10:19" x14ac:dyDescent="0.25">
      <c r="J34" s="2" t="str">
        <f t="shared" si="2"/>
        <v>drip</v>
      </c>
      <c r="K34" s="2">
        <v>2020</v>
      </c>
      <c r="L34" s="2" t="s">
        <v>61</v>
      </c>
      <c r="M34" s="3">
        <v>106.2907363284726</v>
      </c>
      <c r="N34" s="3">
        <v>1578.8449218652081</v>
      </c>
      <c r="O34" s="3">
        <v>6.732183437174017</v>
      </c>
      <c r="P34" s="3" cm="1">
        <f t="array" ref="P34">IFERROR(_xlfn.XLOOKUP(1,($D$11:$D$19=J34)*($B$11:$B$19=L34),$G$11:$G$19),"")</f>
        <v>1</v>
      </c>
      <c r="Q34" s="3">
        <v>1.1764705882352942</v>
      </c>
      <c r="R34" s="3">
        <f t="shared" si="0"/>
        <v>6.7321834371740177E-2</v>
      </c>
      <c r="S34" s="3">
        <f t="shared" si="1"/>
        <v>7.9202158084400204E-2</v>
      </c>
    </row>
    <row r="35" spans="10:19" x14ac:dyDescent="0.25">
      <c r="J35" s="2" t="str">
        <f t="shared" si="2"/>
        <v>Sprinkler</v>
      </c>
      <c r="K35" s="2">
        <v>2020</v>
      </c>
      <c r="L35" s="2" t="s">
        <v>60</v>
      </c>
      <c r="M35" s="3">
        <v>187.31651068916989</v>
      </c>
      <c r="N35" s="3">
        <v>1578.8449218652081</v>
      </c>
      <c r="O35" s="3">
        <v>11.864148789729059</v>
      </c>
      <c r="P35" s="3" cm="1">
        <f t="array" ref="P35">IFERROR(_xlfn.XLOOKUP(1,($D$11:$D$19=J35)*($B$11:$B$19=L35),$G$11:$G$19),"")</f>
        <v>1.4285714285714286</v>
      </c>
      <c r="Q35" s="3">
        <v>1.1764705882352942</v>
      </c>
      <c r="R35" s="3">
        <f t="shared" ref="R35:R66" si="5">(P35*M35)/N35</f>
        <v>0.16948783985327234</v>
      </c>
      <c r="S35" s="3">
        <f t="shared" ref="S35:S66" si="6">(Q35*M35)/N35</f>
        <v>0.13957822105563605</v>
      </c>
    </row>
    <row r="36" spans="10:19" x14ac:dyDescent="0.25">
      <c r="J36" s="2" t="str">
        <f t="shared" si="2"/>
        <v>Sprinkler</v>
      </c>
      <c r="K36" s="2">
        <v>2020</v>
      </c>
      <c r="L36" s="2" t="s">
        <v>59</v>
      </c>
      <c r="M36" s="3">
        <v>676.47029833226975</v>
      </c>
      <c r="N36" s="3">
        <v>1578.8449218652081</v>
      </c>
      <c r="O36" s="3">
        <v>42.845898857064739</v>
      </c>
      <c r="P36" s="3" cm="1">
        <f t="array" ref="P36">IFERROR(_xlfn.XLOOKUP(1,($D$11:$D$19=J36)*($B$11:$B$19=L36),$G$11:$G$19),"")</f>
        <v>1.4285714285714286</v>
      </c>
      <c r="Q36" s="3">
        <v>0.8421052631578948</v>
      </c>
      <c r="R36" s="3">
        <f t="shared" si="5"/>
        <v>0.61208426938663896</v>
      </c>
      <c r="S36" s="3">
        <f t="shared" si="6"/>
        <v>0.3608075693226504</v>
      </c>
    </row>
    <row r="37" spans="10:19" x14ac:dyDescent="0.25">
      <c r="J37" s="2" t="str">
        <f t="shared" si="2"/>
        <v>drip</v>
      </c>
      <c r="K37" s="2">
        <v>2020</v>
      </c>
      <c r="L37" s="2" t="s">
        <v>58</v>
      </c>
      <c r="M37" s="3">
        <v>147.90441562365609</v>
      </c>
      <c r="N37" s="3">
        <v>1578.8449218652081</v>
      </c>
      <c r="O37" s="3">
        <v>9.3678874711092917</v>
      </c>
      <c r="P37" s="3" cm="1">
        <f t="array" ref="P37">IFERROR(_xlfn.XLOOKUP(1,($D$11:$D$19=J37)*($B$11:$B$19=L37),$G$11:$G$19),"")</f>
        <v>0.74999999999999989</v>
      </c>
      <c r="Q37" s="3">
        <v>0.63157894736842102</v>
      </c>
      <c r="R37" s="3">
        <f t="shared" si="5"/>
        <v>7.025915603331967E-2</v>
      </c>
      <c r="S37" s="3">
        <f t="shared" si="6"/>
        <v>5.9165605080690249E-2</v>
      </c>
    </row>
    <row r="38" spans="10:19" x14ac:dyDescent="0.25">
      <c r="J38" s="2" t="str">
        <f t="shared" si="2"/>
        <v>drip</v>
      </c>
      <c r="K38" s="2">
        <v>2021</v>
      </c>
      <c r="L38" s="2" t="s">
        <v>64</v>
      </c>
      <c r="M38" s="3">
        <v>86.162063365852021</v>
      </c>
      <c r="N38" s="3">
        <v>1510.461191366813</v>
      </c>
      <c r="O38" s="3">
        <v>5.7043546605711946</v>
      </c>
      <c r="P38" s="3" cm="1">
        <f t="array" ref="P38">IFERROR(_xlfn.XLOOKUP(1,($D$11:$D$19=J38)*($B$11:$B$19=L38),$G$11:$G$19),"")</f>
        <v>1.25</v>
      </c>
      <c r="Q38" s="3">
        <v>1.0526315789473684</v>
      </c>
      <c r="R38" s="3">
        <f t="shared" si="5"/>
        <v>7.1304433257139962E-2</v>
      </c>
      <c r="S38" s="3">
        <f t="shared" si="6"/>
        <v>6.004583853232838E-2</v>
      </c>
    </row>
    <row r="39" spans="10:19" x14ac:dyDescent="0.25">
      <c r="J39" s="2" t="str">
        <f t="shared" si="2"/>
        <v>Sprinkler</v>
      </c>
      <c r="K39" s="2">
        <v>2021</v>
      </c>
      <c r="L39" s="2" t="s">
        <v>63</v>
      </c>
      <c r="M39" s="3">
        <v>227.67010509021191</v>
      </c>
      <c r="N39" s="3">
        <v>1510.461191366813</v>
      </c>
      <c r="O39" s="3">
        <v>15.07288677070833</v>
      </c>
      <c r="P39" s="3" cm="1">
        <f t="array" ref="P39">IFERROR(_xlfn.XLOOKUP(1,($D$11:$D$19=J39)*($B$11:$B$19=L39),$G$11:$G$19),"")</f>
        <v>1.4285714285714286</v>
      </c>
      <c r="Q39" s="3">
        <v>1.1764705882352942</v>
      </c>
      <c r="R39" s="3">
        <f t="shared" si="5"/>
        <v>0.21532695386726197</v>
      </c>
      <c r="S39" s="3">
        <f t="shared" si="6"/>
        <v>0.17732807965539221</v>
      </c>
    </row>
    <row r="40" spans="10:19" x14ac:dyDescent="0.25">
      <c r="J40" s="2" t="str">
        <f t="shared" si="2"/>
        <v>drip</v>
      </c>
      <c r="K40" s="2">
        <v>2021</v>
      </c>
      <c r="L40" s="2" t="s">
        <v>62</v>
      </c>
      <c r="M40" s="3">
        <v>41.279659431150378</v>
      </c>
      <c r="N40" s="3">
        <v>1510.461191366813</v>
      </c>
      <c r="O40" s="3">
        <v>2.732917579550421</v>
      </c>
      <c r="P40" s="3" cm="1">
        <f t="array" ref="P40">IFERROR(_xlfn.XLOOKUP(1,($D$11:$D$19=J40)*($B$11:$B$19=L40),$G$11:$G$19),"")</f>
        <v>0.6875</v>
      </c>
      <c r="Q40" s="3">
        <v>0.57894736842105265</v>
      </c>
      <c r="R40" s="3">
        <f t="shared" si="5"/>
        <v>1.8788808359409152E-2</v>
      </c>
      <c r="S40" s="3">
        <f t="shared" si="6"/>
        <v>1.5822154407923499E-2</v>
      </c>
    </row>
    <row r="41" spans="10:19" x14ac:dyDescent="0.25">
      <c r="J41" s="2" t="str">
        <f t="shared" si="2"/>
        <v>drip</v>
      </c>
      <c r="K41" s="2">
        <v>2021</v>
      </c>
      <c r="L41" s="2" t="s">
        <v>61</v>
      </c>
      <c r="M41" s="3">
        <v>133.22023092534599</v>
      </c>
      <c r="N41" s="3">
        <v>1510.461191366813</v>
      </c>
      <c r="O41" s="3">
        <v>8.819838052561634</v>
      </c>
      <c r="P41" s="3" cm="1">
        <f t="array" ref="P41">IFERROR(_xlfn.XLOOKUP(1,($D$11:$D$19=J41)*($B$11:$B$19=L41),$G$11:$G$19),"")</f>
        <v>1</v>
      </c>
      <c r="Q41" s="3">
        <v>1.1764705882352942</v>
      </c>
      <c r="R41" s="3">
        <f t="shared" si="5"/>
        <v>8.8198380525616349E-2</v>
      </c>
      <c r="S41" s="3">
        <f t="shared" si="6"/>
        <v>0.10376280061837218</v>
      </c>
    </row>
    <row r="42" spans="10:19" x14ac:dyDescent="0.25">
      <c r="J42" s="2" t="str">
        <f t="shared" si="2"/>
        <v>Sprinkler</v>
      </c>
      <c r="K42" s="2">
        <v>2021</v>
      </c>
      <c r="L42" s="2" t="s">
        <v>60</v>
      </c>
      <c r="M42" s="3">
        <v>205.85695641829341</v>
      </c>
      <c r="N42" s="3">
        <v>1510.461191366813</v>
      </c>
      <c r="O42" s="3">
        <v>13.628748464037921</v>
      </c>
      <c r="P42" s="3" cm="1">
        <f t="array" ref="P42">IFERROR(_xlfn.XLOOKUP(1,($D$11:$D$19=J42)*($B$11:$B$19=L42),$G$11:$G$19),"")</f>
        <v>1.4285714285714286</v>
      </c>
      <c r="Q42" s="3">
        <v>1.1764705882352942</v>
      </c>
      <c r="R42" s="3">
        <f t="shared" si="5"/>
        <v>0.19469640662911317</v>
      </c>
      <c r="S42" s="3">
        <f t="shared" si="6"/>
        <v>0.16033821722397557</v>
      </c>
    </row>
    <row r="43" spans="10:19" x14ac:dyDescent="0.25">
      <c r="J43" s="2" t="str">
        <f t="shared" si="2"/>
        <v>Sprinkler</v>
      </c>
      <c r="K43" s="2">
        <v>2021</v>
      </c>
      <c r="L43" s="2" t="s">
        <v>59</v>
      </c>
      <c r="M43" s="3">
        <v>668.36776051230356</v>
      </c>
      <c r="N43" s="3">
        <v>1510.461191366813</v>
      </c>
      <c r="O43" s="3">
        <v>44.249250780650563</v>
      </c>
      <c r="P43" s="3" cm="1">
        <f t="array" ref="P43">IFERROR(_xlfn.XLOOKUP(1,($D$11:$D$19=J43)*($B$11:$B$19=L43),$G$11:$G$19),"")</f>
        <v>1.4285714285714286</v>
      </c>
      <c r="Q43" s="3">
        <v>0.8421052631578948</v>
      </c>
      <c r="R43" s="3">
        <f t="shared" si="5"/>
        <v>0.63213215400929412</v>
      </c>
      <c r="S43" s="3">
        <f t="shared" si="6"/>
        <v>0.37262526973179438</v>
      </c>
    </row>
    <row r="44" spans="10:19" x14ac:dyDescent="0.25">
      <c r="J44" s="2" t="str">
        <f t="shared" si="2"/>
        <v>drip</v>
      </c>
      <c r="K44" s="2">
        <v>2021</v>
      </c>
      <c r="L44" s="2" t="s">
        <v>58</v>
      </c>
      <c r="M44" s="3">
        <v>147.90441562365609</v>
      </c>
      <c r="N44" s="3">
        <v>1510.461191366813</v>
      </c>
      <c r="O44" s="3">
        <v>9.7920036919199287</v>
      </c>
      <c r="P44" s="3" cm="1">
        <f t="array" ref="P44">IFERROR(_xlfn.XLOOKUP(1,($D$11:$D$19=J44)*($B$11:$B$19=L44),$G$11:$G$19),"")</f>
        <v>0.74999999999999989</v>
      </c>
      <c r="Q44" s="3">
        <v>0.63157894736842102</v>
      </c>
      <c r="R44" s="3">
        <f t="shared" si="5"/>
        <v>7.3440027689399459E-2</v>
      </c>
      <c r="S44" s="3">
        <f t="shared" si="6"/>
        <v>6.184423384370482E-2</v>
      </c>
    </row>
    <row r="45" spans="10:19" ht="30" x14ac:dyDescent="0.25">
      <c r="J45" s="2" t="s">
        <v>66</v>
      </c>
      <c r="K45" s="2">
        <v>2022</v>
      </c>
      <c r="L45" s="2" t="s">
        <v>65</v>
      </c>
      <c r="M45" s="3">
        <v>166.53088985912621</v>
      </c>
      <c r="N45" s="3">
        <v>1676.320858616258</v>
      </c>
      <c r="O45" s="3">
        <v>9.9343087573694842</v>
      </c>
      <c r="P45" s="3" cm="1">
        <f t="array" ref="P45">IFERROR(_xlfn.XLOOKUP(1,($D$11:$D$19=J45)*($B$11:$B$19=L45),$G$11:$G$19),"")</f>
        <v>0.74999999999999989</v>
      </c>
      <c r="Q45" s="3">
        <v>0.63157894736842102</v>
      </c>
      <c r="R45" s="3">
        <f t="shared" si="5"/>
        <v>7.4507315680271108E-2</v>
      </c>
      <c r="S45" s="3">
        <f t="shared" si="6"/>
        <v>6.2743002678123036E-2</v>
      </c>
    </row>
    <row r="46" spans="10:19" x14ac:dyDescent="0.25">
      <c r="J46" s="2" t="str">
        <f t="shared" ref="J46:J76" si="7">J38</f>
        <v>drip</v>
      </c>
      <c r="K46" s="2">
        <v>2022</v>
      </c>
      <c r="L46" s="2" t="s">
        <v>64</v>
      </c>
      <c r="M46" s="3">
        <v>86.162063365852021</v>
      </c>
      <c r="N46" s="3">
        <v>1676.320858616258</v>
      </c>
      <c r="O46" s="3">
        <v>5.1399505603584563</v>
      </c>
      <c r="P46" s="3" cm="1">
        <f t="array" ref="P46">IFERROR(_xlfn.XLOOKUP(1,($D$11:$D$19=J46)*($B$11:$B$19=L46),$G$11:$G$19),"")</f>
        <v>1.25</v>
      </c>
      <c r="Q46" s="3">
        <v>1.0526315789473684</v>
      </c>
      <c r="R46" s="3">
        <f t="shared" si="5"/>
        <v>6.4249382004480687E-2</v>
      </c>
      <c r="S46" s="3">
        <f t="shared" si="6"/>
        <v>5.4104742740615309E-2</v>
      </c>
    </row>
    <row r="47" spans="10:19" x14ac:dyDescent="0.25">
      <c r="J47" s="2" t="str">
        <f t="shared" si="7"/>
        <v>Sprinkler</v>
      </c>
      <c r="K47" s="2">
        <v>2022</v>
      </c>
      <c r="L47" s="2" t="s">
        <v>63</v>
      </c>
      <c r="M47" s="3">
        <v>180.53456039247521</v>
      </c>
      <c r="N47" s="3">
        <v>1676.320858616258</v>
      </c>
      <c r="O47" s="3">
        <v>10.76969003067229</v>
      </c>
      <c r="P47" s="3" cm="1">
        <f t="array" ref="P47">IFERROR(_xlfn.XLOOKUP(1,($D$11:$D$19=J47)*($B$11:$B$19=L47),$G$11:$G$19),"")</f>
        <v>1.4285714285714286</v>
      </c>
      <c r="Q47" s="3">
        <v>1.1764705882352942</v>
      </c>
      <c r="R47" s="3">
        <f t="shared" si="5"/>
        <v>0.15385271472388981</v>
      </c>
      <c r="S47" s="3">
        <f t="shared" si="6"/>
        <v>0.12670223565496808</v>
      </c>
    </row>
    <row r="48" spans="10:19" x14ac:dyDescent="0.25">
      <c r="J48" s="2" t="str">
        <f t="shared" si="7"/>
        <v>drip</v>
      </c>
      <c r="K48" s="2">
        <v>2022</v>
      </c>
      <c r="L48" s="2" t="s">
        <v>62</v>
      </c>
      <c r="M48" s="3">
        <v>41.279659431150378</v>
      </c>
      <c r="N48" s="3">
        <v>1676.320858616258</v>
      </c>
      <c r="O48" s="3">
        <v>2.462515408012357</v>
      </c>
      <c r="P48" s="3" cm="1">
        <f t="array" ref="P48">IFERROR(_xlfn.XLOOKUP(1,($D$11:$D$19=J48)*($B$11:$B$19=L48),$G$11:$G$19),"")</f>
        <v>0.6875</v>
      </c>
      <c r="Q48" s="3">
        <v>0.57894736842105265</v>
      </c>
      <c r="R48" s="3">
        <f t="shared" si="5"/>
        <v>1.6929793430084949E-2</v>
      </c>
      <c r="S48" s="3">
        <f t="shared" si="6"/>
        <v>1.4256668151650484E-2</v>
      </c>
    </row>
    <row r="49" spans="10:19" x14ac:dyDescent="0.25">
      <c r="J49" s="2" t="str">
        <f t="shared" si="7"/>
        <v>drip</v>
      </c>
      <c r="K49" s="2">
        <v>2022</v>
      </c>
      <c r="L49" s="2" t="s">
        <v>61</v>
      </c>
      <c r="M49" s="3">
        <v>217.29429224631139</v>
      </c>
      <c r="N49" s="3">
        <v>1676.320858616258</v>
      </c>
      <c r="O49" s="3">
        <v>12.962571641903921</v>
      </c>
      <c r="P49" s="3" cm="1">
        <f t="array" ref="P49">IFERROR(_xlfn.XLOOKUP(1,($D$11:$D$19=J49)*($B$11:$B$19=L49),$G$11:$G$19),"")</f>
        <v>1</v>
      </c>
      <c r="Q49" s="3">
        <v>1.1764705882352942</v>
      </c>
      <c r="R49" s="3">
        <f t="shared" si="5"/>
        <v>0.12962571641903922</v>
      </c>
      <c r="S49" s="3">
        <f t="shared" si="6"/>
        <v>0.15250084284592849</v>
      </c>
    </row>
    <row r="50" spans="10:19" x14ac:dyDescent="0.25">
      <c r="J50" s="2" t="str">
        <f t="shared" si="7"/>
        <v>Sprinkler</v>
      </c>
      <c r="K50" s="2">
        <v>2022</v>
      </c>
      <c r="L50" s="2" t="s">
        <v>60</v>
      </c>
      <c r="M50" s="3">
        <v>239.77057536173379</v>
      </c>
      <c r="N50" s="3">
        <v>1676.320858616258</v>
      </c>
      <c r="O50" s="3">
        <v>14.30338196469474</v>
      </c>
      <c r="P50" s="3" cm="1">
        <f t="array" ref="P50">IFERROR(_xlfn.XLOOKUP(1,($D$11:$D$19=J50)*($B$11:$B$19=L50),$G$11:$G$19),"")</f>
        <v>1.4285714285714286</v>
      </c>
      <c r="Q50" s="3">
        <v>1.1764705882352942</v>
      </c>
      <c r="R50" s="3">
        <f t="shared" si="5"/>
        <v>0.20433402806706766</v>
      </c>
      <c r="S50" s="3">
        <f t="shared" si="6"/>
        <v>0.16827508193758514</v>
      </c>
    </row>
    <row r="51" spans="10:19" x14ac:dyDescent="0.25">
      <c r="J51" s="2" t="str">
        <f t="shared" si="7"/>
        <v>Sprinkler</v>
      </c>
      <c r="K51" s="2">
        <v>2022</v>
      </c>
      <c r="L51" s="2" t="s">
        <v>59</v>
      </c>
      <c r="M51" s="3">
        <v>596.84440233595251</v>
      </c>
      <c r="N51" s="3">
        <v>1676.320858616258</v>
      </c>
      <c r="O51" s="3">
        <v>35.604424968417199</v>
      </c>
      <c r="P51" s="3" cm="1">
        <f t="array" ref="P51">IFERROR(_xlfn.XLOOKUP(1,($D$11:$D$19=J51)*($B$11:$B$19=L51),$G$11:$G$19),"")</f>
        <v>1.4285714285714286</v>
      </c>
      <c r="Q51" s="3">
        <v>0.8421052631578948</v>
      </c>
      <c r="R51" s="3">
        <f t="shared" si="5"/>
        <v>0.50863464240596001</v>
      </c>
      <c r="S51" s="3">
        <f t="shared" si="6"/>
        <v>0.29982673657614484</v>
      </c>
    </row>
    <row r="52" spans="10:19" x14ac:dyDescent="0.25">
      <c r="J52" s="2" t="str">
        <f t="shared" si="7"/>
        <v>drip</v>
      </c>
      <c r="K52" s="2">
        <v>2022</v>
      </c>
      <c r="L52" s="2" t="s">
        <v>58</v>
      </c>
      <c r="M52" s="3">
        <v>147.90441562365609</v>
      </c>
      <c r="N52" s="3">
        <v>1676.320858616258</v>
      </c>
      <c r="O52" s="3">
        <v>8.8231566685715439</v>
      </c>
      <c r="P52" s="3" cm="1">
        <f t="array" ref="P52">IFERROR(_xlfn.XLOOKUP(1,($D$11:$D$19=J52)*($B$11:$B$19=L52),$G$11:$G$19),"")</f>
        <v>0.74999999999999989</v>
      </c>
      <c r="Q52" s="3">
        <v>0.63157894736842102</v>
      </c>
      <c r="R52" s="3">
        <f t="shared" si="5"/>
        <v>6.6173675014286545E-2</v>
      </c>
      <c r="S52" s="3">
        <f t="shared" si="6"/>
        <v>5.5725200012030789E-2</v>
      </c>
    </row>
    <row r="53" spans="10:19" ht="30" x14ac:dyDescent="0.25">
      <c r="J53" s="2" t="str">
        <f t="shared" si="7"/>
        <v>drip</v>
      </c>
      <c r="K53" s="2">
        <v>2023</v>
      </c>
      <c r="L53" s="2" t="s">
        <v>65</v>
      </c>
      <c r="M53" s="3">
        <v>291.17195202384909</v>
      </c>
      <c r="N53" s="3">
        <v>1733.550097899192</v>
      </c>
      <c r="O53" s="3">
        <v>16.796281363700231</v>
      </c>
      <c r="P53" s="3" cm="1">
        <f t="array" ref="P53">IFERROR(_xlfn.XLOOKUP(1,($D$11:$D$19=J53)*($B$11:$B$19=L53),$G$11:$G$19),"")</f>
        <v>0.74999999999999989</v>
      </c>
      <c r="Q53" s="3">
        <f t="shared" ref="Q53:Q76" si="8">Q45</f>
        <v>0.63157894736842102</v>
      </c>
      <c r="R53" s="3">
        <f t="shared" si="5"/>
        <v>0.1259721102277517</v>
      </c>
      <c r="S53" s="3">
        <f t="shared" si="6"/>
        <v>0.10608177703389619</v>
      </c>
    </row>
    <row r="54" spans="10:19" x14ac:dyDescent="0.25">
      <c r="J54" s="2" t="str">
        <f t="shared" si="7"/>
        <v>drip</v>
      </c>
      <c r="K54" s="2">
        <v>2023</v>
      </c>
      <c r="L54" s="2" t="s">
        <v>64</v>
      </c>
      <c r="M54" s="3">
        <v>93.320024159054441</v>
      </c>
      <c r="N54" s="3">
        <v>1733.550097899192</v>
      </c>
      <c r="O54" s="3">
        <v>5.3831743468010869</v>
      </c>
      <c r="P54" s="3" cm="1">
        <f t="array" ref="P54">IFERROR(_xlfn.XLOOKUP(1,($D$11:$D$19=J54)*($B$11:$B$19=L54),$G$11:$G$19),"")</f>
        <v>1.25</v>
      </c>
      <c r="Q54" s="3">
        <f t="shared" si="8"/>
        <v>1.0526315789473684</v>
      </c>
      <c r="R54" s="3">
        <f t="shared" si="5"/>
        <v>6.7289679335013591E-2</v>
      </c>
      <c r="S54" s="3">
        <f t="shared" si="6"/>
        <v>5.666499312422197E-2</v>
      </c>
    </row>
    <row r="55" spans="10:19" x14ac:dyDescent="0.25">
      <c r="J55" s="2" t="str">
        <f t="shared" si="7"/>
        <v>Sprinkler</v>
      </c>
      <c r="K55" s="2">
        <v>2023</v>
      </c>
      <c r="L55" s="2" t="s">
        <v>63</v>
      </c>
      <c r="M55" s="3">
        <v>106.5153859793645</v>
      </c>
      <c r="N55" s="3">
        <v>1733.550097899192</v>
      </c>
      <c r="O55" s="3">
        <v>6.1443500310977717</v>
      </c>
      <c r="P55" s="3" cm="1">
        <f t="array" ref="P55">IFERROR(_xlfn.XLOOKUP(1,($D$11:$D$19=J55)*($B$11:$B$19=L55),$G$11:$G$19),"")</f>
        <v>1.4285714285714286</v>
      </c>
      <c r="Q55" s="3">
        <f t="shared" si="8"/>
        <v>1.1764705882352942</v>
      </c>
      <c r="R55" s="3">
        <f t="shared" si="5"/>
        <v>8.7776429015682486E-2</v>
      </c>
      <c r="S55" s="3">
        <f t="shared" si="6"/>
        <v>7.2286470954091464E-2</v>
      </c>
    </row>
    <row r="56" spans="10:19" x14ac:dyDescent="0.25">
      <c r="J56" s="2" t="str">
        <f t="shared" si="7"/>
        <v>drip</v>
      </c>
      <c r="K56" s="2">
        <v>2023</v>
      </c>
      <c r="L56" s="2" t="s">
        <v>62</v>
      </c>
      <c r="M56" s="3">
        <v>41.279659431150378</v>
      </c>
      <c r="N56" s="3">
        <v>1733.550097899192</v>
      </c>
      <c r="O56" s="3">
        <v>2.3812210262152358</v>
      </c>
      <c r="P56" s="3" cm="1">
        <f t="array" ref="P56">IFERROR(_xlfn.XLOOKUP(1,($D$11:$D$19=J56)*($B$11:$B$19=L56),$G$11:$G$19),"")</f>
        <v>0.6875</v>
      </c>
      <c r="Q56" s="3">
        <f t="shared" si="8"/>
        <v>0.57894736842105265</v>
      </c>
      <c r="R56" s="3">
        <f t="shared" si="5"/>
        <v>1.6370894555229751E-2</v>
      </c>
      <c r="S56" s="3">
        <f t="shared" si="6"/>
        <v>1.3786016467561895E-2</v>
      </c>
    </row>
    <row r="57" spans="10:19" x14ac:dyDescent="0.25">
      <c r="J57" s="2" t="str">
        <f t="shared" si="7"/>
        <v>drip</v>
      </c>
      <c r="K57" s="2">
        <v>2023</v>
      </c>
      <c r="L57" s="2" t="s">
        <v>61</v>
      </c>
      <c r="M57" s="3">
        <v>180.47155515731691</v>
      </c>
      <c r="N57" s="3">
        <v>1733.550097899192</v>
      </c>
      <c r="O57" s="3">
        <v>10.41051858703258</v>
      </c>
      <c r="P57" s="3" cm="1">
        <f t="array" ref="P57">IFERROR(_xlfn.XLOOKUP(1,($D$11:$D$19=J57)*($B$11:$B$19=L57),$G$11:$G$19),"")</f>
        <v>1</v>
      </c>
      <c r="Q57" s="3">
        <f t="shared" si="8"/>
        <v>1.1764705882352942</v>
      </c>
      <c r="R57" s="3">
        <f t="shared" si="5"/>
        <v>0.10410518587032583</v>
      </c>
      <c r="S57" s="3">
        <f t="shared" si="6"/>
        <v>0.12247668925920685</v>
      </c>
    </row>
    <row r="58" spans="10:19" x14ac:dyDescent="0.25">
      <c r="J58" s="2" t="str">
        <f t="shared" si="7"/>
        <v>Sprinkler</v>
      </c>
      <c r="K58" s="2">
        <v>2023</v>
      </c>
      <c r="L58" s="2" t="s">
        <v>60</v>
      </c>
      <c r="M58" s="3">
        <v>264.1548858315553</v>
      </c>
      <c r="N58" s="3">
        <v>1733.550097899192</v>
      </c>
      <c r="O58" s="3">
        <v>15.23779936626419</v>
      </c>
      <c r="P58" s="3" cm="1">
        <f t="array" ref="P58">IFERROR(_xlfn.XLOOKUP(1,($D$11:$D$19=J58)*($B$11:$B$19=L58),$G$11:$G$19),"")</f>
        <v>1.4285714285714286</v>
      </c>
      <c r="Q58" s="3">
        <f t="shared" si="8"/>
        <v>1.1764705882352942</v>
      </c>
      <c r="R58" s="3">
        <f t="shared" si="5"/>
        <v>0.21768284808948843</v>
      </c>
      <c r="S58" s="3">
        <f t="shared" si="6"/>
        <v>0.17926822783840224</v>
      </c>
    </row>
    <row r="59" spans="10:19" x14ac:dyDescent="0.25">
      <c r="J59" s="2" t="str">
        <f t="shared" si="7"/>
        <v>Sprinkler</v>
      </c>
      <c r="K59" s="2">
        <v>2023</v>
      </c>
      <c r="L59" s="2" t="s">
        <v>59</v>
      </c>
      <c r="M59" s="3">
        <v>608.73221969324538</v>
      </c>
      <c r="N59" s="3">
        <v>1733.550097899192</v>
      </c>
      <c r="O59" s="3">
        <v>35.114775190572182</v>
      </c>
      <c r="P59" s="3" cm="1">
        <f t="array" ref="P59">IFERROR(_xlfn.XLOOKUP(1,($D$11:$D$19=J59)*($B$11:$B$19=L59),$G$11:$G$19),"")</f>
        <v>1.4285714285714286</v>
      </c>
      <c r="Q59" s="3">
        <f t="shared" si="8"/>
        <v>0.8421052631578948</v>
      </c>
      <c r="R59" s="3">
        <f t="shared" si="5"/>
        <v>0.50163964557960272</v>
      </c>
      <c r="S59" s="3">
        <f t="shared" si="6"/>
        <v>0.2957033700258711</v>
      </c>
    </row>
    <row r="60" spans="10:19" x14ac:dyDescent="0.25">
      <c r="J60" s="2" t="str">
        <f t="shared" si="7"/>
        <v>drip</v>
      </c>
      <c r="K60" s="2">
        <v>2023</v>
      </c>
      <c r="L60" s="2" t="s">
        <v>58</v>
      </c>
      <c r="M60" s="3">
        <v>147.90441562365609</v>
      </c>
      <c r="N60" s="3">
        <v>1733.550097899192</v>
      </c>
      <c r="O60" s="3">
        <v>8.531880088316715</v>
      </c>
      <c r="P60" s="3" cm="1">
        <f t="array" ref="P60">IFERROR(_xlfn.XLOOKUP(1,($D$11:$D$19=J60)*($B$11:$B$19=L60),$G$11:$G$19),"")</f>
        <v>0.74999999999999989</v>
      </c>
      <c r="Q60" s="3">
        <f t="shared" si="8"/>
        <v>0.63157894736842102</v>
      </c>
      <c r="R60" s="3">
        <f t="shared" si="5"/>
        <v>6.3989100662375356E-2</v>
      </c>
      <c r="S60" s="3">
        <f t="shared" si="6"/>
        <v>5.388555845252662E-2</v>
      </c>
    </row>
    <row r="61" spans="10:19" ht="30" x14ac:dyDescent="0.25">
      <c r="J61" s="2" t="str">
        <f t="shared" si="7"/>
        <v>drip</v>
      </c>
      <c r="K61" s="2">
        <v>2024</v>
      </c>
      <c r="L61" s="2" t="s">
        <v>65</v>
      </c>
      <c r="M61" s="3">
        <v>291.17195202384909</v>
      </c>
      <c r="N61" s="3">
        <v>1748.8122600675099</v>
      </c>
      <c r="O61" s="3">
        <v>16.649697550302449</v>
      </c>
      <c r="P61" s="3" cm="1">
        <f t="array" ref="P61">IFERROR(_xlfn.XLOOKUP(1,($D$11:$D$19=J61)*($B$11:$B$19=L61),$G$11:$G$19),"")</f>
        <v>0.74999999999999989</v>
      </c>
      <c r="Q61" s="3">
        <f t="shared" si="8"/>
        <v>0.63157894736842102</v>
      </c>
      <c r="R61" s="3">
        <f t="shared" si="5"/>
        <v>0.12487273162726835</v>
      </c>
      <c r="S61" s="3">
        <f t="shared" si="6"/>
        <v>0.10515598452822598</v>
      </c>
    </row>
    <row r="62" spans="10:19" x14ac:dyDescent="0.25">
      <c r="J62" s="2" t="str">
        <f t="shared" si="7"/>
        <v>drip</v>
      </c>
      <c r="K62" s="2">
        <v>2024</v>
      </c>
      <c r="L62" s="2" t="s">
        <v>64</v>
      </c>
      <c r="M62" s="3">
        <v>93.320024159054441</v>
      </c>
      <c r="N62" s="3">
        <v>1748.8122600675099</v>
      </c>
      <c r="O62" s="3">
        <v>5.3361945298491902</v>
      </c>
      <c r="P62" s="3" cm="1">
        <f t="array" ref="P62">IFERROR(_xlfn.XLOOKUP(1,($D$11:$D$19=J62)*($B$11:$B$19=L62),$G$11:$G$19),"")</f>
        <v>1.25</v>
      </c>
      <c r="Q62" s="3">
        <f t="shared" si="8"/>
        <v>1.0526315789473684</v>
      </c>
      <c r="R62" s="3">
        <f t="shared" si="5"/>
        <v>6.6702431623114872E-2</v>
      </c>
      <c r="S62" s="3">
        <f t="shared" si="6"/>
        <v>5.6170468735254622E-2</v>
      </c>
    </row>
    <row r="63" spans="10:19" x14ac:dyDescent="0.25">
      <c r="J63" s="2" t="str">
        <f t="shared" si="7"/>
        <v>Sprinkler</v>
      </c>
      <c r="K63" s="2">
        <v>2024</v>
      </c>
      <c r="L63" s="2" t="s">
        <v>63</v>
      </c>
      <c r="M63" s="3">
        <v>134.04475416045031</v>
      </c>
      <c r="N63" s="3">
        <v>1748.8122600675099</v>
      </c>
      <c r="O63" s="3">
        <v>7.6649024724515442</v>
      </c>
      <c r="P63" s="3" cm="1">
        <f t="array" ref="P63">IFERROR(_xlfn.XLOOKUP(1,($D$11:$D$19=J63)*($B$11:$B$19=L63),$G$11:$G$19),"")</f>
        <v>1.4285714285714286</v>
      </c>
      <c r="Q63" s="3">
        <f t="shared" si="8"/>
        <v>1.1764705882352942</v>
      </c>
      <c r="R63" s="3">
        <f t="shared" si="5"/>
        <v>0.10949860674930779</v>
      </c>
      <c r="S63" s="3">
        <f t="shared" si="6"/>
        <v>9.0175323205312297E-2</v>
      </c>
    </row>
    <row r="64" spans="10:19" x14ac:dyDescent="0.25">
      <c r="J64" s="2" t="str">
        <f t="shared" si="7"/>
        <v>drip</v>
      </c>
      <c r="K64" s="2">
        <v>2024</v>
      </c>
      <c r="L64" s="2" t="s">
        <v>62</v>
      </c>
      <c r="M64" s="3">
        <v>38.340081074907701</v>
      </c>
      <c r="N64" s="3">
        <v>1748.8122600675099</v>
      </c>
      <c r="O64" s="3">
        <v>2.1923497421860279</v>
      </c>
      <c r="P64" s="3" cm="1">
        <f t="array" ref="P64">IFERROR(_xlfn.XLOOKUP(1,($D$11:$D$19=J64)*($B$11:$B$19=L64),$G$11:$G$19),"")</f>
        <v>0.6875</v>
      </c>
      <c r="Q64" s="3">
        <f t="shared" si="8"/>
        <v>0.57894736842105265</v>
      </c>
      <c r="R64" s="3">
        <f t="shared" si="5"/>
        <v>1.5072404477528943E-2</v>
      </c>
      <c r="S64" s="3">
        <f t="shared" si="6"/>
        <v>1.269255113897174E-2</v>
      </c>
    </row>
    <row r="65" spans="10:19" x14ac:dyDescent="0.25">
      <c r="J65" s="2" t="str">
        <f t="shared" si="7"/>
        <v>drip</v>
      </c>
      <c r="K65" s="2">
        <v>2024</v>
      </c>
      <c r="L65" s="2" t="s">
        <v>61</v>
      </c>
      <c r="M65" s="3">
        <v>217.29429224631139</v>
      </c>
      <c r="N65" s="3">
        <v>1748.8122600675099</v>
      </c>
      <c r="O65" s="3">
        <v>12.425249822866819</v>
      </c>
      <c r="P65" s="3" cm="1">
        <f t="array" ref="P65">IFERROR(_xlfn.XLOOKUP(1,($D$11:$D$19=J65)*($B$11:$B$19=L65),$G$11:$G$19),"")</f>
        <v>1</v>
      </c>
      <c r="Q65" s="3">
        <f t="shared" si="8"/>
        <v>1.1764705882352942</v>
      </c>
      <c r="R65" s="3">
        <f t="shared" si="5"/>
        <v>0.12425249822866813</v>
      </c>
      <c r="S65" s="3">
        <f t="shared" si="6"/>
        <v>0.14617940968078605</v>
      </c>
    </row>
    <row r="66" spans="10:19" x14ac:dyDescent="0.25">
      <c r="J66" s="2" t="str">
        <f t="shared" si="7"/>
        <v>Sprinkler</v>
      </c>
      <c r="K66" s="2">
        <v>2024</v>
      </c>
      <c r="L66" s="2" t="s">
        <v>60</v>
      </c>
      <c r="M66" s="3">
        <v>242.59431091087831</v>
      </c>
      <c r="N66" s="3">
        <v>1748.8122600675099</v>
      </c>
      <c r="O66" s="3">
        <v>13.871947060887679</v>
      </c>
      <c r="P66" s="3" cm="1">
        <f t="array" ref="P66">IFERROR(_xlfn.XLOOKUP(1,($D$11:$D$19=J66)*($B$11:$B$19=L66),$G$11:$G$19),"")</f>
        <v>1.4285714285714286</v>
      </c>
      <c r="Q66" s="3">
        <f t="shared" si="8"/>
        <v>1.1764705882352942</v>
      </c>
      <c r="R66" s="3">
        <f t="shared" si="5"/>
        <v>0.19817067229839541</v>
      </c>
      <c r="S66" s="3">
        <f t="shared" si="6"/>
        <v>0.16319937718691385</v>
      </c>
    </row>
    <row r="67" spans="10:19" x14ac:dyDescent="0.25">
      <c r="J67" s="2" t="str">
        <f t="shared" si="7"/>
        <v>Sprinkler</v>
      </c>
      <c r="K67" s="2">
        <v>2024</v>
      </c>
      <c r="L67" s="2" t="s">
        <v>59</v>
      </c>
      <c r="M67" s="3">
        <v>584.14242986840225</v>
      </c>
      <c r="N67" s="3">
        <v>1748.8122600675099</v>
      </c>
      <c r="O67" s="3">
        <v>33.402237804866061</v>
      </c>
      <c r="P67" s="3" cm="1">
        <f t="array" ref="P67">IFERROR(_xlfn.XLOOKUP(1,($D$11:$D$19=J67)*($B$11:$B$19=L67),$G$11:$G$19),"")</f>
        <v>1.4285714285714286</v>
      </c>
      <c r="Q67" s="3">
        <f t="shared" si="8"/>
        <v>0.8421052631578948</v>
      </c>
      <c r="R67" s="3">
        <f t="shared" ref="R67:R76" si="9">(P67*M67)/N67</f>
        <v>0.47717482578380077</v>
      </c>
      <c r="S67" s="3">
        <f t="shared" ref="S67:S76" si="10">(Q67*M67)/N67</f>
        <v>0.28128200256729308</v>
      </c>
    </row>
    <row r="68" spans="10:19" x14ac:dyDescent="0.25">
      <c r="J68" s="2" t="str">
        <f t="shared" si="7"/>
        <v>drip</v>
      </c>
      <c r="K68" s="2">
        <v>2024</v>
      </c>
      <c r="L68" s="2" t="s">
        <v>58</v>
      </c>
      <c r="M68" s="3">
        <v>147.90441562365609</v>
      </c>
      <c r="N68" s="3">
        <v>1748.8122600675099</v>
      </c>
      <c r="O68" s="3">
        <v>8.4574210165902262</v>
      </c>
      <c r="P68" s="3" cm="1">
        <f t="array" ref="P68">IFERROR(_xlfn.XLOOKUP(1,($D$11:$D$19=J68)*($B$11:$B$19=L68),$G$11:$G$19),"")</f>
        <v>0.74999999999999989</v>
      </c>
      <c r="Q68" s="3">
        <f t="shared" si="8"/>
        <v>0.63157894736842102</v>
      </c>
      <c r="R68" s="3">
        <f t="shared" si="9"/>
        <v>6.3430657624426678E-2</v>
      </c>
      <c r="S68" s="3">
        <f t="shared" si="10"/>
        <v>5.3415290631096159E-2</v>
      </c>
    </row>
    <row r="69" spans="10:19" ht="30" x14ac:dyDescent="0.25">
      <c r="J69" s="2" t="str">
        <f t="shared" si="7"/>
        <v>drip</v>
      </c>
      <c r="K69" s="2">
        <v>2025</v>
      </c>
      <c r="L69" s="2" t="s">
        <v>65</v>
      </c>
      <c r="M69" s="3">
        <v>291.17195202384909</v>
      </c>
      <c r="N69" s="3">
        <v>1760.924320727989</v>
      </c>
      <c r="O69" s="3">
        <v>16.535176929322819</v>
      </c>
      <c r="P69" s="3" cm="1">
        <f t="array" ref="P69">IFERROR(_xlfn.XLOOKUP(1,($D$11:$D$19=J69)*($B$11:$B$19=L69),$G$11:$G$19),"")</f>
        <v>0.74999999999999989</v>
      </c>
      <c r="Q69" s="3">
        <f t="shared" si="8"/>
        <v>0.63157894736842102</v>
      </c>
      <c r="R69" s="3">
        <f t="shared" si="9"/>
        <v>0.12401382696992115</v>
      </c>
      <c r="S69" s="3">
        <f t="shared" si="10"/>
        <v>0.1044326963957231</v>
      </c>
    </row>
    <row r="70" spans="10:19" x14ac:dyDescent="0.25">
      <c r="J70" s="2" t="str">
        <f t="shared" si="7"/>
        <v>drip</v>
      </c>
      <c r="K70" s="2">
        <v>2025</v>
      </c>
      <c r="L70" s="2" t="s">
        <v>64</v>
      </c>
      <c r="M70" s="3">
        <v>110.1550521446958</v>
      </c>
      <c r="N70" s="3">
        <v>1760.924320727989</v>
      </c>
      <c r="O70" s="3">
        <v>6.255524490635481</v>
      </c>
      <c r="P70" s="3" cm="1">
        <f t="array" ref="P70">IFERROR(_xlfn.XLOOKUP(1,($D$11:$D$19=J70)*($B$11:$B$19=L70),$G$11:$G$19),"")</f>
        <v>1.25</v>
      </c>
      <c r="Q70" s="3">
        <f t="shared" si="8"/>
        <v>1.0526315789473684</v>
      </c>
      <c r="R70" s="3">
        <f t="shared" si="9"/>
        <v>7.8194056132943487E-2</v>
      </c>
      <c r="S70" s="3">
        <f t="shared" si="10"/>
        <v>6.5847626217215571E-2</v>
      </c>
    </row>
    <row r="71" spans="10:19" x14ac:dyDescent="0.25">
      <c r="J71" s="2" t="str">
        <f t="shared" si="7"/>
        <v>Sprinkler</v>
      </c>
      <c r="K71" s="2">
        <v>2025</v>
      </c>
      <c r="L71" s="2" t="s">
        <v>63</v>
      </c>
      <c r="M71" s="3">
        <v>209.4542030099409</v>
      </c>
      <c r="N71" s="3">
        <v>1760.924320727989</v>
      </c>
      <c r="O71" s="3">
        <v>11.89456017754072</v>
      </c>
      <c r="P71" s="3" cm="1">
        <f t="array" ref="P71">IFERROR(_xlfn.XLOOKUP(1,($D$11:$D$19=J71)*($B$11:$B$19=L71),$G$11:$G$19),"")</f>
        <v>1.4285714285714286</v>
      </c>
      <c r="Q71" s="3">
        <f t="shared" si="8"/>
        <v>1.1764705882352942</v>
      </c>
      <c r="R71" s="3">
        <f t="shared" si="9"/>
        <v>0.16992228825058178</v>
      </c>
      <c r="S71" s="3">
        <f t="shared" si="10"/>
        <v>0.13993600208871443</v>
      </c>
    </row>
    <row r="72" spans="10:19" x14ac:dyDescent="0.25">
      <c r="J72" s="2" t="str">
        <f t="shared" si="7"/>
        <v>drip</v>
      </c>
      <c r="K72" s="2">
        <v>2025</v>
      </c>
      <c r="L72" s="2" t="s">
        <v>62</v>
      </c>
      <c r="M72" s="3">
        <v>38.340081074907701</v>
      </c>
      <c r="N72" s="3">
        <v>1760.924320727989</v>
      </c>
      <c r="O72" s="3">
        <v>2.177270233797294</v>
      </c>
      <c r="P72" s="3" cm="1">
        <f t="array" ref="P72">IFERROR(_xlfn.XLOOKUP(1,($D$11:$D$19=J72)*($B$11:$B$19=L72),$G$11:$G$19),"")</f>
        <v>0.6875</v>
      </c>
      <c r="Q72" s="3">
        <f t="shared" si="8"/>
        <v>0.57894736842105265</v>
      </c>
      <c r="R72" s="3">
        <f t="shared" si="9"/>
        <v>1.4968732857356398E-2</v>
      </c>
      <c r="S72" s="3">
        <f t="shared" si="10"/>
        <v>1.2605248721984335E-2</v>
      </c>
    </row>
    <row r="73" spans="10:19" x14ac:dyDescent="0.25">
      <c r="J73" s="2" t="str">
        <f t="shared" si="7"/>
        <v>drip</v>
      </c>
      <c r="K73" s="2">
        <v>2025</v>
      </c>
      <c r="L73" s="2" t="s">
        <v>61</v>
      </c>
      <c r="M73" s="3">
        <v>123.1593343465393</v>
      </c>
      <c r="N73" s="3">
        <v>1760.924320727989</v>
      </c>
      <c r="O73" s="3">
        <v>6.994016318408482</v>
      </c>
      <c r="P73" s="3" cm="1">
        <f t="array" ref="P73">IFERROR(_xlfn.XLOOKUP(1,($D$11:$D$19=J73)*($B$11:$B$19=L73),$G$11:$G$19),"")</f>
        <v>1</v>
      </c>
      <c r="Q73" s="3">
        <f t="shared" si="8"/>
        <v>1.1764705882352942</v>
      </c>
      <c r="R73" s="3">
        <f t="shared" si="9"/>
        <v>6.9940163184084844E-2</v>
      </c>
      <c r="S73" s="3">
        <f t="shared" si="10"/>
        <v>8.2282544922452752E-2</v>
      </c>
    </row>
    <row r="74" spans="10:19" x14ac:dyDescent="0.25">
      <c r="J74" s="2" t="str">
        <f t="shared" si="7"/>
        <v>Sprinkler</v>
      </c>
      <c r="K74" s="2">
        <v>2025</v>
      </c>
      <c r="L74" s="2" t="s">
        <v>60</v>
      </c>
      <c r="M74" s="3">
        <v>243.7005266998307</v>
      </c>
      <c r="N74" s="3">
        <v>1760.924320727989</v>
      </c>
      <c r="O74" s="3">
        <v>13.83935265310447</v>
      </c>
      <c r="P74" s="3" cm="1">
        <f t="array" ref="P74">IFERROR(_xlfn.XLOOKUP(1,($D$11:$D$19=J74)*($B$11:$B$19=L74),$G$11:$G$19),"")</f>
        <v>1.4285714285714286</v>
      </c>
      <c r="Q74" s="3">
        <f t="shared" si="8"/>
        <v>1.1764705882352942</v>
      </c>
      <c r="R74" s="3">
        <f t="shared" si="9"/>
        <v>0.19770503790149235</v>
      </c>
      <c r="S74" s="3">
        <f t="shared" si="10"/>
        <v>0.16281591356593486</v>
      </c>
    </row>
    <row r="75" spans="10:19" x14ac:dyDescent="0.25">
      <c r="J75" s="2" t="str">
        <f t="shared" si="7"/>
        <v>Sprinkler</v>
      </c>
      <c r="K75" s="2">
        <v>2025</v>
      </c>
      <c r="L75" s="2" t="s">
        <v>59</v>
      </c>
      <c r="M75" s="3">
        <v>597.03875580456929</v>
      </c>
      <c r="N75" s="3">
        <v>1760.924320727989</v>
      </c>
      <c r="O75" s="3">
        <v>33.904850354826479</v>
      </c>
      <c r="P75" s="3" cm="1">
        <f t="array" ref="P75">IFERROR(_xlfn.XLOOKUP(1,($D$11:$D$19=J75)*($B$11:$B$19=L75),$G$11:$G$19),"")</f>
        <v>1.4285714285714286</v>
      </c>
      <c r="Q75" s="3">
        <f t="shared" si="8"/>
        <v>0.8421052631578948</v>
      </c>
      <c r="R75" s="3">
        <f t="shared" si="9"/>
        <v>0.48435500506894968</v>
      </c>
      <c r="S75" s="3">
        <f t="shared" si="10"/>
        <v>0.28551452930380194</v>
      </c>
    </row>
    <row r="76" spans="10:19" x14ac:dyDescent="0.25">
      <c r="J76" s="2" t="str">
        <f t="shared" si="7"/>
        <v>drip</v>
      </c>
      <c r="K76" s="2">
        <v>2025</v>
      </c>
      <c r="L76" s="2" t="s">
        <v>58</v>
      </c>
      <c r="M76" s="3">
        <v>147.90441562365609</v>
      </c>
      <c r="N76" s="3">
        <v>1760.924320727989</v>
      </c>
      <c r="O76" s="3">
        <v>8.3992488423642477</v>
      </c>
      <c r="P76" s="3" cm="1">
        <f t="array" ref="P76">IFERROR(_xlfn.XLOOKUP(1,($D$11:$D$19=J76)*($B$11:$B$19=L76),$G$11:$G$19),"")</f>
        <v>0.74999999999999989</v>
      </c>
      <c r="Q76" s="3">
        <f t="shared" si="8"/>
        <v>0.63157894736842102</v>
      </c>
      <c r="R76" s="3">
        <f t="shared" si="9"/>
        <v>6.2994366317731837E-2</v>
      </c>
      <c r="S76" s="3">
        <f t="shared" si="10"/>
        <v>5.30478874254584E-2</v>
      </c>
    </row>
  </sheetData>
  <mergeCells count="2">
    <mergeCell ref="E9:F9"/>
    <mergeCell ref="H9:H10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46F4F-ACA0-4E2D-BD59-C36594B654DC}">
  <sheetPr>
    <tabColor theme="3" tint="0.39997558519241921"/>
  </sheetPr>
  <dimension ref="B3:AP317"/>
  <sheetViews>
    <sheetView showGridLines="0" topLeftCell="R1" workbookViewId="0">
      <selection activeCell="V21" sqref="V21"/>
    </sheetView>
  </sheetViews>
  <sheetFormatPr defaultRowHeight="15" x14ac:dyDescent="0.25"/>
  <cols>
    <col min="2" max="2" width="16" customWidth="1"/>
    <col min="3" max="3" width="15.28515625" customWidth="1"/>
    <col min="4" max="4" width="9" customWidth="1"/>
    <col min="5" max="5" width="13.85546875" customWidth="1"/>
    <col min="14" max="14" width="18.85546875" customWidth="1"/>
    <col min="17" max="17" width="12.28515625" customWidth="1"/>
    <col min="18" max="18" width="20.140625" customWidth="1"/>
    <col min="19" max="19" width="18.7109375" customWidth="1"/>
    <col min="28" max="28" width="13.140625" bestFit="1" customWidth="1"/>
    <col min="29" max="29" width="12.7109375" bestFit="1" customWidth="1"/>
    <col min="30" max="30" width="24.28515625" bestFit="1" customWidth="1"/>
    <col min="32" max="32" width="12.85546875" bestFit="1" customWidth="1"/>
    <col min="33" max="33" width="16.28515625" bestFit="1" customWidth="1"/>
    <col min="34" max="42" width="12" bestFit="1" customWidth="1"/>
    <col min="43" max="43" width="7.28515625" bestFit="1" customWidth="1"/>
    <col min="44" max="44" width="12" bestFit="1" customWidth="1"/>
  </cols>
  <sheetData>
    <row r="3" spans="2:42" ht="30" x14ac:dyDescent="0.25">
      <c r="B3" s="5" t="s">
        <v>114</v>
      </c>
      <c r="C3" s="5" t="s">
        <v>113</v>
      </c>
      <c r="E3" s="5" t="s">
        <v>112</v>
      </c>
      <c r="F3" s="5" t="s">
        <v>111</v>
      </c>
      <c r="G3" s="5" t="s">
        <v>110</v>
      </c>
      <c r="H3" s="5" t="s">
        <v>109</v>
      </c>
      <c r="I3" s="5" t="s">
        <v>108</v>
      </c>
      <c r="J3" s="5" t="s">
        <v>107</v>
      </c>
      <c r="K3" s="5" t="s">
        <v>98</v>
      </c>
      <c r="M3" s="5" t="s">
        <v>25</v>
      </c>
      <c r="N3" s="5" t="s">
        <v>75</v>
      </c>
      <c r="O3" s="5" t="s">
        <v>106</v>
      </c>
      <c r="P3" s="5" t="s">
        <v>106</v>
      </c>
      <c r="Q3" s="5" t="s">
        <v>105</v>
      </c>
      <c r="R3" s="5" t="s">
        <v>104</v>
      </c>
      <c r="S3" s="5" t="s">
        <v>103</v>
      </c>
      <c r="T3" s="5" t="s">
        <v>102</v>
      </c>
      <c r="U3" s="5" t="s">
        <v>101</v>
      </c>
      <c r="V3" s="5" t="s">
        <v>100</v>
      </c>
      <c r="W3" s="5" t="s">
        <v>99</v>
      </c>
      <c r="X3" s="5" t="s">
        <v>98</v>
      </c>
      <c r="Y3" s="5" t="s">
        <v>97</v>
      </c>
      <c r="Z3" s="5" t="s">
        <v>96</v>
      </c>
      <c r="AB3" s="13" t="s">
        <v>80</v>
      </c>
      <c r="AC3" t="s">
        <v>95</v>
      </c>
      <c r="AD3" t="s">
        <v>94</v>
      </c>
      <c r="AF3" t="s">
        <v>93</v>
      </c>
    </row>
    <row r="4" spans="2:42" ht="15.75" x14ac:dyDescent="0.25">
      <c r="B4" s="2" t="s">
        <v>65</v>
      </c>
      <c r="C4" s="2">
        <v>1</v>
      </c>
      <c r="D4" s="19"/>
      <c r="E4" s="2" t="s">
        <v>89</v>
      </c>
      <c r="F4" s="2">
        <v>109</v>
      </c>
      <c r="G4" s="2">
        <v>0.28599999999999998</v>
      </c>
      <c r="H4" s="2">
        <v>0.16900000000000001</v>
      </c>
      <c r="I4" s="2">
        <v>58</v>
      </c>
      <c r="J4" s="2">
        <v>10.8</v>
      </c>
      <c r="K4" s="2">
        <f>10*(G4-H4)</f>
        <v>1.1699999999999997</v>
      </c>
      <c r="L4" s="18"/>
      <c r="M4" s="2">
        <v>2016</v>
      </c>
      <c r="N4" s="2" t="s">
        <v>64</v>
      </c>
      <c r="O4" s="2" t="s">
        <v>91</v>
      </c>
      <c r="P4" s="2" t="s">
        <v>90</v>
      </c>
      <c r="Q4" s="1">
        <v>2.395712466219154</v>
      </c>
      <c r="R4" s="1">
        <v>86.162063365852021</v>
      </c>
      <c r="S4" s="1">
        <v>2.780472487116215</v>
      </c>
      <c r="T4" s="1">
        <f t="shared" ref="T4:T67" si="0">VLOOKUP(N4,$B:$C,2,FALSE)</f>
        <v>0.6</v>
      </c>
      <c r="U4" s="1">
        <f t="shared" ref="U4:U67" si="1">VLOOKUP(P4,$E:$F,2,FALSE)</f>
        <v>41</v>
      </c>
      <c r="V4" s="1">
        <f t="shared" ref="V4:V67" si="2">U4/100</f>
        <v>0.41</v>
      </c>
      <c r="W4" s="1">
        <f t="shared" ref="W4:W67" si="3">MIN(T4,V4)</f>
        <v>0.41</v>
      </c>
      <c r="X4" s="1">
        <f t="shared" ref="X4:X67" si="4">VLOOKUP(P4,$E:$K,7,FALSE)</f>
        <v>0.98</v>
      </c>
      <c r="Y4" s="1">
        <f t="shared" ref="Y4:Y67" si="5">X4*W4*100</f>
        <v>40.18</v>
      </c>
      <c r="Z4" s="1">
        <f t="shared" ref="Z4:Z67" si="6">(Y4*Q4)</f>
        <v>96.259726892685606</v>
      </c>
      <c r="AB4" s="7">
        <v>2016</v>
      </c>
      <c r="AC4">
        <v>103804.36577032231</v>
      </c>
      <c r="AD4">
        <v>1545.520451737769</v>
      </c>
      <c r="AE4">
        <v>2016</v>
      </c>
      <c r="AF4">
        <v>103804.36577032231</v>
      </c>
      <c r="AG4">
        <v>1545.520451737769</v>
      </c>
      <c r="AH4">
        <f t="shared" ref="AH4:AH13" si="7">AF4/AG4</f>
        <v>67.164666539097325</v>
      </c>
    </row>
    <row r="5" spans="2:42" ht="19.5" customHeight="1" x14ac:dyDescent="0.25">
      <c r="B5" s="2" t="s">
        <v>64</v>
      </c>
      <c r="C5" s="2">
        <v>0.6</v>
      </c>
      <c r="E5" s="2" t="s">
        <v>88</v>
      </c>
      <c r="F5" s="2">
        <v>81</v>
      </c>
      <c r="G5" s="2">
        <v>0.254</v>
      </c>
      <c r="H5" s="2">
        <v>0.15</v>
      </c>
      <c r="I5" s="2">
        <v>52</v>
      </c>
      <c r="J5" s="2">
        <v>46.4</v>
      </c>
      <c r="K5" s="2">
        <f>10*(G5-H5)</f>
        <v>1.04</v>
      </c>
      <c r="L5" s="18"/>
      <c r="M5" s="2">
        <v>2016</v>
      </c>
      <c r="N5" s="2" t="s">
        <v>64</v>
      </c>
      <c r="O5" s="2" t="s">
        <v>89</v>
      </c>
      <c r="P5" s="2" t="str">
        <f>O5</f>
        <v>S1</v>
      </c>
      <c r="Q5" s="1">
        <v>5.6030118129227517</v>
      </c>
      <c r="R5" s="1">
        <v>86.162063365852021</v>
      </c>
      <c r="S5" s="1">
        <v>6.5028756207147103</v>
      </c>
      <c r="T5" s="1">
        <f t="shared" si="0"/>
        <v>0.6</v>
      </c>
      <c r="U5" s="1">
        <f t="shared" si="1"/>
        <v>109</v>
      </c>
      <c r="V5" s="1">
        <f t="shared" si="2"/>
        <v>1.0900000000000001</v>
      </c>
      <c r="W5" s="1">
        <f t="shared" si="3"/>
        <v>0.6</v>
      </c>
      <c r="X5" s="1">
        <f t="shared" si="4"/>
        <v>1.1699999999999997</v>
      </c>
      <c r="Y5" s="1">
        <f t="shared" si="5"/>
        <v>70.199999999999989</v>
      </c>
      <c r="Z5" s="1">
        <f t="shared" si="6"/>
        <v>393.3314292671771</v>
      </c>
      <c r="AB5" s="7">
        <v>2017</v>
      </c>
      <c r="AC5">
        <v>104376.24176957001</v>
      </c>
      <c r="AD5">
        <v>1550.0446681400711</v>
      </c>
      <c r="AE5">
        <v>2017</v>
      </c>
      <c r="AF5">
        <v>104376.24176957001</v>
      </c>
      <c r="AG5">
        <v>1550.0446681400711</v>
      </c>
      <c r="AH5">
        <f t="shared" si="7"/>
        <v>67.337570274547701</v>
      </c>
    </row>
    <row r="6" spans="2:42" ht="15.75" x14ac:dyDescent="0.25">
      <c r="B6" s="2" t="s">
        <v>63</v>
      </c>
      <c r="C6" s="2">
        <v>0.7</v>
      </c>
      <c r="E6" s="2" t="s">
        <v>87</v>
      </c>
      <c r="F6" s="2">
        <v>59</v>
      </c>
      <c r="G6" s="2">
        <v>0.24</v>
      </c>
      <c r="H6" s="2">
        <v>0.14000000000000001</v>
      </c>
      <c r="I6" s="2">
        <v>49</v>
      </c>
      <c r="J6" s="2">
        <v>38.6</v>
      </c>
      <c r="K6" s="2">
        <f>10*(G6-H6)</f>
        <v>0.99999999999999978</v>
      </c>
      <c r="L6" s="18"/>
      <c r="M6" s="2">
        <v>2016</v>
      </c>
      <c r="N6" s="2" t="s">
        <v>64</v>
      </c>
      <c r="O6" s="2" t="s">
        <v>88</v>
      </c>
      <c r="P6" s="2" t="str">
        <f>O6</f>
        <v>S2</v>
      </c>
      <c r="Q6" s="1">
        <v>39.206095638516793</v>
      </c>
      <c r="R6" s="1">
        <v>86.162063365852021</v>
      </c>
      <c r="S6" s="1">
        <v>45.502735318726202</v>
      </c>
      <c r="T6" s="1">
        <f t="shared" si="0"/>
        <v>0.6</v>
      </c>
      <c r="U6" s="1">
        <f t="shared" si="1"/>
        <v>81</v>
      </c>
      <c r="V6" s="1">
        <f t="shared" si="2"/>
        <v>0.81</v>
      </c>
      <c r="W6" s="1">
        <f t="shared" si="3"/>
        <v>0.6</v>
      </c>
      <c r="X6" s="1">
        <f t="shared" si="4"/>
        <v>1.04</v>
      </c>
      <c r="Y6" s="1">
        <f t="shared" si="5"/>
        <v>62.4</v>
      </c>
      <c r="Z6" s="1">
        <f t="shared" si="6"/>
        <v>2446.4603678434478</v>
      </c>
      <c r="AB6" s="7">
        <v>2018</v>
      </c>
      <c r="AC6">
        <v>104246.77545639416</v>
      </c>
      <c r="AD6">
        <v>1542.0221847762134</v>
      </c>
      <c r="AE6">
        <v>2018</v>
      </c>
      <c r="AF6">
        <v>104246.77545639416</v>
      </c>
      <c r="AG6">
        <v>1542.0221847762134</v>
      </c>
      <c r="AH6">
        <f t="shared" si="7"/>
        <v>67.603940128476822</v>
      </c>
    </row>
    <row r="7" spans="2:42" ht="15.75" x14ac:dyDescent="0.25">
      <c r="B7" s="2" t="s">
        <v>69</v>
      </c>
      <c r="C7" s="2">
        <v>0.6</v>
      </c>
      <c r="E7" s="2" t="s">
        <v>90</v>
      </c>
      <c r="F7" s="2">
        <v>41</v>
      </c>
      <c r="G7" s="2">
        <v>0.224</v>
      </c>
      <c r="H7" s="2">
        <v>0.126</v>
      </c>
      <c r="I7" s="2">
        <v>40</v>
      </c>
      <c r="J7" s="2">
        <v>4.2</v>
      </c>
      <c r="K7" s="2">
        <f>10*(G7-H7)</f>
        <v>0.98</v>
      </c>
      <c r="L7" s="18"/>
      <c r="M7" s="2">
        <v>2016</v>
      </c>
      <c r="N7" s="2" t="s">
        <v>64</v>
      </c>
      <c r="O7" s="2" t="s">
        <v>87</v>
      </c>
      <c r="P7" s="2" t="str">
        <f>O7</f>
        <v>S3</v>
      </c>
      <c r="Q7" s="1">
        <v>38.957243448193317</v>
      </c>
      <c r="R7" s="1">
        <v>86.162063365852021</v>
      </c>
      <c r="S7" s="1">
        <v>45.213916573442887</v>
      </c>
      <c r="T7" s="1">
        <f t="shared" si="0"/>
        <v>0.6</v>
      </c>
      <c r="U7" s="1">
        <f t="shared" si="1"/>
        <v>59</v>
      </c>
      <c r="V7" s="1">
        <f t="shared" si="2"/>
        <v>0.59</v>
      </c>
      <c r="W7" s="1">
        <f t="shared" si="3"/>
        <v>0.59</v>
      </c>
      <c r="X7" s="1">
        <f t="shared" si="4"/>
        <v>0.99999999999999978</v>
      </c>
      <c r="Y7" s="1">
        <f t="shared" si="5"/>
        <v>58.999999999999986</v>
      </c>
      <c r="Z7" s="1">
        <f t="shared" si="6"/>
        <v>2298.477363443405</v>
      </c>
      <c r="AB7" s="7">
        <v>2019</v>
      </c>
      <c r="AC7">
        <v>104816.3588627162</v>
      </c>
      <c r="AD7">
        <v>1542.0221847762134</v>
      </c>
      <c r="AE7">
        <v>2019</v>
      </c>
      <c r="AF7">
        <v>104816.3588627162</v>
      </c>
      <c r="AG7">
        <v>1542.0221847762134</v>
      </c>
      <c r="AH7">
        <f t="shared" si="7"/>
        <v>67.973314455218244</v>
      </c>
    </row>
    <row r="8" spans="2:42" x14ac:dyDescent="0.25">
      <c r="B8" s="2" t="s">
        <v>62</v>
      </c>
      <c r="C8" s="2">
        <v>1</v>
      </c>
      <c r="M8" s="2">
        <v>2016</v>
      </c>
      <c r="N8" s="2" t="s">
        <v>63</v>
      </c>
      <c r="O8" s="2" t="s">
        <v>91</v>
      </c>
      <c r="P8" s="2" t="s">
        <v>90</v>
      </c>
      <c r="Q8" s="1">
        <v>0.81287046447513356</v>
      </c>
      <c r="R8" s="1">
        <v>84.586985591175548</v>
      </c>
      <c r="S8" s="1">
        <v>0.9609876256897083</v>
      </c>
      <c r="T8" s="1">
        <f t="shared" si="0"/>
        <v>0.7</v>
      </c>
      <c r="U8" s="1">
        <f t="shared" si="1"/>
        <v>41</v>
      </c>
      <c r="V8" s="1">
        <f t="shared" si="2"/>
        <v>0.41</v>
      </c>
      <c r="W8" s="1">
        <f t="shared" si="3"/>
        <v>0.41</v>
      </c>
      <c r="X8" s="1">
        <f t="shared" si="4"/>
        <v>0.98</v>
      </c>
      <c r="Y8" s="1">
        <f t="shared" si="5"/>
        <v>40.18</v>
      </c>
      <c r="Z8" s="1">
        <f t="shared" si="6"/>
        <v>32.661135262610863</v>
      </c>
      <c r="AB8" s="7">
        <v>2020</v>
      </c>
      <c r="AC8">
        <v>107220.46914983245</v>
      </c>
      <c r="AD8">
        <v>1578.8449218652083</v>
      </c>
      <c r="AE8">
        <v>2020</v>
      </c>
      <c r="AF8">
        <v>107220.46914983245</v>
      </c>
      <c r="AG8">
        <v>1578.8449218652083</v>
      </c>
      <c r="AH8">
        <f t="shared" si="7"/>
        <v>67.910703366081606</v>
      </c>
    </row>
    <row r="9" spans="2:42" x14ac:dyDescent="0.25">
      <c r="B9" s="2" t="s">
        <v>60</v>
      </c>
      <c r="C9" s="2">
        <v>0.6</v>
      </c>
      <c r="M9" s="2">
        <v>2016</v>
      </c>
      <c r="N9" s="2" t="s">
        <v>63</v>
      </c>
      <c r="O9" s="2" t="s">
        <v>89</v>
      </c>
      <c r="P9" s="2" t="str">
        <f>O9</f>
        <v>S1</v>
      </c>
      <c r="Q9" s="1">
        <v>12.803480333514919</v>
      </c>
      <c r="R9" s="1">
        <v>84.586985591175548</v>
      </c>
      <c r="S9" s="1">
        <v>15.136466022558711</v>
      </c>
      <c r="T9" s="1">
        <f t="shared" si="0"/>
        <v>0.7</v>
      </c>
      <c r="U9" s="1">
        <f t="shared" si="1"/>
        <v>109</v>
      </c>
      <c r="V9" s="1">
        <f t="shared" si="2"/>
        <v>1.0900000000000001</v>
      </c>
      <c r="W9" s="1">
        <f t="shared" si="3"/>
        <v>0.7</v>
      </c>
      <c r="X9" s="1">
        <f t="shared" si="4"/>
        <v>1.1699999999999997</v>
      </c>
      <c r="Y9" s="1">
        <f t="shared" si="5"/>
        <v>81.899999999999977</v>
      </c>
      <c r="Z9" s="1">
        <f t="shared" si="6"/>
        <v>1048.6050393148716</v>
      </c>
      <c r="AB9" s="7">
        <v>2021</v>
      </c>
      <c r="AC9">
        <v>100568.81234686336</v>
      </c>
      <c r="AD9">
        <v>1510.4611913668134</v>
      </c>
      <c r="AE9">
        <v>2021</v>
      </c>
      <c r="AF9">
        <v>100568.81234686336</v>
      </c>
      <c r="AG9">
        <v>1510.4611913668134</v>
      </c>
      <c r="AH9">
        <f t="shared" si="7"/>
        <v>66.581526835428875</v>
      </c>
    </row>
    <row r="10" spans="2:42" x14ac:dyDescent="0.25">
      <c r="B10" s="2" t="s">
        <v>59</v>
      </c>
      <c r="C10" s="2">
        <v>0.6</v>
      </c>
      <c r="M10" s="2">
        <v>2016</v>
      </c>
      <c r="N10" s="2" t="s">
        <v>63</v>
      </c>
      <c r="O10" s="2" t="s">
        <v>88</v>
      </c>
      <c r="P10" s="2" t="str">
        <f>O10</f>
        <v>S2</v>
      </c>
      <c r="Q10" s="1">
        <v>52.394497803108372</v>
      </c>
      <c r="R10" s="1">
        <v>84.586985591175548</v>
      </c>
      <c r="S10" s="1">
        <v>61.941559256338323</v>
      </c>
      <c r="T10" s="1">
        <f t="shared" si="0"/>
        <v>0.7</v>
      </c>
      <c r="U10" s="1">
        <f t="shared" si="1"/>
        <v>81</v>
      </c>
      <c r="V10" s="1">
        <f t="shared" si="2"/>
        <v>0.81</v>
      </c>
      <c r="W10" s="1">
        <f t="shared" si="3"/>
        <v>0.7</v>
      </c>
      <c r="X10" s="1">
        <f t="shared" si="4"/>
        <v>1.04</v>
      </c>
      <c r="Y10" s="1">
        <f t="shared" si="5"/>
        <v>72.8</v>
      </c>
      <c r="Z10" s="1">
        <f t="shared" si="6"/>
        <v>3814.3194400662892</v>
      </c>
      <c r="AB10" s="7">
        <v>2022</v>
      </c>
      <c r="AC10">
        <v>113675.69269075853</v>
      </c>
      <c r="AD10">
        <v>1676.3208586162577</v>
      </c>
      <c r="AE10">
        <v>2022</v>
      </c>
      <c r="AF10">
        <v>113675.69269075853</v>
      </c>
      <c r="AG10" s="17">
        <v>1676.3208586162577</v>
      </c>
      <c r="AH10">
        <f t="shared" si="7"/>
        <v>67.81261004208568</v>
      </c>
      <c r="AI10" s="17"/>
      <c r="AJ10" s="17"/>
      <c r="AK10" s="17"/>
      <c r="AL10" s="17"/>
      <c r="AM10" s="17"/>
      <c r="AN10" s="17"/>
      <c r="AO10" s="17"/>
      <c r="AP10" s="17"/>
    </row>
    <row r="11" spans="2:42" x14ac:dyDescent="0.25">
      <c r="B11" s="2" t="s">
        <v>61</v>
      </c>
      <c r="C11" s="2">
        <v>0.6</v>
      </c>
      <c r="M11" s="2">
        <v>2016</v>
      </c>
      <c r="N11" s="2" t="s">
        <v>63</v>
      </c>
      <c r="O11" s="2" t="s">
        <v>87</v>
      </c>
      <c r="P11" s="2" t="str">
        <f>O11</f>
        <v>S3</v>
      </c>
      <c r="Q11" s="1">
        <v>18.576136990077131</v>
      </c>
      <c r="R11" s="1">
        <v>84.586985591175548</v>
      </c>
      <c r="S11" s="1">
        <v>21.960987095413248</v>
      </c>
      <c r="T11" s="1">
        <f t="shared" si="0"/>
        <v>0.7</v>
      </c>
      <c r="U11" s="1">
        <f t="shared" si="1"/>
        <v>59</v>
      </c>
      <c r="V11" s="1">
        <f t="shared" si="2"/>
        <v>0.59</v>
      </c>
      <c r="W11" s="1">
        <f t="shared" si="3"/>
        <v>0.59</v>
      </c>
      <c r="X11" s="1">
        <f t="shared" si="4"/>
        <v>0.99999999999999978</v>
      </c>
      <c r="Y11" s="1">
        <f t="shared" si="5"/>
        <v>58.999999999999986</v>
      </c>
      <c r="Z11" s="1">
        <f t="shared" si="6"/>
        <v>1095.9920824145504</v>
      </c>
      <c r="AB11" s="7">
        <v>2023</v>
      </c>
      <c r="AC11">
        <v>119317.91053887921</v>
      </c>
      <c r="AD11">
        <v>1733.5500978991922</v>
      </c>
      <c r="AE11">
        <v>2023</v>
      </c>
      <c r="AF11">
        <v>119317.91053887921</v>
      </c>
      <c r="AG11" s="17">
        <v>1733.5500978991922</v>
      </c>
      <c r="AH11">
        <f t="shared" si="7"/>
        <v>68.828648611583233</v>
      </c>
      <c r="AI11" s="17"/>
      <c r="AJ11" s="17"/>
      <c r="AK11" s="17"/>
      <c r="AL11" s="17"/>
      <c r="AM11" s="17"/>
      <c r="AN11" s="17"/>
      <c r="AO11" s="17"/>
      <c r="AP11" s="17"/>
    </row>
    <row r="12" spans="2:42" x14ac:dyDescent="0.25">
      <c r="B12" s="2" t="s">
        <v>58</v>
      </c>
      <c r="C12" s="2">
        <v>1</v>
      </c>
      <c r="M12" s="2">
        <v>2016</v>
      </c>
      <c r="N12" s="2" t="s">
        <v>62</v>
      </c>
      <c r="O12" s="2" t="s">
        <v>92</v>
      </c>
      <c r="P12" s="2" t="s">
        <v>90</v>
      </c>
      <c r="Q12" s="1">
        <v>1.8977526839733281</v>
      </c>
      <c r="R12" s="1">
        <v>144.61536789027591</v>
      </c>
      <c r="S12" s="1">
        <v>1.31227594387701</v>
      </c>
      <c r="T12" s="1">
        <f t="shared" si="0"/>
        <v>1</v>
      </c>
      <c r="U12" s="1">
        <f t="shared" si="1"/>
        <v>41</v>
      </c>
      <c r="V12" s="1">
        <f t="shared" si="2"/>
        <v>0.41</v>
      </c>
      <c r="W12" s="1">
        <f t="shared" si="3"/>
        <v>0.41</v>
      </c>
      <c r="X12" s="1">
        <f t="shared" si="4"/>
        <v>0.98</v>
      </c>
      <c r="Y12" s="1">
        <f t="shared" si="5"/>
        <v>40.18</v>
      </c>
      <c r="Z12" s="1">
        <f t="shared" si="6"/>
        <v>76.251702842048317</v>
      </c>
      <c r="AB12" s="7">
        <v>2024</v>
      </c>
      <c r="AC12">
        <v>120519.97333483949</v>
      </c>
      <c r="AD12">
        <v>1748.8122600675097</v>
      </c>
      <c r="AE12">
        <v>2024</v>
      </c>
      <c r="AF12">
        <v>120519.97333483949</v>
      </c>
      <c r="AG12" s="16">
        <v>1748.8122600675097</v>
      </c>
      <c r="AH12">
        <f t="shared" si="7"/>
        <v>68.915329613589876</v>
      </c>
      <c r="AI12" s="16"/>
      <c r="AJ12" s="16"/>
      <c r="AK12" s="16"/>
      <c r="AL12" s="16"/>
      <c r="AM12" s="16"/>
      <c r="AN12" s="16"/>
      <c r="AO12" s="16"/>
      <c r="AP12" s="16"/>
    </row>
    <row r="13" spans="2:42" x14ac:dyDescent="0.25">
      <c r="M13" s="2">
        <v>2016</v>
      </c>
      <c r="N13" s="2" t="s">
        <v>62</v>
      </c>
      <c r="O13" s="2" t="s">
        <v>91</v>
      </c>
      <c r="P13" s="2" t="s">
        <v>90</v>
      </c>
      <c r="Q13" s="1">
        <v>0.31127806736506458</v>
      </c>
      <c r="R13" s="1">
        <v>144.61536789027591</v>
      </c>
      <c r="S13" s="1">
        <v>0.2152454970077875</v>
      </c>
      <c r="T13" s="1">
        <f t="shared" si="0"/>
        <v>1</v>
      </c>
      <c r="U13" s="1">
        <f t="shared" si="1"/>
        <v>41</v>
      </c>
      <c r="V13" s="1">
        <f t="shared" si="2"/>
        <v>0.41</v>
      </c>
      <c r="W13" s="1">
        <f t="shared" si="3"/>
        <v>0.41</v>
      </c>
      <c r="X13" s="1">
        <f t="shared" si="4"/>
        <v>0.98</v>
      </c>
      <c r="Y13" s="1">
        <f t="shared" si="5"/>
        <v>40.18</v>
      </c>
      <c r="Z13" s="1">
        <f t="shared" si="6"/>
        <v>12.507152746728295</v>
      </c>
      <c r="AB13" s="7">
        <v>2025</v>
      </c>
      <c r="AC13">
        <v>121535.65568481896</v>
      </c>
      <c r="AD13">
        <v>1760.924320727989</v>
      </c>
      <c r="AE13">
        <v>2025</v>
      </c>
      <c r="AF13">
        <v>121535.65568481896</v>
      </c>
      <c r="AG13">
        <v>1760.924320727989</v>
      </c>
      <c r="AH13">
        <f t="shared" si="7"/>
        <v>69.018102739687606</v>
      </c>
    </row>
    <row r="14" spans="2:42" x14ac:dyDescent="0.25">
      <c r="M14" s="2">
        <v>2016</v>
      </c>
      <c r="N14" s="2" t="s">
        <v>62</v>
      </c>
      <c r="O14" s="2" t="s">
        <v>89</v>
      </c>
      <c r="P14" s="2" t="str">
        <f t="shared" ref="P14:P19" si="8">O14</f>
        <v>S1</v>
      </c>
      <c r="Q14" s="1">
        <v>22.20406942202391</v>
      </c>
      <c r="R14" s="1">
        <v>144.61536789027591</v>
      </c>
      <c r="S14" s="1">
        <v>15.353879567537261</v>
      </c>
      <c r="T14" s="1">
        <f t="shared" si="0"/>
        <v>1</v>
      </c>
      <c r="U14" s="1">
        <f t="shared" si="1"/>
        <v>109</v>
      </c>
      <c r="V14" s="1">
        <f t="shared" si="2"/>
        <v>1.0900000000000001</v>
      </c>
      <c r="W14" s="1">
        <f t="shared" si="3"/>
        <v>1</v>
      </c>
      <c r="X14" s="1">
        <f t="shared" si="4"/>
        <v>1.1699999999999997</v>
      </c>
      <c r="Y14" s="1">
        <f t="shared" si="5"/>
        <v>116.99999999999997</v>
      </c>
      <c r="Z14" s="1">
        <f t="shared" si="6"/>
        <v>2597.876122376797</v>
      </c>
    </row>
    <row r="15" spans="2:42" x14ac:dyDescent="0.25">
      <c r="M15" s="2">
        <v>2016</v>
      </c>
      <c r="N15" s="2" t="s">
        <v>62</v>
      </c>
      <c r="O15" s="2" t="s">
        <v>88</v>
      </c>
      <c r="P15" s="2" t="str">
        <f t="shared" si="8"/>
        <v>S2</v>
      </c>
      <c r="Q15" s="1">
        <v>90.895999168663451</v>
      </c>
      <c r="R15" s="1">
        <v>144.61536789027591</v>
      </c>
      <c r="S15" s="1">
        <v>62.853623715585357</v>
      </c>
      <c r="T15" s="1">
        <f t="shared" si="0"/>
        <v>1</v>
      </c>
      <c r="U15" s="1">
        <f t="shared" si="1"/>
        <v>81</v>
      </c>
      <c r="V15" s="1">
        <f t="shared" si="2"/>
        <v>0.81</v>
      </c>
      <c r="W15" s="1">
        <f t="shared" si="3"/>
        <v>0.81</v>
      </c>
      <c r="X15" s="1">
        <f t="shared" si="4"/>
        <v>1.04</v>
      </c>
      <c r="Y15" s="1">
        <f t="shared" si="5"/>
        <v>84.240000000000009</v>
      </c>
      <c r="Z15" s="1">
        <f t="shared" si="6"/>
        <v>7657.07896996821</v>
      </c>
      <c r="AG15" s="16"/>
      <c r="AH15" s="16"/>
      <c r="AI15" s="16"/>
      <c r="AJ15" s="16"/>
      <c r="AK15" s="16"/>
      <c r="AL15" s="16"/>
      <c r="AM15" s="16"/>
      <c r="AN15" s="16"/>
      <c r="AO15" s="16"/>
      <c r="AP15" s="16"/>
    </row>
    <row r="16" spans="2:42" x14ac:dyDescent="0.25">
      <c r="M16" s="2">
        <v>2016</v>
      </c>
      <c r="N16" s="2" t="s">
        <v>62</v>
      </c>
      <c r="O16" s="2" t="s">
        <v>87</v>
      </c>
      <c r="P16" s="2" t="str">
        <f t="shared" si="8"/>
        <v>S3</v>
      </c>
      <c r="Q16" s="1">
        <v>29.30626854825012</v>
      </c>
      <c r="R16" s="1">
        <v>144.61536789027591</v>
      </c>
      <c r="S16" s="1">
        <v>20.26497527599258</v>
      </c>
      <c r="T16" s="1">
        <f t="shared" si="0"/>
        <v>1</v>
      </c>
      <c r="U16" s="1">
        <f t="shared" si="1"/>
        <v>59</v>
      </c>
      <c r="V16" s="1">
        <f t="shared" si="2"/>
        <v>0.59</v>
      </c>
      <c r="W16" s="1">
        <f t="shared" si="3"/>
        <v>0.59</v>
      </c>
      <c r="X16" s="1">
        <f t="shared" si="4"/>
        <v>0.99999999999999978</v>
      </c>
      <c r="Y16" s="1">
        <f t="shared" si="5"/>
        <v>58.999999999999986</v>
      </c>
      <c r="Z16" s="1">
        <f t="shared" si="6"/>
        <v>1729.0698443467568</v>
      </c>
    </row>
    <row r="17" spans="13:26" x14ac:dyDescent="0.25">
      <c r="M17" s="2">
        <v>2016</v>
      </c>
      <c r="N17" s="2" t="s">
        <v>61</v>
      </c>
      <c r="O17" s="2" t="s">
        <v>89</v>
      </c>
      <c r="P17" s="2" t="str">
        <f t="shared" si="8"/>
        <v>S1</v>
      </c>
      <c r="Q17" s="1">
        <v>7.7471967371413273</v>
      </c>
      <c r="R17" s="1">
        <v>69.467999239478104</v>
      </c>
      <c r="S17" s="1">
        <v>11.152180603955919</v>
      </c>
      <c r="T17" s="1">
        <f t="shared" si="0"/>
        <v>0.6</v>
      </c>
      <c r="U17" s="1">
        <f t="shared" si="1"/>
        <v>109</v>
      </c>
      <c r="V17" s="1">
        <f t="shared" si="2"/>
        <v>1.0900000000000001</v>
      </c>
      <c r="W17" s="1">
        <f t="shared" si="3"/>
        <v>0.6</v>
      </c>
      <c r="X17" s="1">
        <f t="shared" si="4"/>
        <v>1.1699999999999997</v>
      </c>
      <c r="Y17" s="1">
        <f t="shared" si="5"/>
        <v>70.199999999999989</v>
      </c>
      <c r="Z17" s="1">
        <f t="shared" si="6"/>
        <v>543.85321094732103</v>
      </c>
    </row>
    <row r="18" spans="13:26" x14ac:dyDescent="0.25">
      <c r="M18" s="2">
        <v>2016</v>
      </c>
      <c r="N18" s="2" t="s">
        <v>61</v>
      </c>
      <c r="O18" s="2" t="s">
        <v>88</v>
      </c>
      <c r="P18" s="2" t="str">
        <f t="shared" si="8"/>
        <v>S2</v>
      </c>
      <c r="Q18" s="1">
        <v>52.815683314845778</v>
      </c>
      <c r="R18" s="1">
        <v>69.467999239478104</v>
      </c>
      <c r="S18" s="1">
        <v>76.028795838460042</v>
      </c>
      <c r="T18" s="1">
        <f t="shared" si="0"/>
        <v>0.6</v>
      </c>
      <c r="U18" s="1">
        <f t="shared" si="1"/>
        <v>81</v>
      </c>
      <c r="V18" s="1">
        <f t="shared" si="2"/>
        <v>0.81</v>
      </c>
      <c r="W18" s="1">
        <f t="shared" si="3"/>
        <v>0.6</v>
      </c>
      <c r="X18" s="1">
        <f t="shared" si="4"/>
        <v>1.04</v>
      </c>
      <c r="Y18" s="1">
        <f t="shared" si="5"/>
        <v>62.4</v>
      </c>
      <c r="Z18" s="1">
        <f t="shared" si="6"/>
        <v>3295.6986388463765</v>
      </c>
    </row>
    <row r="19" spans="13:26" x14ac:dyDescent="0.25">
      <c r="M19" s="2">
        <v>2016</v>
      </c>
      <c r="N19" s="2" t="s">
        <v>61</v>
      </c>
      <c r="O19" s="2" t="s">
        <v>87</v>
      </c>
      <c r="P19" s="2" t="str">
        <f t="shared" si="8"/>
        <v>S3</v>
      </c>
      <c r="Q19" s="1">
        <v>8.9051191874909854</v>
      </c>
      <c r="R19" s="1">
        <v>69.467999239478104</v>
      </c>
      <c r="S19" s="1">
        <v>12.819023557584019</v>
      </c>
      <c r="T19" s="1">
        <f t="shared" si="0"/>
        <v>0.6</v>
      </c>
      <c r="U19" s="1">
        <f t="shared" si="1"/>
        <v>59</v>
      </c>
      <c r="V19" s="1">
        <f t="shared" si="2"/>
        <v>0.59</v>
      </c>
      <c r="W19" s="1">
        <f t="shared" si="3"/>
        <v>0.59</v>
      </c>
      <c r="X19" s="1">
        <f t="shared" si="4"/>
        <v>0.99999999999999978</v>
      </c>
      <c r="Y19" s="1">
        <f t="shared" si="5"/>
        <v>58.999999999999986</v>
      </c>
      <c r="Z19" s="1">
        <f t="shared" si="6"/>
        <v>525.40203206196804</v>
      </c>
    </row>
    <row r="20" spans="13:26" x14ac:dyDescent="0.25">
      <c r="M20" s="2">
        <v>2016</v>
      </c>
      <c r="N20" s="2" t="s">
        <v>60</v>
      </c>
      <c r="O20" s="2" t="s">
        <v>92</v>
      </c>
      <c r="P20" s="2" t="s">
        <v>90</v>
      </c>
      <c r="Q20" s="1">
        <v>0.27743819546739251</v>
      </c>
      <c r="R20" s="1">
        <v>308.72395152890567</v>
      </c>
      <c r="S20" s="1">
        <v>8.9866106628081324E-2</v>
      </c>
      <c r="T20" s="1">
        <f t="shared" si="0"/>
        <v>0.6</v>
      </c>
      <c r="U20" s="1">
        <f t="shared" si="1"/>
        <v>41</v>
      </c>
      <c r="V20" s="1">
        <f t="shared" si="2"/>
        <v>0.41</v>
      </c>
      <c r="W20" s="1">
        <f t="shared" si="3"/>
        <v>0.41</v>
      </c>
      <c r="X20" s="1">
        <f t="shared" si="4"/>
        <v>0.98</v>
      </c>
      <c r="Y20" s="1">
        <f t="shared" si="5"/>
        <v>40.18</v>
      </c>
      <c r="Z20" s="1">
        <f t="shared" si="6"/>
        <v>11.147466693879831</v>
      </c>
    </row>
    <row r="21" spans="13:26" x14ac:dyDescent="0.25">
      <c r="M21" s="2">
        <v>2016</v>
      </c>
      <c r="N21" s="2" t="s">
        <v>60</v>
      </c>
      <c r="O21" s="2" t="s">
        <v>91</v>
      </c>
      <c r="P21" s="2" t="s">
        <v>90</v>
      </c>
      <c r="Q21" s="1">
        <v>7.4883093095167913E-2</v>
      </c>
      <c r="R21" s="1">
        <v>308.72395152890567</v>
      </c>
      <c r="S21" s="1">
        <v>2.4255679782641239E-2</v>
      </c>
      <c r="T21" s="1">
        <f t="shared" si="0"/>
        <v>0.6</v>
      </c>
      <c r="U21" s="1">
        <f t="shared" si="1"/>
        <v>41</v>
      </c>
      <c r="V21" s="1">
        <f t="shared" si="2"/>
        <v>0.41</v>
      </c>
      <c r="W21" s="1">
        <f t="shared" si="3"/>
        <v>0.41</v>
      </c>
      <c r="X21" s="1">
        <f t="shared" si="4"/>
        <v>0.98</v>
      </c>
      <c r="Y21" s="1">
        <f t="shared" si="5"/>
        <v>40.18</v>
      </c>
      <c r="Z21" s="1">
        <f t="shared" si="6"/>
        <v>3.0088026805638468</v>
      </c>
    </row>
    <row r="22" spans="13:26" x14ac:dyDescent="0.25">
      <c r="M22" s="2">
        <v>2016</v>
      </c>
      <c r="N22" s="2" t="s">
        <v>60</v>
      </c>
      <c r="O22" s="2" t="s">
        <v>89</v>
      </c>
      <c r="P22" s="2" t="str">
        <f>O22</f>
        <v>S1</v>
      </c>
      <c r="Q22" s="1">
        <v>31.05331898998201</v>
      </c>
      <c r="R22" s="1">
        <v>308.72395152890567</v>
      </c>
      <c r="S22" s="1">
        <v>10.05860375788644</v>
      </c>
      <c r="T22" s="1">
        <f t="shared" si="0"/>
        <v>0.6</v>
      </c>
      <c r="U22" s="1">
        <f t="shared" si="1"/>
        <v>109</v>
      </c>
      <c r="V22" s="1">
        <f t="shared" si="2"/>
        <v>1.0900000000000001</v>
      </c>
      <c r="W22" s="1">
        <f t="shared" si="3"/>
        <v>0.6</v>
      </c>
      <c r="X22" s="1">
        <f t="shared" si="4"/>
        <v>1.1699999999999997</v>
      </c>
      <c r="Y22" s="1">
        <f t="shared" si="5"/>
        <v>70.199999999999989</v>
      </c>
      <c r="Z22" s="1">
        <f t="shared" si="6"/>
        <v>2179.9429930967367</v>
      </c>
    </row>
    <row r="23" spans="13:26" x14ac:dyDescent="0.25">
      <c r="M23" s="2">
        <v>2016</v>
      </c>
      <c r="N23" s="2" t="s">
        <v>60</v>
      </c>
      <c r="O23" s="2" t="s">
        <v>88</v>
      </c>
      <c r="P23" s="2" t="str">
        <f>O23</f>
        <v>S2</v>
      </c>
      <c r="Q23" s="1">
        <v>167.8586371107256</v>
      </c>
      <c r="R23" s="1">
        <v>308.72395152890567</v>
      </c>
      <c r="S23" s="1">
        <v>54.371757124587432</v>
      </c>
      <c r="T23" s="1">
        <f t="shared" si="0"/>
        <v>0.6</v>
      </c>
      <c r="U23" s="1">
        <f t="shared" si="1"/>
        <v>81</v>
      </c>
      <c r="V23" s="1">
        <f t="shared" si="2"/>
        <v>0.81</v>
      </c>
      <c r="W23" s="1">
        <f t="shared" si="3"/>
        <v>0.6</v>
      </c>
      <c r="X23" s="1">
        <f t="shared" si="4"/>
        <v>1.04</v>
      </c>
      <c r="Y23" s="1">
        <f t="shared" si="5"/>
        <v>62.4</v>
      </c>
      <c r="Z23" s="1">
        <f t="shared" si="6"/>
        <v>10474.378955709277</v>
      </c>
    </row>
    <row r="24" spans="13:26" x14ac:dyDescent="0.25">
      <c r="M24" s="2">
        <v>2016</v>
      </c>
      <c r="N24" s="2" t="s">
        <v>60</v>
      </c>
      <c r="O24" s="2" t="s">
        <v>87</v>
      </c>
      <c r="P24" s="2" t="str">
        <f>O24</f>
        <v>S3</v>
      </c>
      <c r="Q24" s="1">
        <v>109.4596741396355</v>
      </c>
      <c r="R24" s="1">
        <v>308.72395152890567</v>
      </c>
      <c r="S24" s="1">
        <v>35.455517331115423</v>
      </c>
      <c r="T24" s="1">
        <f t="shared" si="0"/>
        <v>0.6</v>
      </c>
      <c r="U24" s="1">
        <f t="shared" si="1"/>
        <v>59</v>
      </c>
      <c r="V24" s="1">
        <f t="shared" si="2"/>
        <v>0.59</v>
      </c>
      <c r="W24" s="1">
        <f t="shared" si="3"/>
        <v>0.59</v>
      </c>
      <c r="X24" s="1">
        <f t="shared" si="4"/>
        <v>0.99999999999999978</v>
      </c>
      <c r="Y24" s="1">
        <f t="shared" si="5"/>
        <v>58.999999999999986</v>
      </c>
      <c r="Z24" s="1">
        <f t="shared" si="6"/>
        <v>6458.1207742384931</v>
      </c>
    </row>
    <row r="25" spans="13:26" x14ac:dyDescent="0.25">
      <c r="M25" s="2">
        <v>2016</v>
      </c>
      <c r="N25" s="2" t="s">
        <v>59</v>
      </c>
      <c r="O25" s="2" t="s">
        <v>91</v>
      </c>
      <c r="P25" s="2" t="s">
        <v>90</v>
      </c>
      <c r="Q25" s="1">
        <v>0.27323829650385978</v>
      </c>
      <c r="R25" s="1">
        <v>708.58388490072753</v>
      </c>
      <c r="S25" s="1">
        <v>3.8561178475310723E-2</v>
      </c>
      <c r="T25" s="1">
        <f t="shared" si="0"/>
        <v>0.6</v>
      </c>
      <c r="U25" s="1">
        <f t="shared" si="1"/>
        <v>41</v>
      </c>
      <c r="V25" s="1">
        <f t="shared" si="2"/>
        <v>0.41</v>
      </c>
      <c r="W25" s="1">
        <f t="shared" si="3"/>
        <v>0.41</v>
      </c>
      <c r="X25" s="1">
        <f t="shared" si="4"/>
        <v>0.98</v>
      </c>
      <c r="Y25" s="1">
        <f t="shared" si="5"/>
        <v>40.18</v>
      </c>
      <c r="Z25" s="1">
        <f t="shared" si="6"/>
        <v>10.978714753525086</v>
      </c>
    </row>
    <row r="26" spans="13:26" x14ac:dyDescent="0.25">
      <c r="M26" s="2">
        <v>2016</v>
      </c>
      <c r="N26" s="2" t="s">
        <v>59</v>
      </c>
      <c r="O26" s="2" t="s">
        <v>89</v>
      </c>
      <c r="P26" s="2" t="str">
        <f>O26</f>
        <v>S1</v>
      </c>
      <c r="Q26" s="1">
        <v>127.04570272738481</v>
      </c>
      <c r="R26" s="1">
        <v>708.58388490072753</v>
      </c>
      <c r="S26" s="1">
        <v>17.92952188648545</v>
      </c>
      <c r="T26" s="1">
        <f t="shared" si="0"/>
        <v>0.6</v>
      </c>
      <c r="U26" s="1">
        <f t="shared" si="1"/>
        <v>109</v>
      </c>
      <c r="V26" s="1">
        <f t="shared" si="2"/>
        <v>1.0900000000000001</v>
      </c>
      <c r="W26" s="1">
        <f t="shared" si="3"/>
        <v>0.6</v>
      </c>
      <c r="X26" s="1">
        <f t="shared" si="4"/>
        <v>1.1699999999999997</v>
      </c>
      <c r="Y26" s="1">
        <f t="shared" si="5"/>
        <v>70.199999999999989</v>
      </c>
      <c r="Z26" s="1">
        <f t="shared" si="6"/>
        <v>8918.608331462412</v>
      </c>
    </row>
    <row r="27" spans="13:26" x14ac:dyDescent="0.25">
      <c r="M27" s="2">
        <v>2016</v>
      </c>
      <c r="N27" s="2" t="s">
        <v>59</v>
      </c>
      <c r="O27" s="2" t="s">
        <v>88</v>
      </c>
      <c r="P27" s="2" t="str">
        <f>O27</f>
        <v>S2</v>
      </c>
      <c r="Q27" s="1">
        <v>448.85800342187258</v>
      </c>
      <c r="R27" s="1">
        <v>708.58388490072753</v>
      </c>
      <c r="S27" s="1">
        <v>63.345782057230608</v>
      </c>
      <c r="T27" s="1">
        <f t="shared" si="0"/>
        <v>0.6</v>
      </c>
      <c r="U27" s="1">
        <f t="shared" si="1"/>
        <v>81</v>
      </c>
      <c r="V27" s="1">
        <f t="shared" si="2"/>
        <v>0.81</v>
      </c>
      <c r="W27" s="1">
        <f t="shared" si="3"/>
        <v>0.6</v>
      </c>
      <c r="X27" s="1">
        <f t="shared" si="4"/>
        <v>1.04</v>
      </c>
      <c r="Y27" s="1">
        <f t="shared" si="5"/>
        <v>62.4</v>
      </c>
      <c r="Z27" s="1">
        <f t="shared" si="6"/>
        <v>28008.739413524847</v>
      </c>
    </row>
    <row r="28" spans="13:26" x14ac:dyDescent="0.25">
      <c r="M28" s="2">
        <v>2016</v>
      </c>
      <c r="N28" s="2" t="s">
        <v>59</v>
      </c>
      <c r="O28" s="2" t="s">
        <v>87</v>
      </c>
      <c r="P28" s="2" t="str">
        <f>O28</f>
        <v>S3</v>
      </c>
      <c r="Q28" s="1">
        <v>132.40694045496619</v>
      </c>
      <c r="R28" s="1">
        <v>708.58388490072753</v>
      </c>
      <c r="S28" s="1">
        <v>18.68613487780863</v>
      </c>
      <c r="T28" s="1">
        <f t="shared" si="0"/>
        <v>0.6</v>
      </c>
      <c r="U28" s="1">
        <f t="shared" si="1"/>
        <v>59</v>
      </c>
      <c r="V28" s="1">
        <f t="shared" si="2"/>
        <v>0.59</v>
      </c>
      <c r="W28" s="1">
        <f t="shared" si="3"/>
        <v>0.59</v>
      </c>
      <c r="X28" s="1">
        <f t="shared" si="4"/>
        <v>0.99999999999999978</v>
      </c>
      <c r="Y28" s="1">
        <f t="shared" si="5"/>
        <v>58.999999999999986</v>
      </c>
      <c r="Z28" s="1">
        <f t="shared" si="6"/>
        <v>7812.0094868430033</v>
      </c>
    </row>
    <row r="29" spans="13:26" x14ac:dyDescent="0.25">
      <c r="M29" s="2">
        <v>2016</v>
      </c>
      <c r="N29" s="2" t="s">
        <v>58</v>
      </c>
      <c r="O29" s="2" t="s">
        <v>91</v>
      </c>
      <c r="P29" s="2" t="s">
        <v>90</v>
      </c>
      <c r="Q29" s="1">
        <v>0.510724725922025</v>
      </c>
      <c r="R29" s="1">
        <v>143.38019922135439</v>
      </c>
      <c r="S29" s="1">
        <v>0.35620310802717858</v>
      </c>
      <c r="T29" s="1">
        <f t="shared" si="0"/>
        <v>1</v>
      </c>
      <c r="U29" s="1">
        <f t="shared" si="1"/>
        <v>41</v>
      </c>
      <c r="V29" s="1">
        <f t="shared" si="2"/>
        <v>0.41</v>
      </c>
      <c r="W29" s="1">
        <f t="shared" si="3"/>
        <v>0.41</v>
      </c>
      <c r="X29" s="1">
        <f t="shared" si="4"/>
        <v>0.98</v>
      </c>
      <c r="Y29" s="1">
        <f t="shared" si="5"/>
        <v>40.18</v>
      </c>
      <c r="Z29" s="1">
        <f t="shared" si="6"/>
        <v>20.520919487546966</v>
      </c>
    </row>
    <row r="30" spans="13:26" x14ac:dyDescent="0.25">
      <c r="M30" s="2">
        <v>2016</v>
      </c>
      <c r="N30" s="2" t="s">
        <v>58</v>
      </c>
      <c r="O30" s="2" t="s">
        <v>89</v>
      </c>
      <c r="P30" s="2" t="str">
        <f>O30</f>
        <v>S1</v>
      </c>
      <c r="Q30" s="1">
        <v>21.39123429202315</v>
      </c>
      <c r="R30" s="1">
        <v>143.38019922135439</v>
      </c>
      <c r="S30" s="1">
        <v>14.919238784846961</v>
      </c>
      <c r="T30" s="1">
        <f t="shared" si="0"/>
        <v>1</v>
      </c>
      <c r="U30" s="1">
        <f t="shared" si="1"/>
        <v>109</v>
      </c>
      <c r="V30" s="1">
        <f t="shared" si="2"/>
        <v>1.0900000000000001</v>
      </c>
      <c r="W30" s="1">
        <f t="shared" si="3"/>
        <v>1</v>
      </c>
      <c r="X30" s="1">
        <f t="shared" si="4"/>
        <v>1.1699999999999997</v>
      </c>
      <c r="Y30" s="1">
        <f t="shared" si="5"/>
        <v>116.99999999999997</v>
      </c>
      <c r="Z30" s="1">
        <f t="shared" si="6"/>
        <v>2502.7744121667079</v>
      </c>
    </row>
    <row r="31" spans="13:26" x14ac:dyDescent="0.25">
      <c r="M31" s="2">
        <v>2016</v>
      </c>
      <c r="N31" s="2" t="s">
        <v>58</v>
      </c>
      <c r="O31" s="2" t="s">
        <v>88</v>
      </c>
      <c r="P31" s="2" t="str">
        <f>O31</f>
        <v>S2</v>
      </c>
      <c r="Q31" s="1">
        <v>101.94433712452231</v>
      </c>
      <c r="R31" s="1">
        <v>143.38019922135439</v>
      </c>
      <c r="S31" s="1">
        <v>71.100708241545789</v>
      </c>
      <c r="T31" s="1">
        <f t="shared" si="0"/>
        <v>1</v>
      </c>
      <c r="U31" s="1">
        <f t="shared" si="1"/>
        <v>81</v>
      </c>
      <c r="V31" s="1">
        <f t="shared" si="2"/>
        <v>0.81</v>
      </c>
      <c r="W31" s="1">
        <f t="shared" si="3"/>
        <v>0.81</v>
      </c>
      <c r="X31" s="1">
        <f t="shared" si="4"/>
        <v>1.04</v>
      </c>
      <c r="Y31" s="1">
        <f t="shared" si="5"/>
        <v>84.240000000000009</v>
      </c>
      <c r="Z31" s="1">
        <f t="shared" si="6"/>
        <v>8587.7909593697605</v>
      </c>
    </row>
    <row r="32" spans="13:26" x14ac:dyDescent="0.25">
      <c r="M32" s="2">
        <v>2016</v>
      </c>
      <c r="N32" s="2" t="s">
        <v>58</v>
      </c>
      <c r="O32" s="2" t="s">
        <v>87</v>
      </c>
      <c r="P32" s="2" t="str">
        <f>O32</f>
        <v>S3</v>
      </c>
      <c r="Q32" s="1">
        <v>19.533903078886912</v>
      </c>
      <c r="R32" s="1">
        <v>143.38019922135439</v>
      </c>
      <c r="S32" s="1">
        <v>13.62384986558005</v>
      </c>
      <c r="T32" s="1">
        <f t="shared" si="0"/>
        <v>1</v>
      </c>
      <c r="U32" s="1">
        <f t="shared" si="1"/>
        <v>59</v>
      </c>
      <c r="V32" s="1">
        <f t="shared" si="2"/>
        <v>0.59</v>
      </c>
      <c r="W32" s="1">
        <f t="shared" si="3"/>
        <v>0.59</v>
      </c>
      <c r="X32" s="1">
        <f t="shared" si="4"/>
        <v>0.99999999999999978</v>
      </c>
      <c r="Y32" s="1">
        <f t="shared" si="5"/>
        <v>58.999999999999986</v>
      </c>
      <c r="Z32" s="1">
        <f t="shared" si="6"/>
        <v>1152.5002816543274</v>
      </c>
    </row>
    <row r="33" spans="13:26" x14ac:dyDescent="0.25">
      <c r="M33" s="2">
        <v>2017</v>
      </c>
      <c r="N33" s="2" t="s">
        <v>64</v>
      </c>
      <c r="O33" s="2" t="s">
        <v>91</v>
      </c>
      <c r="P33" s="2" t="s">
        <v>90</v>
      </c>
      <c r="Q33" s="1">
        <v>2.395712466219154</v>
      </c>
      <c r="R33" s="1">
        <v>86.162063365852021</v>
      </c>
      <c r="S33" s="1">
        <v>2.780472487116215</v>
      </c>
      <c r="T33" s="1">
        <f t="shared" si="0"/>
        <v>0.6</v>
      </c>
      <c r="U33" s="1">
        <f t="shared" si="1"/>
        <v>41</v>
      </c>
      <c r="V33" s="1">
        <f t="shared" si="2"/>
        <v>0.41</v>
      </c>
      <c r="W33" s="1">
        <f t="shared" si="3"/>
        <v>0.41</v>
      </c>
      <c r="X33" s="1">
        <f t="shared" si="4"/>
        <v>0.98</v>
      </c>
      <c r="Y33" s="1">
        <f t="shared" si="5"/>
        <v>40.18</v>
      </c>
      <c r="Z33" s="1">
        <f t="shared" si="6"/>
        <v>96.259726892685606</v>
      </c>
    </row>
    <row r="34" spans="13:26" x14ac:dyDescent="0.25">
      <c r="M34" s="2">
        <v>2017</v>
      </c>
      <c r="N34" s="2" t="s">
        <v>64</v>
      </c>
      <c r="O34" s="2" t="s">
        <v>89</v>
      </c>
      <c r="P34" s="2" t="str">
        <f>O34</f>
        <v>S1</v>
      </c>
      <c r="Q34" s="1">
        <v>5.6030118129227517</v>
      </c>
      <c r="R34" s="1">
        <v>86.162063365852021</v>
      </c>
      <c r="S34" s="1">
        <v>6.5028756207147103</v>
      </c>
      <c r="T34" s="1">
        <f t="shared" si="0"/>
        <v>0.6</v>
      </c>
      <c r="U34" s="1">
        <f t="shared" si="1"/>
        <v>109</v>
      </c>
      <c r="V34" s="1">
        <f t="shared" si="2"/>
        <v>1.0900000000000001</v>
      </c>
      <c r="W34" s="1">
        <f t="shared" si="3"/>
        <v>0.6</v>
      </c>
      <c r="X34" s="1">
        <f t="shared" si="4"/>
        <v>1.1699999999999997</v>
      </c>
      <c r="Y34" s="1">
        <f t="shared" si="5"/>
        <v>70.199999999999989</v>
      </c>
      <c r="Z34" s="1">
        <f t="shared" si="6"/>
        <v>393.3314292671771</v>
      </c>
    </row>
    <row r="35" spans="13:26" x14ac:dyDescent="0.25">
      <c r="M35" s="2">
        <v>2017</v>
      </c>
      <c r="N35" s="2" t="s">
        <v>64</v>
      </c>
      <c r="O35" s="2" t="s">
        <v>88</v>
      </c>
      <c r="P35" s="2" t="str">
        <f>O35</f>
        <v>S2</v>
      </c>
      <c r="Q35" s="1">
        <v>39.206095638516793</v>
      </c>
      <c r="R35" s="1">
        <v>86.162063365852021</v>
      </c>
      <c r="S35" s="1">
        <v>45.502735318726202</v>
      </c>
      <c r="T35" s="1">
        <f t="shared" si="0"/>
        <v>0.6</v>
      </c>
      <c r="U35" s="1">
        <f t="shared" si="1"/>
        <v>81</v>
      </c>
      <c r="V35" s="1">
        <f t="shared" si="2"/>
        <v>0.81</v>
      </c>
      <c r="W35" s="1">
        <f t="shared" si="3"/>
        <v>0.6</v>
      </c>
      <c r="X35" s="1">
        <f t="shared" si="4"/>
        <v>1.04</v>
      </c>
      <c r="Y35" s="1">
        <f t="shared" si="5"/>
        <v>62.4</v>
      </c>
      <c r="Z35" s="1">
        <f t="shared" si="6"/>
        <v>2446.4603678434478</v>
      </c>
    </row>
    <row r="36" spans="13:26" x14ac:dyDescent="0.25">
      <c r="M36" s="2">
        <v>2017</v>
      </c>
      <c r="N36" s="2" t="s">
        <v>64</v>
      </c>
      <c r="O36" s="2" t="s">
        <v>87</v>
      </c>
      <c r="P36" s="2" t="str">
        <f>O36</f>
        <v>S3</v>
      </c>
      <c r="Q36" s="1">
        <v>38.957243448193317</v>
      </c>
      <c r="R36" s="1">
        <v>86.162063365852021</v>
      </c>
      <c r="S36" s="1">
        <v>45.213916573442887</v>
      </c>
      <c r="T36" s="1">
        <f t="shared" si="0"/>
        <v>0.6</v>
      </c>
      <c r="U36" s="1">
        <f t="shared" si="1"/>
        <v>59</v>
      </c>
      <c r="V36" s="1">
        <f t="shared" si="2"/>
        <v>0.59</v>
      </c>
      <c r="W36" s="1">
        <f t="shared" si="3"/>
        <v>0.59</v>
      </c>
      <c r="X36" s="1">
        <f t="shared" si="4"/>
        <v>0.99999999999999978</v>
      </c>
      <c r="Y36" s="1">
        <f t="shared" si="5"/>
        <v>58.999999999999986</v>
      </c>
      <c r="Z36" s="1">
        <f t="shared" si="6"/>
        <v>2298.477363443405</v>
      </c>
    </row>
    <row r="37" spans="13:26" x14ac:dyDescent="0.25">
      <c r="M37" s="2">
        <v>2017</v>
      </c>
      <c r="N37" s="2" t="s">
        <v>63</v>
      </c>
      <c r="O37" s="2" t="s">
        <v>92</v>
      </c>
      <c r="P37" s="2" t="s">
        <v>90</v>
      </c>
      <c r="Q37" s="1">
        <v>0.13728521239821001</v>
      </c>
      <c r="R37" s="1">
        <v>106.5153859793645</v>
      </c>
      <c r="S37" s="1">
        <v>0.12888768240938139</v>
      </c>
      <c r="T37" s="1">
        <f t="shared" si="0"/>
        <v>0.7</v>
      </c>
      <c r="U37" s="1">
        <f t="shared" si="1"/>
        <v>41</v>
      </c>
      <c r="V37" s="1">
        <f t="shared" si="2"/>
        <v>0.41</v>
      </c>
      <c r="W37" s="1">
        <f t="shared" si="3"/>
        <v>0.41</v>
      </c>
      <c r="X37" s="1">
        <f t="shared" si="4"/>
        <v>0.98</v>
      </c>
      <c r="Y37" s="1">
        <f t="shared" si="5"/>
        <v>40.18</v>
      </c>
      <c r="Z37" s="1">
        <f t="shared" si="6"/>
        <v>5.5161198341600786</v>
      </c>
    </row>
    <row r="38" spans="13:26" x14ac:dyDescent="0.25">
      <c r="M38" s="2">
        <v>2017</v>
      </c>
      <c r="N38" s="2" t="s">
        <v>63</v>
      </c>
      <c r="O38" s="2" t="s">
        <v>91</v>
      </c>
      <c r="P38" s="2" t="s">
        <v>90</v>
      </c>
      <c r="Q38" s="1">
        <v>0.84052104396595462</v>
      </c>
      <c r="R38" s="1">
        <v>106.5153859793645</v>
      </c>
      <c r="S38" s="1">
        <v>0.78910763570700582</v>
      </c>
      <c r="T38" s="1">
        <f t="shared" si="0"/>
        <v>0.7</v>
      </c>
      <c r="U38" s="1">
        <f t="shared" si="1"/>
        <v>41</v>
      </c>
      <c r="V38" s="1">
        <f t="shared" si="2"/>
        <v>0.41</v>
      </c>
      <c r="W38" s="1">
        <f t="shared" si="3"/>
        <v>0.41</v>
      </c>
      <c r="X38" s="1">
        <f t="shared" si="4"/>
        <v>0.98</v>
      </c>
      <c r="Y38" s="1">
        <f t="shared" si="5"/>
        <v>40.18</v>
      </c>
      <c r="Z38" s="1">
        <f t="shared" si="6"/>
        <v>33.772135546552057</v>
      </c>
    </row>
    <row r="39" spans="13:26" x14ac:dyDescent="0.25">
      <c r="M39" s="2">
        <v>2017</v>
      </c>
      <c r="N39" s="2" t="s">
        <v>63</v>
      </c>
      <c r="O39" s="2" t="s">
        <v>89</v>
      </c>
      <c r="P39" s="2" t="str">
        <f>O39</f>
        <v>S1</v>
      </c>
      <c r="Q39" s="1">
        <v>19.16080253004348</v>
      </c>
      <c r="R39" s="1">
        <v>106.5153859793645</v>
      </c>
      <c r="S39" s="1">
        <v>17.988765053863251</v>
      </c>
      <c r="T39" s="1">
        <f t="shared" si="0"/>
        <v>0.7</v>
      </c>
      <c r="U39" s="1">
        <f t="shared" si="1"/>
        <v>109</v>
      </c>
      <c r="V39" s="1">
        <f t="shared" si="2"/>
        <v>1.0900000000000001</v>
      </c>
      <c r="W39" s="1">
        <f t="shared" si="3"/>
        <v>0.7</v>
      </c>
      <c r="X39" s="1">
        <f t="shared" si="4"/>
        <v>1.1699999999999997</v>
      </c>
      <c r="Y39" s="1">
        <f t="shared" si="5"/>
        <v>81.899999999999977</v>
      </c>
      <c r="Z39" s="1">
        <f t="shared" si="6"/>
        <v>1569.2697272105606</v>
      </c>
    </row>
    <row r="40" spans="13:26" x14ac:dyDescent="0.25">
      <c r="M40" s="2">
        <v>2017</v>
      </c>
      <c r="N40" s="2" t="s">
        <v>63</v>
      </c>
      <c r="O40" s="2" t="s">
        <v>88</v>
      </c>
      <c r="P40" s="2" t="str">
        <f>O40</f>
        <v>S2</v>
      </c>
      <c r="Q40" s="1">
        <v>68.168214136618218</v>
      </c>
      <c r="R40" s="1">
        <v>106.5153859793645</v>
      </c>
      <c r="S40" s="1">
        <v>63.99846699126136</v>
      </c>
      <c r="T40" s="1">
        <f t="shared" si="0"/>
        <v>0.7</v>
      </c>
      <c r="U40" s="1">
        <f t="shared" si="1"/>
        <v>81</v>
      </c>
      <c r="V40" s="1">
        <f t="shared" si="2"/>
        <v>0.81</v>
      </c>
      <c r="W40" s="1">
        <f t="shared" si="3"/>
        <v>0.7</v>
      </c>
      <c r="X40" s="1">
        <f t="shared" si="4"/>
        <v>1.04</v>
      </c>
      <c r="Y40" s="1">
        <f t="shared" si="5"/>
        <v>72.8</v>
      </c>
      <c r="Z40" s="1">
        <f t="shared" si="6"/>
        <v>4962.6459891458062</v>
      </c>
    </row>
    <row r="41" spans="13:26" x14ac:dyDescent="0.25">
      <c r="M41" s="2">
        <v>2017</v>
      </c>
      <c r="N41" s="2" t="s">
        <v>63</v>
      </c>
      <c r="O41" s="2" t="s">
        <v>87</v>
      </c>
      <c r="P41" s="2" t="str">
        <f>O41</f>
        <v>S3</v>
      </c>
      <c r="Q41" s="1">
        <v>18.20856305633863</v>
      </c>
      <c r="R41" s="1">
        <v>106.5153859793645</v>
      </c>
      <c r="S41" s="1">
        <v>17.094772636759</v>
      </c>
      <c r="T41" s="1">
        <f t="shared" si="0"/>
        <v>0.7</v>
      </c>
      <c r="U41" s="1">
        <f t="shared" si="1"/>
        <v>59</v>
      </c>
      <c r="V41" s="1">
        <f t="shared" si="2"/>
        <v>0.59</v>
      </c>
      <c r="W41" s="1">
        <f t="shared" si="3"/>
        <v>0.59</v>
      </c>
      <c r="X41" s="1">
        <f t="shared" si="4"/>
        <v>0.99999999999999978</v>
      </c>
      <c r="Y41" s="1">
        <f t="shared" si="5"/>
        <v>58.999999999999986</v>
      </c>
      <c r="Z41" s="1">
        <f t="shared" si="6"/>
        <v>1074.3052203239788</v>
      </c>
    </row>
    <row r="42" spans="13:26" x14ac:dyDescent="0.25">
      <c r="M42" s="2">
        <v>2017</v>
      </c>
      <c r="N42" s="2" t="s">
        <v>62</v>
      </c>
      <c r="O42" s="2" t="s">
        <v>92</v>
      </c>
      <c r="P42" s="2" t="s">
        <v>90</v>
      </c>
      <c r="Q42" s="1">
        <v>1.8977526839733281</v>
      </c>
      <c r="R42" s="1">
        <v>144.61536789027591</v>
      </c>
      <c r="S42" s="1">
        <v>1.31227594387701</v>
      </c>
      <c r="T42" s="1">
        <f t="shared" si="0"/>
        <v>1</v>
      </c>
      <c r="U42" s="1">
        <f t="shared" si="1"/>
        <v>41</v>
      </c>
      <c r="V42" s="1">
        <f t="shared" si="2"/>
        <v>0.41</v>
      </c>
      <c r="W42" s="1">
        <f t="shared" si="3"/>
        <v>0.41</v>
      </c>
      <c r="X42" s="1">
        <f t="shared" si="4"/>
        <v>0.98</v>
      </c>
      <c r="Y42" s="1">
        <f t="shared" si="5"/>
        <v>40.18</v>
      </c>
      <c r="Z42" s="1">
        <f t="shared" si="6"/>
        <v>76.251702842048317</v>
      </c>
    </row>
    <row r="43" spans="13:26" x14ac:dyDescent="0.25">
      <c r="M43" s="2">
        <v>2017</v>
      </c>
      <c r="N43" s="2" t="s">
        <v>62</v>
      </c>
      <c r="O43" s="2" t="s">
        <v>91</v>
      </c>
      <c r="P43" s="2" t="s">
        <v>90</v>
      </c>
      <c r="Q43" s="1">
        <v>0.31127806736506458</v>
      </c>
      <c r="R43" s="1">
        <v>144.61536789027591</v>
      </c>
      <c r="S43" s="1">
        <v>0.2152454970077875</v>
      </c>
      <c r="T43" s="1">
        <f t="shared" si="0"/>
        <v>1</v>
      </c>
      <c r="U43" s="1">
        <f t="shared" si="1"/>
        <v>41</v>
      </c>
      <c r="V43" s="1">
        <f t="shared" si="2"/>
        <v>0.41</v>
      </c>
      <c r="W43" s="1">
        <f t="shared" si="3"/>
        <v>0.41</v>
      </c>
      <c r="X43" s="1">
        <f t="shared" si="4"/>
        <v>0.98</v>
      </c>
      <c r="Y43" s="1">
        <f t="shared" si="5"/>
        <v>40.18</v>
      </c>
      <c r="Z43" s="1">
        <f t="shared" si="6"/>
        <v>12.507152746728295</v>
      </c>
    </row>
    <row r="44" spans="13:26" x14ac:dyDescent="0.25">
      <c r="M44" s="2">
        <v>2017</v>
      </c>
      <c r="N44" s="2" t="s">
        <v>62</v>
      </c>
      <c r="O44" s="2" t="s">
        <v>89</v>
      </c>
      <c r="P44" s="2" t="str">
        <f>O44</f>
        <v>S1</v>
      </c>
      <c r="Q44" s="1">
        <v>22.20406942202391</v>
      </c>
      <c r="R44" s="1">
        <v>144.61536789027591</v>
      </c>
      <c r="S44" s="1">
        <v>15.353879567537261</v>
      </c>
      <c r="T44" s="1">
        <f t="shared" si="0"/>
        <v>1</v>
      </c>
      <c r="U44" s="1">
        <f t="shared" si="1"/>
        <v>109</v>
      </c>
      <c r="V44" s="1">
        <f t="shared" si="2"/>
        <v>1.0900000000000001</v>
      </c>
      <c r="W44" s="1">
        <f t="shared" si="3"/>
        <v>1</v>
      </c>
      <c r="X44" s="1">
        <f t="shared" si="4"/>
        <v>1.1699999999999997</v>
      </c>
      <c r="Y44" s="1">
        <f t="shared" si="5"/>
        <v>116.99999999999997</v>
      </c>
      <c r="Z44" s="1">
        <f t="shared" si="6"/>
        <v>2597.876122376797</v>
      </c>
    </row>
    <row r="45" spans="13:26" x14ac:dyDescent="0.25">
      <c r="M45" s="2">
        <v>2017</v>
      </c>
      <c r="N45" s="2" t="s">
        <v>62</v>
      </c>
      <c r="O45" s="2" t="s">
        <v>88</v>
      </c>
      <c r="P45" s="2" t="str">
        <f>O45</f>
        <v>S2</v>
      </c>
      <c r="Q45" s="1">
        <v>90.895999168663451</v>
      </c>
      <c r="R45" s="1">
        <v>144.61536789027591</v>
      </c>
      <c r="S45" s="1">
        <v>62.853623715585357</v>
      </c>
      <c r="T45" s="1">
        <f t="shared" si="0"/>
        <v>1</v>
      </c>
      <c r="U45" s="1">
        <f t="shared" si="1"/>
        <v>81</v>
      </c>
      <c r="V45" s="1">
        <f t="shared" si="2"/>
        <v>0.81</v>
      </c>
      <c r="W45" s="1">
        <f t="shared" si="3"/>
        <v>0.81</v>
      </c>
      <c r="X45" s="1">
        <f t="shared" si="4"/>
        <v>1.04</v>
      </c>
      <c r="Y45" s="1">
        <f t="shared" si="5"/>
        <v>84.240000000000009</v>
      </c>
      <c r="Z45" s="1">
        <f t="shared" si="6"/>
        <v>7657.07896996821</v>
      </c>
    </row>
    <row r="46" spans="13:26" x14ac:dyDescent="0.25">
      <c r="M46" s="2">
        <v>2017</v>
      </c>
      <c r="N46" s="2" t="s">
        <v>62</v>
      </c>
      <c r="O46" s="2" t="s">
        <v>87</v>
      </c>
      <c r="P46" s="2" t="str">
        <f>O46</f>
        <v>S3</v>
      </c>
      <c r="Q46" s="1">
        <v>29.30626854825012</v>
      </c>
      <c r="R46" s="1">
        <v>144.61536789027591</v>
      </c>
      <c r="S46" s="1">
        <v>20.26497527599258</v>
      </c>
      <c r="T46" s="1">
        <f t="shared" si="0"/>
        <v>1</v>
      </c>
      <c r="U46" s="1">
        <f t="shared" si="1"/>
        <v>59</v>
      </c>
      <c r="V46" s="1">
        <f t="shared" si="2"/>
        <v>0.59</v>
      </c>
      <c r="W46" s="1">
        <f t="shared" si="3"/>
        <v>0.59</v>
      </c>
      <c r="X46" s="1">
        <f t="shared" si="4"/>
        <v>0.99999999999999978</v>
      </c>
      <c r="Y46" s="1">
        <f t="shared" si="5"/>
        <v>58.999999999999986</v>
      </c>
      <c r="Z46" s="1">
        <f t="shared" si="6"/>
        <v>1729.0698443467568</v>
      </c>
    </row>
    <row r="47" spans="13:26" x14ac:dyDescent="0.25">
      <c r="M47" s="2">
        <v>2017</v>
      </c>
      <c r="N47" s="2" t="s">
        <v>61</v>
      </c>
      <c r="O47" s="2" t="s">
        <v>91</v>
      </c>
      <c r="P47" s="2" t="s">
        <v>90</v>
      </c>
      <c r="Q47" s="1">
        <v>0.13245160810103621</v>
      </c>
      <c r="R47" s="1">
        <v>81.964214271856974</v>
      </c>
      <c r="S47" s="1">
        <v>0.161596874047647</v>
      </c>
      <c r="T47" s="1">
        <f t="shared" si="0"/>
        <v>0.6</v>
      </c>
      <c r="U47" s="1">
        <f t="shared" si="1"/>
        <v>41</v>
      </c>
      <c r="V47" s="1">
        <f t="shared" si="2"/>
        <v>0.41</v>
      </c>
      <c r="W47" s="1">
        <f t="shared" si="3"/>
        <v>0.41</v>
      </c>
      <c r="X47" s="1">
        <f t="shared" si="4"/>
        <v>0.98</v>
      </c>
      <c r="Y47" s="1">
        <f t="shared" si="5"/>
        <v>40.18</v>
      </c>
      <c r="Z47" s="1">
        <f t="shared" si="6"/>
        <v>5.3219056134996343</v>
      </c>
    </row>
    <row r="48" spans="13:26" x14ac:dyDescent="0.25">
      <c r="M48" s="2">
        <v>2017</v>
      </c>
      <c r="N48" s="2" t="s">
        <v>61</v>
      </c>
      <c r="O48" s="2" t="s">
        <v>89</v>
      </c>
      <c r="P48" s="2" t="str">
        <f>O48</f>
        <v>S1</v>
      </c>
      <c r="Q48" s="1">
        <v>9.0826024712641011</v>
      </c>
      <c r="R48" s="1">
        <v>81.964214271856974</v>
      </c>
      <c r="S48" s="1">
        <v>11.08118042971673</v>
      </c>
      <c r="T48" s="1">
        <f t="shared" si="0"/>
        <v>0.6</v>
      </c>
      <c r="U48" s="1">
        <f t="shared" si="1"/>
        <v>109</v>
      </c>
      <c r="V48" s="1">
        <f t="shared" si="2"/>
        <v>1.0900000000000001</v>
      </c>
      <c r="W48" s="1">
        <f t="shared" si="3"/>
        <v>0.6</v>
      </c>
      <c r="X48" s="1">
        <f t="shared" si="4"/>
        <v>1.1699999999999997</v>
      </c>
      <c r="Y48" s="1">
        <f t="shared" si="5"/>
        <v>70.199999999999989</v>
      </c>
      <c r="Z48" s="1">
        <f t="shared" si="6"/>
        <v>637.5986934827398</v>
      </c>
    </row>
    <row r="49" spans="13:26" x14ac:dyDescent="0.25">
      <c r="M49" s="2">
        <v>2017</v>
      </c>
      <c r="N49" s="2" t="s">
        <v>61</v>
      </c>
      <c r="O49" s="2" t="s">
        <v>88</v>
      </c>
      <c r="P49" s="2" t="str">
        <f>O49</f>
        <v>S2</v>
      </c>
      <c r="Q49" s="1">
        <v>60.555688364558392</v>
      </c>
      <c r="R49" s="1">
        <v>81.964214271856974</v>
      </c>
      <c r="S49" s="1">
        <v>73.880642793339916</v>
      </c>
      <c r="T49" s="1">
        <f t="shared" si="0"/>
        <v>0.6</v>
      </c>
      <c r="U49" s="1">
        <f t="shared" si="1"/>
        <v>81</v>
      </c>
      <c r="V49" s="1">
        <f t="shared" si="2"/>
        <v>0.81</v>
      </c>
      <c r="W49" s="1">
        <f t="shared" si="3"/>
        <v>0.6</v>
      </c>
      <c r="X49" s="1">
        <f t="shared" si="4"/>
        <v>1.04</v>
      </c>
      <c r="Y49" s="1">
        <f t="shared" si="5"/>
        <v>62.4</v>
      </c>
      <c r="Z49" s="1">
        <f t="shared" si="6"/>
        <v>3778.6749539484435</v>
      </c>
    </row>
    <row r="50" spans="13:26" x14ac:dyDescent="0.25">
      <c r="M50" s="2">
        <v>2017</v>
      </c>
      <c r="N50" s="2" t="s">
        <v>61</v>
      </c>
      <c r="O50" s="2" t="s">
        <v>87</v>
      </c>
      <c r="P50" s="2" t="str">
        <f>O50</f>
        <v>S3</v>
      </c>
      <c r="Q50" s="1">
        <v>12.19347182793345</v>
      </c>
      <c r="R50" s="1">
        <v>81.964214271856974</v>
      </c>
      <c r="S50" s="1">
        <v>14.87657990289571</v>
      </c>
      <c r="T50" s="1">
        <f t="shared" si="0"/>
        <v>0.6</v>
      </c>
      <c r="U50" s="1">
        <f t="shared" si="1"/>
        <v>59</v>
      </c>
      <c r="V50" s="1">
        <f t="shared" si="2"/>
        <v>0.59</v>
      </c>
      <c r="W50" s="1">
        <f t="shared" si="3"/>
        <v>0.59</v>
      </c>
      <c r="X50" s="1">
        <f t="shared" si="4"/>
        <v>0.99999999999999978</v>
      </c>
      <c r="Y50" s="1">
        <f t="shared" si="5"/>
        <v>58.999999999999986</v>
      </c>
      <c r="Z50" s="1">
        <f t="shared" si="6"/>
        <v>719.41483784807338</v>
      </c>
    </row>
    <row r="51" spans="13:26" x14ac:dyDescent="0.25">
      <c r="M51" s="2">
        <v>2017</v>
      </c>
      <c r="N51" s="2" t="s">
        <v>60</v>
      </c>
      <c r="O51" s="2" t="s">
        <v>92</v>
      </c>
      <c r="P51" s="2" t="s">
        <v>90</v>
      </c>
      <c r="Q51" s="1">
        <v>0.14015298306918239</v>
      </c>
      <c r="R51" s="1">
        <v>271.3128466247577</v>
      </c>
      <c r="S51" s="1">
        <v>5.1657333890651552E-2</v>
      </c>
      <c r="T51" s="1">
        <f t="shared" si="0"/>
        <v>0.6</v>
      </c>
      <c r="U51" s="1">
        <f t="shared" si="1"/>
        <v>41</v>
      </c>
      <c r="V51" s="1">
        <f t="shared" si="2"/>
        <v>0.41</v>
      </c>
      <c r="W51" s="1">
        <f t="shared" si="3"/>
        <v>0.41</v>
      </c>
      <c r="X51" s="1">
        <f t="shared" si="4"/>
        <v>0.98</v>
      </c>
      <c r="Y51" s="1">
        <f t="shared" si="5"/>
        <v>40.18</v>
      </c>
      <c r="Z51" s="1">
        <f t="shared" si="6"/>
        <v>5.6313468597197485</v>
      </c>
    </row>
    <row r="52" spans="13:26" x14ac:dyDescent="0.25">
      <c r="M52" s="2">
        <v>2017</v>
      </c>
      <c r="N52" s="2" t="s">
        <v>60</v>
      </c>
      <c r="O52" s="2" t="s">
        <v>91</v>
      </c>
      <c r="P52" s="2" t="s">
        <v>90</v>
      </c>
      <c r="Q52" s="1">
        <v>4.7423552851432023E-2</v>
      </c>
      <c r="R52" s="1">
        <v>271.3128466247577</v>
      </c>
      <c r="S52" s="1">
        <v>1.747928763469932E-2</v>
      </c>
      <c r="T52" s="1">
        <f t="shared" si="0"/>
        <v>0.6</v>
      </c>
      <c r="U52" s="1">
        <f t="shared" si="1"/>
        <v>41</v>
      </c>
      <c r="V52" s="1">
        <f t="shared" si="2"/>
        <v>0.41</v>
      </c>
      <c r="W52" s="1">
        <f t="shared" si="3"/>
        <v>0.41</v>
      </c>
      <c r="X52" s="1">
        <f t="shared" si="4"/>
        <v>0.98</v>
      </c>
      <c r="Y52" s="1">
        <f t="shared" si="5"/>
        <v>40.18</v>
      </c>
      <c r="Z52" s="1">
        <f t="shared" si="6"/>
        <v>1.9054783535705386</v>
      </c>
    </row>
    <row r="53" spans="13:26" x14ac:dyDescent="0.25">
      <c r="M53" s="2">
        <v>2017</v>
      </c>
      <c r="N53" s="2" t="s">
        <v>60</v>
      </c>
      <c r="O53" s="2" t="s">
        <v>89</v>
      </c>
      <c r="P53" s="2" t="str">
        <f>O53</f>
        <v>S1</v>
      </c>
      <c r="Q53" s="1">
        <v>26.10341828218376</v>
      </c>
      <c r="R53" s="1">
        <v>271.3128466247577</v>
      </c>
      <c r="S53" s="1">
        <v>9.6211508621581743</v>
      </c>
      <c r="T53" s="1">
        <f t="shared" si="0"/>
        <v>0.6</v>
      </c>
      <c r="U53" s="1">
        <f t="shared" si="1"/>
        <v>109</v>
      </c>
      <c r="V53" s="1">
        <f t="shared" si="2"/>
        <v>1.0900000000000001</v>
      </c>
      <c r="W53" s="1">
        <f t="shared" si="3"/>
        <v>0.6</v>
      </c>
      <c r="X53" s="1">
        <f t="shared" si="4"/>
        <v>1.1699999999999997</v>
      </c>
      <c r="Y53" s="1">
        <f t="shared" si="5"/>
        <v>70.199999999999989</v>
      </c>
      <c r="Z53" s="1">
        <f t="shared" si="6"/>
        <v>1832.4599634092997</v>
      </c>
    </row>
    <row r="54" spans="13:26" x14ac:dyDescent="0.25">
      <c r="M54" s="2">
        <v>2017</v>
      </c>
      <c r="N54" s="2" t="s">
        <v>60</v>
      </c>
      <c r="O54" s="2" t="s">
        <v>88</v>
      </c>
      <c r="P54" s="2" t="str">
        <f>O54</f>
        <v>S2</v>
      </c>
      <c r="Q54" s="1">
        <v>141.27864466395951</v>
      </c>
      <c r="R54" s="1">
        <v>271.3128466247577</v>
      </c>
      <c r="S54" s="1">
        <v>52.072228212384111</v>
      </c>
      <c r="T54" s="1">
        <f t="shared" si="0"/>
        <v>0.6</v>
      </c>
      <c r="U54" s="1">
        <f t="shared" si="1"/>
        <v>81</v>
      </c>
      <c r="V54" s="1">
        <f t="shared" si="2"/>
        <v>0.81</v>
      </c>
      <c r="W54" s="1">
        <f t="shared" si="3"/>
        <v>0.6</v>
      </c>
      <c r="X54" s="1">
        <f t="shared" si="4"/>
        <v>1.04</v>
      </c>
      <c r="Y54" s="1">
        <f t="shared" si="5"/>
        <v>62.4</v>
      </c>
      <c r="Z54" s="1">
        <f t="shared" si="6"/>
        <v>8815.7874270310731</v>
      </c>
    </row>
    <row r="55" spans="13:26" x14ac:dyDescent="0.25">
      <c r="M55" s="2">
        <v>2017</v>
      </c>
      <c r="N55" s="2" t="s">
        <v>60</v>
      </c>
      <c r="O55" s="2" t="s">
        <v>87</v>
      </c>
      <c r="P55" s="2" t="str">
        <f>O55</f>
        <v>S3</v>
      </c>
      <c r="Q55" s="1">
        <v>103.74320714269381</v>
      </c>
      <c r="R55" s="1">
        <v>271.3128466247577</v>
      </c>
      <c r="S55" s="1">
        <v>38.237484303932369</v>
      </c>
      <c r="T55" s="1">
        <f t="shared" si="0"/>
        <v>0.6</v>
      </c>
      <c r="U55" s="1">
        <f t="shared" si="1"/>
        <v>59</v>
      </c>
      <c r="V55" s="1">
        <f t="shared" si="2"/>
        <v>0.59</v>
      </c>
      <c r="W55" s="1">
        <f t="shared" si="3"/>
        <v>0.59</v>
      </c>
      <c r="X55" s="1">
        <f t="shared" si="4"/>
        <v>0.99999999999999978</v>
      </c>
      <c r="Y55" s="1">
        <f t="shared" si="5"/>
        <v>58.999999999999986</v>
      </c>
      <c r="Z55" s="1">
        <f t="shared" si="6"/>
        <v>6120.8492214189328</v>
      </c>
    </row>
    <row r="56" spans="13:26" x14ac:dyDescent="0.25">
      <c r="M56" s="2">
        <v>2017</v>
      </c>
      <c r="N56" s="2" t="s">
        <v>59</v>
      </c>
      <c r="O56" s="2" t="s">
        <v>91</v>
      </c>
      <c r="P56" s="2" t="s">
        <v>90</v>
      </c>
      <c r="Q56" s="1">
        <v>0.14059564915573841</v>
      </c>
      <c r="R56" s="1">
        <v>711.5703743843078</v>
      </c>
      <c r="S56" s="1">
        <v>1.9758502351561499E-2</v>
      </c>
      <c r="T56" s="1">
        <f t="shared" si="0"/>
        <v>0.6</v>
      </c>
      <c r="U56" s="1">
        <f t="shared" si="1"/>
        <v>41</v>
      </c>
      <c r="V56" s="1">
        <f t="shared" si="2"/>
        <v>0.41</v>
      </c>
      <c r="W56" s="1">
        <f t="shared" si="3"/>
        <v>0.41</v>
      </c>
      <c r="X56" s="1">
        <f t="shared" si="4"/>
        <v>0.98</v>
      </c>
      <c r="Y56" s="1">
        <f t="shared" si="5"/>
        <v>40.18</v>
      </c>
      <c r="Z56" s="1">
        <f t="shared" si="6"/>
        <v>5.6491331830775691</v>
      </c>
    </row>
    <row r="57" spans="13:26" x14ac:dyDescent="0.25">
      <c r="M57" s="2">
        <v>2017</v>
      </c>
      <c r="N57" s="2" t="s">
        <v>59</v>
      </c>
      <c r="O57" s="2" t="s">
        <v>89</v>
      </c>
      <c r="P57" s="2" t="str">
        <f>O57</f>
        <v>S1</v>
      </c>
      <c r="Q57" s="1">
        <v>124.3028755045318</v>
      </c>
      <c r="R57" s="1">
        <v>711.5703743843078</v>
      </c>
      <c r="S57" s="1">
        <v>17.46880982953876</v>
      </c>
      <c r="T57" s="1">
        <f t="shared" si="0"/>
        <v>0.6</v>
      </c>
      <c r="U57" s="1">
        <f t="shared" si="1"/>
        <v>109</v>
      </c>
      <c r="V57" s="1">
        <f t="shared" si="2"/>
        <v>1.0900000000000001</v>
      </c>
      <c r="W57" s="1">
        <f t="shared" si="3"/>
        <v>0.6</v>
      </c>
      <c r="X57" s="1">
        <f t="shared" si="4"/>
        <v>1.1699999999999997</v>
      </c>
      <c r="Y57" s="1">
        <f t="shared" si="5"/>
        <v>70.199999999999989</v>
      </c>
      <c r="Z57" s="1">
        <f t="shared" si="6"/>
        <v>8726.0618604181309</v>
      </c>
    </row>
    <row r="58" spans="13:26" x14ac:dyDescent="0.25">
      <c r="M58" s="2">
        <v>2017</v>
      </c>
      <c r="N58" s="2" t="s">
        <v>59</v>
      </c>
      <c r="O58" s="2" t="s">
        <v>88</v>
      </c>
      <c r="P58" s="2" t="str">
        <f>O58</f>
        <v>S2</v>
      </c>
      <c r="Q58" s="1">
        <v>451.92427448541628</v>
      </c>
      <c r="R58" s="1">
        <v>711.5703743843078</v>
      </c>
      <c r="S58" s="1">
        <v>63.510833327827562</v>
      </c>
      <c r="T58" s="1">
        <f t="shared" si="0"/>
        <v>0.6</v>
      </c>
      <c r="U58" s="1">
        <f t="shared" si="1"/>
        <v>81</v>
      </c>
      <c r="V58" s="1">
        <f t="shared" si="2"/>
        <v>0.81</v>
      </c>
      <c r="W58" s="1">
        <f t="shared" si="3"/>
        <v>0.6</v>
      </c>
      <c r="X58" s="1">
        <f t="shared" si="4"/>
        <v>1.04</v>
      </c>
      <c r="Y58" s="1">
        <f t="shared" si="5"/>
        <v>62.4</v>
      </c>
      <c r="Z58" s="1">
        <f t="shared" si="6"/>
        <v>28200.074727889976</v>
      </c>
    </row>
    <row r="59" spans="13:26" x14ac:dyDescent="0.25">
      <c r="M59" s="2">
        <v>2017</v>
      </c>
      <c r="N59" s="2" t="s">
        <v>59</v>
      </c>
      <c r="O59" s="2" t="s">
        <v>87</v>
      </c>
      <c r="P59" s="2" t="str">
        <f>O59</f>
        <v>S3</v>
      </c>
      <c r="Q59" s="1">
        <v>135.20262874520401</v>
      </c>
      <c r="R59" s="1">
        <v>711.5703743843078</v>
      </c>
      <c r="S59" s="1">
        <v>19.00059834028211</v>
      </c>
      <c r="T59" s="1">
        <f t="shared" si="0"/>
        <v>0.6</v>
      </c>
      <c r="U59" s="1">
        <f t="shared" si="1"/>
        <v>59</v>
      </c>
      <c r="V59" s="1">
        <f t="shared" si="2"/>
        <v>0.59</v>
      </c>
      <c r="W59" s="1">
        <f t="shared" si="3"/>
        <v>0.59</v>
      </c>
      <c r="X59" s="1">
        <f t="shared" si="4"/>
        <v>0.99999999999999978</v>
      </c>
      <c r="Y59" s="1">
        <f t="shared" si="5"/>
        <v>58.999999999999986</v>
      </c>
      <c r="Z59" s="1">
        <f t="shared" si="6"/>
        <v>7976.955095967035</v>
      </c>
    </row>
    <row r="60" spans="13:26" x14ac:dyDescent="0.25">
      <c r="M60" s="2">
        <v>2017</v>
      </c>
      <c r="N60" s="2" t="s">
        <v>58</v>
      </c>
      <c r="O60" s="2" t="s">
        <v>91</v>
      </c>
      <c r="P60" s="2" t="s">
        <v>90</v>
      </c>
      <c r="Q60" s="1">
        <v>0.510724725922025</v>
      </c>
      <c r="R60" s="1">
        <v>147.90441562365609</v>
      </c>
      <c r="S60" s="1">
        <v>0.34530728766176122</v>
      </c>
      <c r="T60" s="1">
        <f t="shared" si="0"/>
        <v>1</v>
      </c>
      <c r="U60" s="1">
        <f t="shared" si="1"/>
        <v>41</v>
      </c>
      <c r="V60" s="1">
        <f t="shared" si="2"/>
        <v>0.41</v>
      </c>
      <c r="W60" s="1">
        <f t="shared" si="3"/>
        <v>0.41</v>
      </c>
      <c r="X60" s="1">
        <f t="shared" si="4"/>
        <v>0.98</v>
      </c>
      <c r="Y60" s="1">
        <f t="shared" si="5"/>
        <v>40.18</v>
      </c>
      <c r="Z60" s="1">
        <f t="shared" si="6"/>
        <v>20.520919487546966</v>
      </c>
    </row>
    <row r="61" spans="13:26" x14ac:dyDescent="0.25">
      <c r="M61" s="2">
        <v>2017</v>
      </c>
      <c r="N61" s="2" t="s">
        <v>58</v>
      </c>
      <c r="O61" s="2" t="s">
        <v>89</v>
      </c>
      <c r="P61" s="2" t="str">
        <f>O61</f>
        <v>S1</v>
      </c>
      <c r="Q61" s="1">
        <v>21.657352576372801</v>
      </c>
      <c r="R61" s="1">
        <v>147.90441562365609</v>
      </c>
      <c r="S61" s="1">
        <v>14.64280324901191</v>
      </c>
      <c r="T61" s="1">
        <f t="shared" si="0"/>
        <v>1</v>
      </c>
      <c r="U61" s="1">
        <f t="shared" si="1"/>
        <v>109</v>
      </c>
      <c r="V61" s="1">
        <f t="shared" si="2"/>
        <v>1.0900000000000001</v>
      </c>
      <c r="W61" s="1">
        <f t="shared" si="3"/>
        <v>1</v>
      </c>
      <c r="X61" s="1">
        <f t="shared" si="4"/>
        <v>1.1699999999999997</v>
      </c>
      <c r="Y61" s="1">
        <f t="shared" si="5"/>
        <v>116.99999999999997</v>
      </c>
      <c r="Z61" s="1">
        <f t="shared" si="6"/>
        <v>2533.9102514356173</v>
      </c>
    </row>
    <row r="62" spans="13:26" x14ac:dyDescent="0.25">
      <c r="M62" s="2">
        <v>2017</v>
      </c>
      <c r="N62" s="2" t="s">
        <v>58</v>
      </c>
      <c r="O62" s="2" t="s">
        <v>88</v>
      </c>
      <c r="P62" s="2" t="str">
        <f>O62</f>
        <v>S2</v>
      </c>
      <c r="Q62" s="1">
        <v>103.9683090520862</v>
      </c>
      <c r="R62" s="1">
        <v>147.90441562365609</v>
      </c>
      <c r="S62" s="1">
        <v>70.294256336899608</v>
      </c>
      <c r="T62" s="1">
        <f t="shared" si="0"/>
        <v>1</v>
      </c>
      <c r="U62" s="1">
        <f t="shared" si="1"/>
        <v>81</v>
      </c>
      <c r="V62" s="1">
        <f t="shared" si="2"/>
        <v>0.81</v>
      </c>
      <c r="W62" s="1">
        <f t="shared" si="3"/>
        <v>0.81</v>
      </c>
      <c r="X62" s="1">
        <f t="shared" si="4"/>
        <v>1.04</v>
      </c>
      <c r="Y62" s="1">
        <f t="shared" si="5"/>
        <v>84.240000000000009</v>
      </c>
      <c r="Z62" s="1">
        <f t="shared" si="6"/>
        <v>8758.290354547742</v>
      </c>
    </row>
    <row r="63" spans="13:26" x14ac:dyDescent="0.25">
      <c r="M63" s="2">
        <v>2017</v>
      </c>
      <c r="N63" s="2" t="s">
        <v>58</v>
      </c>
      <c r="O63" s="2" t="s">
        <v>87</v>
      </c>
      <c r="P63" s="2" t="str">
        <f>O63</f>
        <v>S3</v>
      </c>
      <c r="Q63" s="1">
        <v>21.768029269275061</v>
      </c>
      <c r="R63" s="1">
        <v>147.90441562365609</v>
      </c>
      <c r="S63" s="1">
        <v>14.717633126426721</v>
      </c>
      <c r="T63" s="1">
        <f t="shared" si="0"/>
        <v>1</v>
      </c>
      <c r="U63" s="1">
        <f t="shared" si="1"/>
        <v>59</v>
      </c>
      <c r="V63" s="1">
        <f t="shared" si="2"/>
        <v>0.59</v>
      </c>
      <c r="W63" s="1">
        <f t="shared" si="3"/>
        <v>0.59</v>
      </c>
      <c r="X63" s="1">
        <f t="shared" si="4"/>
        <v>0.99999999999999978</v>
      </c>
      <c r="Y63" s="1">
        <f t="shared" si="5"/>
        <v>58.999999999999986</v>
      </c>
      <c r="Z63" s="1">
        <f t="shared" si="6"/>
        <v>1284.3137268872283</v>
      </c>
    </row>
    <row r="64" spans="13:26" x14ac:dyDescent="0.25">
      <c r="M64" s="2">
        <v>2018</v>
      </c>
      <c r="N64" s="2" t="s">
        <v>64</v>
      </c>
      <c r="O64" s="2" t="s">
        <v>91</v>
      </c>
      <c r="P64" s="2" t="s">
        <v>90</v>
      </c>
      <c r="Q64" s="1">
        <v>2.395712466219154</v>
      </c>
      <c r="R64" s="1">
        <v>86.162063365852021</v>
      </c>
      <c r="S64" s="1">
        <v>2.780472487116215</v>
      </c>
      <c r="T64" s="1">
        <f t="shared" si="0"/>
        <v>0.6</v>
      </c>
      <c r="U64" s="1">
        <f t="shared" si="1"/>
        <v>41</v>
      </c>
      <c r="V64" s="1">
        <f t="shared" si="2"/>
        <v>0.41</v>
      </c>
      <c r="W64" s="1">
        <f t="shared" si="3"/>
        <v>0.41</v>
      </c>
      <c r="X64" s="1">
        <f t="shared" si="4"/>
        <v>0.98</v>
      </c>
      <c r="Y64" s="1">
        <f t="shared" si="5"/>
        <v>40.18</v>
      </c>
      <c r="Z64" s="1">
        <f t="shared" si="6"/>
        <v>96.259726892685606</v>
      </c>
    </row>
    <row r="65" spans="13:26" x14ac:dyDescent="0.25">
      <c r="M65" s="2">
        <v>2018</v>
      </c>
      <c r="N65" s="2" t="s">
        <v>64</v>
      </c>
      <c r="O65" s="2" t="s">
        <v>89</v>
      </c>
      <c r="P65" s="2" t="str">
        <f>O65</f>
        <v>S1</v>
      </c>
      <c r="Q65" s="1">
        <v>5.6030118129227517</v>
      </c>
      <c r="R65" s="1">
        <v>86.162063365852021</v>
      </c>
      <c r="S65" s="1">
        <v>6.5028756207147103</v>
      </c>
      <c r="T65" s="1">
        <f t="shared" si="0"/>
        <v>0.6</v>
      </c>
      <c r="U65" s="1">
        <f t="shared" si="1"/>
        <v>109</v>
      </c>
      <c r="V65" s="1">
        <f t="shared" si="2"/>
        <v>1.0900000000000001</v>
      </c>
      <c r="W65" s="1">
        <f t="shared" si="3"/>
        <v>0.6</v>
      </c>
      <c r="X65" s="1">
        <f t="shared" si="4"/>
        <v>1.1699999999999997</v>
      </c>
      <c r="Y65" s="1">
        <f t="shared" si="5"/>
        <v>70.199999999999989</v>
      </c>
      <c r="Z65" s="1">
        <f t="shared" si="6"/>
        <v>393.3314292671771</v>
      </c>
    </row>
    <row r="66" spans="13:26" x14ac:dyDescent="0.25">
      <c r="M66" s="2">
        <v>2018</v>
      </c>
      <c r="N66" s="2" t="s">
        <v>64</v>
      </c>
      <c r="O66" s="2" t="s">
        <v>88</v>
      </c>
      <c r="P66" s="2" t="str">
        <f>O66</f>
        <v>S2</v>
      </c>
      <c r="Q66" s="1">
        <v>39.206095638516793</v>
      </c>
      <c r="R66" s="1">
        <v>86.162063365852021</v>
      </c>
      <c r="S66" s="1">
        <v>45.502735318726202</v>
      </c>
      <c r="T66" s="1">
        <f t="shared" si="0"/>
        <v>0.6</v>
      </c>
      <c r="U66" s="1">
        <f t="shared" si="1"/>
        <v>81</v>
      </c>
      <c r="V66" s="1">
        <f t="shared" si="2"/>
        <v>0.81</v>
      </c>
      <c r="W66" s="1">
        <f t="shared" si="3"/>
        <v>0.6</v>
      </c>
      <c r="X66" s="1">
        <f t="shared" si="4"/>
        <v>1.04</v>
      </c>
      <c r="Y66" s="1">
        <f t="shared" si="5"/>
        <v>62.4</v>
      </c>
      <c r="Z66" s="1">
        <f t="shared" si="6"/>
        <v>2446.4603678434478</v>
      </c>
    </row>
    <row r="67" spans="13:26" x14ac:dyDescent="0.25">
      <c r="M67" s="2">
        <v>2018</v>
      </c>
      <c r="N67" s="2" t="s">
        <v>64</v>
      </c>
      <c r="O67" s="2" t="s">
        <v>87</v>
      </c>
      <c r="P67" s="2" t="str">
        <f>O67</f>
        <v>S3</v>
      </c>
      <c r="Q67" s="1">
        <v>38.957243448193317</v>
      </c>
      <c r="R67" s="1">
        <v>86.162063365852021</v>
      </c>
      <c r="S67" s="1">
        <v>45.213916573442887</v>
      </c>
      <c r="T67" s="1">
        <f t="shared" si="0"/>
        <v>0.6</v>
      </c>
      <c r="U67" s="1">
        <f t="shared" si="1"/>
        <v>59</v>
      </c>
      <c r="V67" s="1">
        <f t="shared" si="2"/>
        <v>0.59</v>
      </c>
      <c r="W67" s="1">
        <f t="shared" si="3"/>
        <v>0.59</v>
      </c>
      <c r="X67" s="1">
        <f t="shared" si="4"/>
        <v>0.99999999999999978</v>
      </c>
      <c r="Y67" s="1">
        <f t="shared" si="5"/>
        <v>58.999999999999986</v>
      </c>
      <c r="Z67" s="1">
        <f t="shared" si="6"/>
        <v>2298.477363443405</v>
      </c>
    </row>
    <row r="68" spans="13:26" x14ac:dyDescent="0.25">
      <c r="M68" s="2">
        <v>2018</v>
      </c>
      <c r="N68" s="2" t="s">
        <v>63</v>
      </c>
      <c r="O68" s="2" t="s">
        <v>92</v>
      </c>
      <c r="P68" s="2" t="s">
        <v>90</v>
      </c>
      <c r="Q68" s="1">
        <v>0.13728521239821001</v>
      </c>
      <c r="R68" s="1">
        <v>145.93257151774321</v>
      </c>
      <c r="S68" s="1">
        <v>9.407441462204226E-2</v>
      </c>
      <c r="T68" s="1">
        <f t="shared" ref="T68:T131" si="9">VLOOKUP(N68,$B:$C,2,FALSE)</f>
        <v>0.7</v>
      </c>
      <c r="U68" s="1">
        <f t="shared" ref="U68:U131" si="10">VLOOKUP(P68,$E:$F,2,FALSE)</f>
        <v>41</v>
      </c>
      <c r="V68" s="1">
        <f t="shared" ref="V68:V131" si="11">U68/100</f>
        <v>0.41</v>
      </c>
      <c r="W68" s="1">
        <f t="shared" ref="W68:W131" si="12">MIN(T68,V68)</f>
        <v>0.41</v>
      </c>
      <c r="X68" s="1">
        <f t="shared" ref="X68:X131" si="13">VLOOKUP(P68,$E:$K,7,FALSE)</f>
        <v>0.98</v>
      </c>
      <c r="Y68" s="1">
        <f t="shared" ref="Y68:Y131" si="14">X68*W68*100</f>
        <v>40.18</v>
      </c>
      <c r="Z68" s="1">
        <f t="shared" ref="Z68:Z131" si="15">(Y68*Q68)</f>
        <v>5.5161198341600786</v>
      </c>
    </row>
    <row r="69" spans="13:26" x14ac:dyDescent="0.25">
      <c r="M69" s="2">
        <v>2018</v>
      </c>
      <c r="N69" s="2" t="s">
        <v>63</v>
      </c>
      <c r="O69" s="2" t="s">
        <v>91</v>
      </c>
      <c r="P69" s="2" t="s">
        <v>90</v>
      </c>
      <c r="Q69" s="1">
        <v>0.84052104396595462</v>
      </c>
      <c r="R69" s="1">
        <v>145.93257151774321</v>
      </c>
      <c r="S69" s="1">
        <v>0.57596534839637237</v>
      </c>
      <c r="T69" s="1">
        <f t="shared" si="9"/>
        <v>0.7</v>
      </c>
      <c r="U69" s="1">
        <f t="shared" si="10"/>
        <v>41</v>
      </c>
      <c r="V69" s="1">
        <f t="shared" si="11"/>
        <v>0.41</v>
      </c>
      <c r="W69" s="1">
        <f t="shared" si="12"/>
        <v>0.41</v>
      </c>
      <c r="X69" s="1">
        <f t="shared" si="13"/>
        <v>0.98</v>
      </c>
      <c r="Y69" s="1">
        <f t="shared" si="14"/>
        <v>40.18</v>
      </c>
      <c r="Z69" s="1">
        <f t="shared" si="15"/>
        <v>33.772135546552057</v>
      </c>
    </row>
    <row r="70" spans="13:26" x14ac:dyDescent="0.25">
      <c r="M70" s="2">
        <v>2018</v>
      </c>
      <c r="N70" s="2" t="s">
        <v>63</v>
      </c>
      <c r="O70" s="2" t="s">
        <v>89</v>
      </c>
      <c r="P70" s="2" t="str">
        <f>O70</f>
        <v>S1</v>
      </c>
      <c r="Q70" s="1">
        <v>22.912526533864689</v>
      </c>
      <c r="R70" s="1">
        <v>145.93257151774321</v>
      </c>
      <c r="S70" s="1">
        <v>15.700762547776311</v>
      </c>
      <c r="T70" s="1">
        <f t="shared" si="9"/>
        <v>0.7</v>
      </c>
      <c r="U70" s="1">
        <f t="shared" si="10"/>
        <v>109</v>
      </c>
      <c r="V70" s="1">
        <f t="shared" si="11"/>
        <v>1.0900000000000001</v>
      </c>
      <c r="W70" s="1">
        <f t="shared" si="12"/>
        <v>0.7</v>
      </c>
      <c r="X70" s="1">
        <f t="shared" si="13"/>
        <v>1.1699999999999997</v>
      </c>
      <c r="Y70" s="1">
        <f t="shared" si="14"/>
        <v>81.899999999999977</v>
      </c>
      <c r="Z70" s="1">
        <f t="shared" si="15"/>
        <v>1876.5359231235175</v>
      </c>
    </row>
    <row r="71" spans="13:26" x14ac:dyDescent="0.25">
      <c r="M71" s="2">
        <v>2018</v>
      </c>
      <c r="N71" s="2" t="s">
        <v>63</v>
      </c>
      <c r="O71" s="2" t="s">
        <v>88</v>
      </c>
      <c r="P71" s="2" t="str">
        <f>O71</f>
        <v>S2</v>
      </c>
      <c r="Q71" s="1">
        <v>101.0991089678117</v>
      </c>
      <c r="R71" s="1">
        <v>145.93257151774321</v>
      </c>
      <c r="S71" s="1">
        <v>69.277960304783392</v>
      </c>
      <c r="T71" s="1">
        <f t="shared" si="9"/>
        <v>0.7</v>
      </c>
      <c r="U71" s="1">
        <f t="shared" si="10"/>
        <v>81</v>
      </c>
      <c r="V71" s="1">
        <f t="shared" si="11"/>
        <v>0.81</v>
      </c>
      <c r="W71" s="1">
        <f t="shared" si="12"/>
        <v>0.7</v>
      </c>
      <c r="X71" s="1">
        <f t="shared" si="13"/>
        <v>1.04</v>
      </c>
      <c r="Y71" s="1">
        <f t="shared" si="14"/>
        <v>72.8</v>
      </c>
      <c r="Z71" s="1">
        <f t="shared" si="15"/>
        <v>7360.0151328566917</v>
      </c>
    </row>
    <row r="72" spans="13:26" x14ac:dyDescent="0.25">
      <c r="M72" s="2">
        <v>2018</v>
      </c>
      <c r="N72" s="2" t="s">
        <v>63</v>
      </c>
      <c r="O72" s="2" t="s">
        <v>87</v>
      </c>
      <c r="P72" s="2" t="str">
        <f>O72</f>
        <v>S3</v>
      </c>
      <c r="Q72" s="1">
        <v>20.943129759702561</v>
      </c>
      <c r="R72" s="1">
        <v>145.93257151774321</v>
      </c>
      <c r="S72" s="1">
        <v>14.351237384421889</v>
      </c>
      <c r="T72" s="1">
        <f t="shared" si="9"/>
        <v>0.7</v>
      </c>
      <c r="U72" s="1">
        <f t="shared" si="10"/>
        <v>59</v>
      </c>
      <c r="V72" s="1">
        <f t="shared" si="11"/>
        <v>0.59</v>
      </c>
      <c r="W72" s="1">
        <f t="shared" si="12"/>
        <v>0.59</v>
      </c>
      <c r="X72" s="1">
        <f t="shared" si="13"/>
        <v>0.99999999999999978</v>
      </c>
      <c r="Y72" s="1">
        <f t="shared" si="14"/>
        <v>58.999999999999986</v>
      </c>
      <c r="Z72" s="1">
        <f t="shared" si="15"/>
        <v>1235.6446558224509</v>
      </c>
    </row>
    <row r="73" spans="13:26" x14ac:dyDescent="0.25">
      <c r="M73" s="2">
        <v>2018</v>
      </c>
      <c r="N73" s="2" t="s">
        <v>62</v>
      </c>
      <c r="O73" s="2" t="s">
        <v>92</v>
      </c>
      <c r="P73" s="2" t="s">
        <v>90</v>
      </c>
      <c r="Q73" s="1">
        <v>1.8977526839733281</v>
      </c>
      <c r="R73" s="1">
        <v>144.61536789027591</v>
      </c>
      <c r="S73" s="1">
        <v>1.31227594387701</v>
      </c>
      <c r="T73" s="1">
        <f t="shared" si="9"/>
        <v>1</v>
      </c>
      <c r="U73" s="1">
        <f t="shared" si="10"/>
        <v>41</v>
      </c>
      <c r="V73" s="1">
        <f t="shared" si="11"/>
        <v>0.41</v>
      </c>
      <c r="W73" s="1">
        <f t="shared" si="12"/>
        <v>0.41</v>
      </c>
      <c r="X73" s="1">
        <f t="shared" si="13"/>
        <v>0.98</v>
      </c>
      <c r="Y73" s="1">
        <f t="shared" si="14"/>
        <v>40.18</v>
      </c>
      <c r="Z73" s="1">
        <f t="shared" si="15"/>
        <v>76.251702842048317</v>
      </c>
    </row>
    <row r="74" spans="13:26" x14ac:dyDescent="0.25">
      <c r="M74" s="2">
        <v>2018</v>
      </c>
      <c r="N74" s="2" t="s">
        <v>62</v>
      </c>
      <c r="O74" s="2" t="s">
        <v>91</v>
      </c>
      <c r="P74" s="2" t="s">
        <v>90</v>
      </c>
      <c r="Q74" s="1">
        <v>0.31127806736506458</v>
      </c>
      <c r="R74" s="1">
        <v>144.61536789027591</v>
      </c>
      <c r="S74" s="1">
        <v>0.2152454970077875</v>
      </c>
      <c r="T74" s="1">
        <f t="shared" si="9"/>
        <v>1</v>
      </c>
      <c r="U74" s="1">
        <f t="shared" si="10"/>
        <v>41</v>
      </c>
      <c r="V74" s="1">
        <f t="shared" si="11"/>
        <v>0.41</v>
      </c>
      <c r="W74" s="1">
        <f t="shared" si="12"/>
        <v>0.41</v>
      </c>
      <c r="X74" s="1">
        <f t="shared" si="13"/>
        <v>0.98</v>
      </c>
      <c r="Y74" s="1">
        <f t="shared" si="14"/>
        <v>40.18</v>
      </c>
      <c r="Z74" s="1">
        <f t="shared" si="15"/>
        <v>12.507152746728295</v>
      </c>
    </row>
    <row r="75" spans="13:26" x14ac:dyDescent="0.25">
      <c r="M75" s="2">
        <v>2018</v>
      </c>
      <c r="N75" s="2" t="s">
        <v>62</v>
      </c>
      <c r="O75" s="2" t="s">
        <v>89</v>
      </c>
      <c r="P75" s="2" t="str">
        <f t="shared" ref="P75:P80" si="16">O75</f>
        <v>S1</v>
      </c>
      <c r="Q75" s="1">
        <v>22.20406942202391</v>
      </c>
      <c r="R75" s="1">
        <v>144.61536789027591</v>
      </c>
      <c r="S75" s="1">
        <v>15.353879567537261</v>
      </c>
      <c r="T75" s="1">
        <f t="shared" si="9"/>
        <v>1</v>
      </c>
      <c r="U75" s="1">
        <f t="shared" si="10"/>
        <v>109</v>
      </c>
      <c r="V75" s="1">
        <f t="shared" si="11"/>
        <v>1.0900000000000001</v>
      </c>
      <c r="W75" s="1">
        <f t="shared" si="12"/>
        <v>1</v>
      </c>
      <c r="X75" s="1">
        <f t="shared" si="13"/>
        <v>1.1699999999999997</v>
      </c>
      <c r="Y75" s="1">
        <f t="shared" si="14"/>
        <v>116.99999999999997</v>
      </c>
      <c r="Z75" s="1">
        <f t="shared" si="15"/>
        <v>2597.876122376797</v>
      </c>
    </row>
    <row r="76" spans="13:26" x14ac:dyDescent="0.25">
      <c r="M76" s="2">
        <v>2018</v>
      </c>
      <c r="N76" s="2" t="s">
        <v>62</v>
      </c>
      <c r="O76" s="2" t="s">
        <v>88</v>
      </c>
      <c r="P76" s="2" t="str">
        <f t="shared" si="16"/>
        <v>S2</v>
      </c>
      <c r="Q76" s="1">
        <v>90.895999168663451</v>
      </c>
      <c r="R76" s="1">
        <v>144.61536789027591</v>
      </c>
      <c r="S76" s="1">
        <v>62.853623715585357</v>
      </c>
      <c r="T76" s="1">
        <f t="shared" si="9"/>
        <v>1</v>
      </c>
      <c r="U76" s="1">
        <f t="shared" si="10"/>
        <v>81</v>
      </c>
      <c r="V76" s="1">
        <f t="shared" si="11"/>
        <v>0.81</v>
      </c>
      <c r="W76" s="1">
        <f t="shared" si="12"/>
        <v>0.81</v>
      </c>
      <c r="X76" s="1">
        <f t="shared" si="13"/>
        <v>1.04</v>
      </c>
      <c r="Y76" s="1">
        <f t="shared" si="14"/>
        <v>84.240000000000009</v>
      </c>
      <c r="Z76" s="1">
        <f t="shared" si="15"/>
        <v>7657.07896996821</v>
      </c>
    </row>
    <row r="77" spans="13:26" x14ac:dyDescent="0.25">
      <c r="M77" s="2">
        <v>2018</v>
      </c>
      <c r="N77" s="2" t="s">
        <v>62</v>
      </c>
      <c r="O77" s="2" t="s">
        <v>87</v>
      </c>
      <c r="P77" s="2" t="str">
        <f t="shared" si="16"/>
        <v>S3</v>
      </c>
      <c r="Q77" s="1">
        <v>29.30626854825012</v>
      </c>
      <c r="R77" s="1">
        <v>144.61536789027591</v>
      </c>
      <c r="S77" s="1">
        <v>20.26497527599258</v>
      </c>
      <c r="T77" s="1">
        <f t="shared" si="9"/>
        <v>1</v>
      </c>
      <c r="U77" s="1">
        <f t="shared" si="10"/>
        <v>59</v>
      </c>
      <c r="V77" s="1">
        <f t="shared" si="11"/>
        <v>0.59</v>
      </c>
      <c r="W77" s="1">
        <f t="shared" si="12"/>
        <v>0.59</v>
      </c>
      <c r="X77" s="1">
        <f t="shared" si="13"/>
        <v>0.99999999999999978</v>
      </c>
      <c r="Y77" s="1">
        <f t="shared" si="14"/>
        <v>58.999999999999986</v>
      </c>
      <c r="Z77" s="1">
        <f t="shared" si="15"/>
        <v>1729.0698443467568</v>
      </c>
    </row>
    <row r="78" spans="13:26" x14ac:dyDescent="0.25">
      <c r="M78" s="2">
        <v>2018</v>
      </c>
      <c r="N78" s="2" t="s">
        <v>61</v>
      </c>
      <c r="O78" s="2" t="s">
        <v>89</v>
      </c>
      <c r="P78" s="2" t="str">
        <f t="shared" si="16"/>
        <v>S1</v>
      </c>
      <c r="Q78" s="1">
        <v>7.7471967371413273</v>
      </c>
      <c r="R78" s="1">
        <v>69.467999239478104</v>
      </c>
      <c r="S78" s="1">
        <v>11.152180603955919</v>
      </c>
      <c r="T78" s="1">
        <f t="shared" si="9"/>
        <v>0.6</v>
      </c>
      <c r="U78" s="1">
        <f t="shared" si="10"/>
        <v>109</v>
      </c>
      <c r="V78" s="1">
        <f t="shared" si="11"/>
        <v>1.0900000000000001</v>
      </c>
      <c r="W78" s="1">
        <f t="shared" si="12"/>
        <v>0.6</v>
      </c>
      <c r="X78" s="1">
        <f t="shared" si="13"/>
        <v>1.1699999999999997</v>
      </c>
      <c r="Y78" s="1">
        <f t="shared" si="14"/>
        <v>70.199999999999989</v>
      </c>
      <c r="Z78" s="1">
        <f t="shared" si="15"/>
        <v>543.85321094732103</v>
      </c>
    </row>
    <row r="79" spans="13:26" x14ac:dyDescent="0.25">
      <c r="M79" s="2">
        <v>2018</v>
      </c>
      <c r="N79" s="2" t="s">
        <v>61</v>
      </c>
      <c r="O79" s="2" t="s">
        <v>88</v>
      </c>
      <c r="P79" s="2" t="str">
        <f t="shared" si="16"/>
        <v>S2</v>
      </c>
      <c r="Q79" s="1">
        <v>52.815683314845778</v>
      </c>
      <c r="R79" s="1">
        <v>69.467999239478104</v>
      </c>
      <c r="S79" s="1">
        <v>76.028795838460042</v>
      </c>
      <c r="T79" s="1">
        <f t="shared" si="9"/>
        <v>0.6</v>
      </c>
      <c r="U79" s="1">
        <f t="shared" si="10"/>
        <v>81</v>
      </c>
      <c r="V79" s="1">
        <f t="shared" si="11"/>
        <v>0.81</v>
      </c>
      <c r="W79" s="1">
        <f t="shared" si="12"/>
        <v>0.6</v>
      </c>
      <c r="X79" s="1">
        <f t="shared" si="13"/>
        <v>1.04</v>
      </c>
      <c r="Y79" s="1">
        <f t="shared" si="14"/>
        <v>62.4</v>
      </c>
      <c r="Z79" s="1">
        <f t="shared" si="15"/>
        <v>3295.6986388463765</v>
      </c>
    </row>
    <row r="80" spans="13:26" x14ac:dyDescent="0.25">
      <c r="M80" s="2">
        <v>2018</v>
      </c>
      <c r="N80" s="2" t="s">
        <v>61</v>
      </c>
      <c r="O80" s="2" t="s">
        <v>87</v>
      </c>
      <c r="P80" s="2" t="str">
        <f t="shared" si="16"/>
        <v>S3</v>
      </c>
      <c r="Q80" s="1">
        <v>8.9051191874909854</v>
      </c>
      <c r="R80" s="1">
        <v>69.467999239478104</v>
      </c>
      <c r="S80" s="1">
        <v>12.819023557584019</v>
      </c>
      <c r="T80" s="1">
        <f t="shared" si="9"/>
        <v>0.6</v>
      </c>
      <c r="U80" s="1">
        <f t="shared" si="10"/>
        <v>59</v>
      </c>
      <c r="V80" s="1">
        <f t="shared" si="11"/>
        <v>0.59</v>
      </c>
      <c r="W80" s="1">
        <f t="shared" si="12"/>
        <v>0.59</v>
      </c>
      <c r="X80" s="1">
        <f t="shared" si="13"/>
        <v>0.99999999999999978</v>
      </c>
      <c r="Y80" s="1">
        <f t="shared" si="14"/>
        <v>58.999999999999986</v>
      </c>
      <c r="Z80" s="1">
        <f t="shared" si="15"/>
        <v>525.40203206196804</v>
      </c>
    </row>
    <row r="81" spans="13:26" x14ac:dyDescent="0.25">
      <c r="M81" s="2">
        <v>2018</v>
      </c>
      <c r="N81" s="2" t="s">
        <v>60</v>
      </c>
      <c r="O81" s="2" t="s">
        <v>92</v>
      </c>
      <c r="P81" s="2" t="s">
        <v>90</v>
      </c>
      <c r="Q81" s="1">
        <v>0.14015298306918239</v>
      </c>
      <c r="R81" s="1">
        <v>263.29036326090022</v>
      </c>
      <c r="S81" s="1">
        <v>5.3231337954553898E-2</v>
      </c>
      <c r="T81" s="1">
        <f t="shared" si="9"/>
        <v>0.6</v>
      </c>
      <c r="U81" s="1">
        <f t="shared" si="10"/>
        <v>41</v>
      </c>
      <c r="V81" s="1">
        <f t="shared" si="11"/>
        <v>0.41</v>
      </c>
      <c r="W81" s="1">
        <f t="shared" si="12"/>
        <v>0.41</v>
      </c>
      <c r="X81" s="1">
        <f t="shared" si="13"/>
        <v>0.98</v>
      </c>
      <c r="Y81" s="1">
        <f t="shared" si="14"/>
        <v>40.18</v>
      </c>
      <c r="Z81" s="1">
        <f t="shared" si="15"/>
        <v>5.6313468597197485</v>
      </c>
    </row>
    <row r="82" spans="13:26" x14ac:dyDescent="0.25">
      <c r="M82" s="2">
        <v>2018</v>
      </c>
      <c r="N82" s="2" t="s">
        <v>60</v>
      </c>
      <c r="O82" s="2" t="s">
        <v>91</v>
      </c>
      <c r="P82" s="2" t="s">
        <v>90</v>
      </c>
      <c r="Q82" s="1">
        <v>4.7423552851432023E-2</v>
      </c>
      <c r="R82" s="1">
        <v>263.29036326090022</v>
      </c>
      <c r="S82" s="1">
        <v>1.801188325470119E-2</v>
      </c>
      <c r="T82" s="1">
        <f t="shared" si="9"/>
        <v>0.6</v>
      </c>
      <c r="U82" s="1">
        <f t="shared" si="10"/>
        <v>41</v>
      </c>
      <c r="V82" s="1">
        <f t="shared" si="11"/>
        <v>0.41</v>
      </c>
      <c r="W82" s="1">
        <f t="shared" si="12"/>
        <v>0.41</v>
      </c>
      <c r="X82" s="1">
        <f t="shared" si="13"/>
        <v>0.98</v>
      </c>
      <c r="Y82" s="1">
        <f t="shared" si="14"/>
        <v>40.18</v>
      </c>
      <c r="Z82" s="1">
        <f t="shared" si="15"/>
        <v>1.9054783535705386</v>
      </c>
    </row>
    <row r="83" spans="13:26" x14ac:dyDescent="0.25">
      <c r="M83" s="2">
        <v>2018</v>
      </c>
      <c r="N83" s="2" t="s">
        <v>60</v>
      </c>
      <c r="O83" s="2" t="s">
        <v>89</v>
      </c>
      <c r="P83" s="2" t="str">
        <f>O83</f>
        <v>S1</v>
      </c>
      <c r="Q83" s="1">
        <v>24.052778921812301</v>
      </c>
      <c r="R83" s="1">
        <v>263.29036326090022</v>
      </c>
      <c r="S83" s="1">
        <v>9.1354573801768311</v>
      </c>
      <c r="T83" s="1">
        <f t="shared" si="9"/>
        <v>0.6</v>
      </c>
      <c r="U83" s="1">
        <f t="shared" si="10"/>
        <v>109</v>
      </c>
      <c r="V83" s="1">
        <f t="shared" si="11"/>
        <v>1.0900000000000001</v>
      </c>
      <c r="W83" s="1">
        <f t="shared" si="12"/>
        <v>0.6</v>
      </c>
      <c r="X83" s="1">
        <f t="shared" si="13"/>
        <v>1.1699999999999997</v>
      </c>
      <c r="Y83" s="1">
        <f t="shared" si="14"/>
        <v>70.199999999999989</v>
      </c>
      <c r="Z83" s="1">
        <f t="shared" si="15"/>
        <v>1688.5050803112233</v>
      </c>
    </row>
    <row r="84" spans="13:26" x14ac:dyDescent="0.25">
      <c r="M84" s="2">
        <v>2018</v>
      </c>
      <c r="N84" s="2" t="s">
        <v>60</v>
      </c>
      <c r="O84" s="2" t="s">
        <v>88</v>
      </c>
      <c r="P84" s="2" t="str">
        <f>O84</f>
        <v>S2</v>
      </c>
      <c r="Q84" s="1">
        <v>135.52890614595111</v>
      </c>
      <c r="R84" s="1">
        <v>263.29036326090022</v>
      </c>
      <c r="S84" s="1">
        <v>51.475072793170391</v>
      </c>
      <c r="T84" s="1">
        <f t="shared" si="9"/>
        <v>0.6</v>
      </c>
      <c r="U84" s="1">
        <f t="shared" si="10"/>
        <v>81</v>
      </c>
      <c r="V84" s="1">
        <f t="shared" si="11"/>
        <v>0.81</v>
      </c>
      <c r="W84" s="1">
        <f t="shared" si="12"/>
        <v>0.6</v>
      </c>
      <c r="X84" s="1">
        <f t="shared" si="13"/>
        <v>1.04</v>
      </c>
      <c r="Y84" s="1">
        <f t="shared" si="14"/>
        <v>62.4</v>
      </c>
      <c r="Z84" s="1">
        <f t="shared" si="15"/>
        <v>8457.00374350735</v>
      </c>
    </row>
    <row r="85" spans="13:26" x14ac:dyDescent="0.25">
      <c r="M85" s="2">
        <v>2018</v>
      </c>
      <c r="N85" s="2" t="s">
        <v>60</v>
      </c>
      <c r="O85" s="2" t="s">
        <v>87</v>
      </c>
      <c r="P85" s="2" t="str">
        <f>O85</f>
        <v>S3</v>
      </c>
      <c r="Q85" s="1">
        <v>103.52110165721609</v>
      </c>
      <c r="R85" s="1">
        <v>263.29036326090022</v>
      </c>
      <c r="S85" s="1">
        <v>39.318226605443513</v>
      </c>
      <c r="T85" s="1">
        <f t="shared" si="9"/>
        <v>0.6</v>
      </c>
      <c r="U85" s="1">
        <f t="shared" si="10"/>
        <v>59</v>
      </c>
      <c r="V85" s="1">
        <f t="shared" si="11"/>
        <v>0.59</v>
      </c>
      <c r="W85" s="1">
        <f t="shared" si="12"/>
        <v>0.59</v>
      </c>
      <c r="X85" s="1">
        <f t="shared" si="13"/>
        <v>0.99999999999999978</v>
      </c>
      <c r="Y85" s="1">
        <f t="shared" si="14"/>
        <v>58.999999999999986</v>
      </c>
      <c r="Z85" s="1">
        <f t="shared" si="15"/>
        <v>6107.7449977757478</v>
      </c>
    </row>
    <row r="86" spans="13:26" x14ac:dyDescent="0.25">
      <c r="M86" s="2">
        <v>2018</v>
      </c>
      <c r="N86" s="2" t="s">
        <v>59</v>
      </c>
      <c r="O86" s="2" t="s">
        <v>91</v>
      </c>
      <c r="P86" s="2" t="s">
        <v>90</v>
      </c>
      <c r="Q86" s="1">
        <v>0.27304725725677459</v>
      </c>
      <c r="R86" s="1">
        <v>684.64940387830802</v>
      </c>
      <c r="S86" s="1">
        <v>3.9881325494487238E-2</v>
      </c>
      <c r="T86" s="1">
        <f t="shared" si="9"/>
        <v>0.6</v>
      </c>
      <c r="U86" s="1">
        <f t="shared" si="10"/>
        <v>41</v>
      </c>
      <c r="V86" s="1">
        <f t="shared" si="11"/>
        <v>0.41</v>
      </c>
      <c r="W86" s="1">
        <f t="shared" si="12"/>
        <v>0.41</v>
      </c>
      <c r="X86" s="1">
        <f t="shared" si="13"/>
        <v>0.98</v>
      </c>
      <c r="Y86" s="1">
        <f t="shared" si="14"/>
        <v>40.18</v>
      </c>
      <c r="Z86" s="1">
        <f t="shared" si="15"/>
        <v>10.971038796577202</v>
      </c>
    </row>
    <row r="87" spans="13:26" x14ac:dyDescent="0.25">
      <c r="M87" s="2">
        <v>2018</v>
      </c>
      <c r="N87" s="2" t="s">
        <v>59</v>
      </c>
      <c r="O87" s="2" t="s">
        <v>89</v>
      </c>
      <c r="P87" s="2" t="str">
        <f>O87</f>
        <v>S1</v>
      </c>
      <c r="Q87" s="1">
        <v>121.8865572348333</v>
      </c>
      <c r="R87" s="1">
        <v>684.64940387830802</v>
      </c>
      <c r="S87" s="1">
        <v>17.80276978909016</v>
      </c>
      <c r="T87" s="1">
        <f t="shared" si="9"/>
        <v>0.6</v>
      </c>
      <c r="U87" s="1">
        <f t="shared" si="10"/>
        <v>109</v>
      </c>
      <c r="V87" s="1">
        <f t="shared" si="11"/>
        <v>1.0900000000000001</v>
      </c>
      <c r="W87" s="1">
        <f t="shared" si="12"/>
        <v>0.6</v>
      </c>
      <c r="X87" s="1">
        <f t="shared" si="13"/>
        <v>1.1699999999999997</v>
      </c>
      <c r="Y87" s="1">
        <f t="shared" si="14"/>
        <v>70.199999999999989</v>
      </c>
      <c r="Z87" s="1">
        <f t="shared" si="15"/>
        <v>8556.4363178852964</v>
      </c>
    </row>
    <row r="88" spans="13:26" x14ac:dyDescent="0.25">
      <c r="M88" s="2">
        <v>2018</v>
      </c>
      <c r="N88" s="2" t="s">
        <v>59</v>
      </c>
      <c r="O88" s="2" t="s">
        <v>88</v>
      </c>
      <c r="P88" s="2" t="str">
        <f>O88</f>
        <v>S2</v>
      </c>
      <c r="Q88" s="1">
        <v>426.73338470393543</v>
      </c>
      <c r="R88" s="1">
        <v>684.64940387830802</v>
      </c>
      <c r="S88" s="1">
        <v>62.328745528241861</v>
      </c>
      <c r="T88" s="1">
        <f t="shared" si="9"/>
        <v>0.6</v>
      </c>
      <c r="U88" s="1">
        <f t="shared" si="10"/>
        <v>81</v>
      </c>
      <c r="V88" s="1">
        <f t="shared" si="11"/>
        <v>0.81</v>
      </c>
      <c r="W88" s="1">
        <f t="shared" si="12"/>
        <v>0.6</v>
      </c>
      <c r="X88" s="1">
        <f t="shared" si="13"/>
        <v>1.04</v>
      </c>
      <c r="Y88" s="1">
        <f t="shared" si="14"/>
        <v>62.4</v>
      </c>
      <c r="Z88" s="1">
        <f t="shared" si="15"/>
        <v>26628.163205525569</v>
      </c>
    </row>
    <row r="89" spans="13:26" x14ac:dyDescent="0.25">
      <c r="M89" s="2">
        <v>2018</v>
      </c>
      <c r="N89" s="2" t="s">
        <v>59</v>
      </c>
      <c r="O89" s="2" t="s">
        <v>87</v>
      </c>
      <c r="P89" s="2" t="str">
        <f>O89</f>
        <v>S3</v>
      </c>
      <c r="Q89" s="1">
        <v>135.7564146822825</v>
      </c>
      <c r="R89" s="1">
        <v>684.64940387830802</v>
      </c>
      <c r="S89" s="1">
        <v>19.828603357173488</v>
      </c>
      <c r="T89" s="1">
        <f t="shared" si="9"/>
        <v>0.6</v>
      </c>
      <c r="U89" s="1">
        <f t="shared" si="10"/>
        <v>59</v>
      </c>
      <c r="V89" s="1">
        <f t="shared" si="11"/>
        <v>0.59</v>
      </c>
      <c r="W89" s="1">
        <f t="shared" si="12"/>
        <v>0.59</v>
      </c>
      <c r="X89" s="1">
        <f t="shared" si="13"/>
        <v>0.99999999999999978</v>
      </c>
      <c r="Y89" s="1">
        <f t="shared" si="14"/>
        <v>58.999999999999986</v>
      </c>
      <c r="Z89" s="1">
        <f t="shared" si="15"/>
        <v>8009.628466254665</v>
      </c>
    </row>
    <row r="90" spans="13:26" x14ac:dyDescent="0.25">
      <c r="M90" s="2">
        <v>2018</v>
      </c>
      <c r="N90" s="2" t="s">
        <v>58</v>
      </c>
      <c r="O90" s="2" t="s">
        <v>91</v>
      </c>
      <c r="P90" s="2" t="s">
        <v>90</v>
      </c>
      <c r="Q90" s="1">
        <v>0.510724725922025</v>
      </c>
      <c r="R90" s="1">
        <v>147.90441562365609</v>
      </c>
      <c r="S90" s="1">
        <v>0.34530728766176122</v>
      </c>
      <c r="T90" s="1">
        <f t="shared" si="9"/>
        <v>1</v>
      </c>
      <c r="U90" s="1">
        <f t="shared" si="10"/>
        <v>41</v>
      </c>
      <c r="V90" s="1">
        <f t="shared" si="11"/>
        <v>0.41</v>
      </c>
      <c r="W90" s="1">
        <f t="shared" si="12"/>
        <v>0.41</v>
      </c>
      <c r="X90" s="1">
        <f t="shared" si="13"/>
        <v>0.98</v>
      </c>
      <c r="Y90" s="1">
        <f t="shared" si="14"/>
        <v>40.18</v>
      </c>
      <c r="Z90" s="1">
        <f t="shared" si="15"/>
        <v>20.520919487546966</v>
      </c>
    </row>
    <row r="91" spans="13:26" x14ac:dyDescent="0.25">
      <c r="M91" s="2">
        <v>2018</v>
      </c>
      <c r="N91" s="2" t="s">
        <v>58</v>
      </c>
      <c r="O91" s="2" t="s">
        <v>89</v>
      </c>
      <c r="P91" s="2" t="str">
        <f>O91</f>
        <v>S1</v>
      </c>
      <c r="Q91" s="1">
        <v>21.657352576372801</v>
      </c>
      <c r="R91" s="1">
        <v>147.90441562365609</v>
      </c>
      <c r="S91" s="1">
        <v>14.64280324901191</v>
      </c>
      <c r="T91" s="1">
        <f t="shared" si="9"/>
        <v>1</v>
      </c>
      <c r="U91" s="1">
        <f t="shared" si="10"/>
        <v>109</v>
      </c>
      <c r="V91" s="1">
        <f t="shared" si="11"/>
        <v>1.0900000000000001</v>
      </c>
      <c r="W91" s="1">
        <f t="shared" si="12"/>
        <v>1</v>
      </c>
      <c r="X91" s="1">
        <f t="shared" si="13"/>
        <v>1.1699999999999997</v>
      </c>
      <c r="Y91" s="1">
        <f t="shared" si="14"/>
        <v>116.99999999999997</v>
      </c>
      <c r="Z91" s="1">
        <f t="shared" si="15"/>
        <v>2533.9102514356173</v>
      </c>
    </row>
    <row r="92" spans="13:26" x14ac:dyDescent="0.25">
      <c r="M92" s="2">
        <v>2018</v>
      </c>
      <c r="N92" s="2" t="s">
        <v>58</v>
      </c>
      <c r="O92" s="2" t="s">
        <v>88</v>
      </c>
      <c r="P92" s="2" t="str">
        <f>O92</f>
        <v>S2</v>
      </c>
      <c r="Q92" s="1">
        <v>103.9683090520862</v>
      </c>
      <c r="R92" s="1">
        <v>147.90441562365609</v>
      </c>
      <c r="S92" s="1">
        <v>70.294256336899608</v>
      </c>
      <c r="T92" s="1">
        <f t="shared" si="9"/>
        <v>1</v>
      </c>
      <c r="U92" s="1">
        <f t="shared" si="10"/>
        <v>81</v>
      </c>
      <c r="V92" s="1">
        <f t="shared" si="11"/>
        <v>0.81</v>
      </c>
      <c r="W92" s="1">
        <f t="shared" si="12"/>
        <v>0.81</v>
      </c>
      <c r="X92" s="1">
        <f t="shared" si="13"/>
        <v>1.04</v>
      </c>
      <c r="Y92" s="1">
        <f t="shared" si="14"/>
        <v>84.240000000000009</v>
      </c>
      <c r="Z92" s="1">
        <f t="shared" si="15"/>
        <v>8758.290354547742</v>
      </c>
    </row>
    <row r="93" spans="13:26" x14ac:dyDescent="0.25">
      <c r="M93" s="2">
        <v>2018</v>
      </c>
      <c r="N93" s="2" t="s">
        <v>58</v>
      </c>
      <c r="O93" s="2" t="s">
        <v>87</v>
      </c>
      <c r="P93" s="2" t="str">
        <f>O93</f>
        <v>S3</v>
      </c>
      <c r="Q93" s="1">
        <v>21.768029269275061</v>
      </c>
      <c r="R93" s="1">
        <v>147.90441562365609</v>
      </c>
      <c r="S93" s="1">
        <v>14.717633126426721</v>
      </c>
      <c r="T93" s="1">
        <f t="shared" si="9"/>
        <v>1</v>
      </c>
      <c r="U93" s="1">
        <f t="shared" si="10"/>
        <v>59</v>
      </c>
      <c r="V93" s="1">
        <f t="shared" si="11"/>
        <v>0.59</v>
      </c>
      <c r="W93" s="1">
        <f t="shared" si="12"/>
        <v>0.59</v>
      </c>
      <c r="X93" s="1">
        <f t="shared" si="13"/>
        <v>0.99999999999999978</v>
      </c>
      <c r="Y93" s="1">
        <f t="shared" si="14"/>
        <v>58.999999999999986</v>
      </c>
      <c r="Z93" s="1">
        <f t="shared" si="15"/>
        <v>1284.3137268872283</v>
      </c>
    </row>
    <row r="94" spans="13:26" x14ac:dyDescent="0.25">
      <c r="M94" s="2">
        <v>2019</v>
      </c>
      <c r="N94" s="2" t="s">
        <v>64</v>
      </c>
      <c r="O94" s="2" t="s">
        <v>91</v>
      </c>
      <c r="P94" s="2" t="s">
        <v>90</v>
      </c>
      <c r="Q94" s="1">
        <v>2.395712466219154</v>
      </c>
      <c r="R94" s="1">
        <v>95.634456177845038</v>
      </c>
      <c r="S94" s="1">
        <v>2.5050725041652431</v>
      </c>
      <c r="T94" s="1">
        <f t="shared" si="9"/>
        <v>0.6</v>
      </c>
      <c r="U94" s="1">
        <f t="shared" si="10"/>
        <v>41</v>
      </c>
      <c r="V94" s="1">
        <f t="shared" si="11"/>
        <v>0.41</v>
      </c>
      <c r="W94" s="1">
        <f t="shared" si="12"/>
        <v>0.41</v>
      </c>
      <c r="X94" s="1">
        <f t="shared" si="13"/>
        <v>0.98</v>
      </c>
      <c r="Y94" s="1">
        <f t="shared" si="14"/>
        <v>40.18</v>
      </c>
      <c r="Z94" s="1">
        <f t="shared" si="15"/>
        <v>96.259726892685606</v>
      </c>
    </row>
    <row r="95" spans="13:26" x14ac:dyDescent="0.25">
      <c r="M95" s="2">
        <v>2019</v>
      </c>
      <c r="N95" s="2" t="s">
        <v>64</v>
      </c>
      <c r="O95" s="2" t="s">
        <v>89</v>
      </c>
      <c r="P95" s="2" t="str">
        <f>O95</f>
        <v>S1</v>
      </c>
      <c r="Q95" s="1">
        <v>5.6030118129227517</v>
      </c>
      <c r="R95" s="1">
        <v>95.634456177845038</v>
      </c>
      <c r="S95" s="1">
        <v>5.8587793948482361</v>
      </c>
      <c r="T95" s="1">
        <f t="shared" si="9"/>
        <v>0.6</v>
      </c>
      <c r="U95" s="1">
        <f t="shared" si="10"/>
        <v>109</v>
      </c>
      <c r="V95" s="1">
        <f t="shared" si="11"/>
        <v>1.0900000000000001</v>
      </c>
      <c r="W95" s="1">
        <f t="shared" si="12"/>
        <v>0.6</v>
      </c>
      <c r="X95" s="1">
        <f t="shared" si="13"/>
        <v>1.1699999999999997</v>
      </c>
      <c r="Y95" s="1">
        <f t="shared" si="14"/>
        <v>70.199999999999989</v>
      </c>
      <c r="Z95" s="1">
        <f t="shared" si="15"/>
        <v>393.3314292671771</v>
      </c>
    </row>
    <row r="96" spans="13:26" x14ac:dyDescent="0.25">
      <c r="M96" s="2">
        <v>2019</v>
      </c>
      <c r="N96" s="2" t="s">
        <v>64</v>
      </c>
      <c r="O96" s="2" t="s">
        <v>88</v>
      </c>
      <c r="P96" s="2" t="str">
        <f>O96</f>
        <v>S2</v>
      </c>
      <c r="Q96" s="1">
        <v>40.824640067879763</v>
      </c>
      <c r="R96" s="1">
        <v>95.634456177845038</v>
      </c>
      <c r="S96" s="1">
        <v>42.688212700201781</v>
      </c>
      <c r="T96" s="1">
        <f t="shared" si="9"/>
        <v>0.6</v>
      </c>
      <c r="U96" s="1">
        <f t="shared" si="10"/>
        <v>81</v>
      </c>
      <c r="V96" s="1">
        <f t="shared" si="11"/>
        <v>0.81</v>
      </c>
      <c r="W96" s="1">
        <f t="shared" si="12"/>
        <v>0.6</v>
      </c>
      <c r="X96" s="1">
        <f t="shared" si="13"/>
        <v>1.04</v>
      </c>
      <c r="Y96" s="1">
        <f t="shared" si="14"/>
        <v>62.4</v>
      </c>
      <c r="Z96" s="1">
        <f t="shared" si="15"/>
        <v>2547.4575402356973</v>
      </c>
    </row>
    <row r="97" spans="13:26" x14ac:dyDescent="0.25">
      <c r="M97" s="2">
        <v>2019</v>
      </c>
      <c r="N97" s="2" t="s">
        <v>64</v>
      </c>
      <c r="O97" s="2" t="s">
        <v>87</v>
      </c>
      <c r="P97" s="2" t="str">
        <f>O97</f>
        <v>S3</v>
      </c>
      <c r="Q97" s="1">
        <v>46.811091830823372</v>
      </c>
      <c r="R97" s="1">
        <v>95.634456177845038</v>
      </c>
      <c r="S97" s="1">
        <v>48.947935400784729</v>
      </c>
      <c r="T97" s="1">
        <f t="shared" si="9"/>
        <v>0.6</v>
      </c>
      <c r="U97" s="1">
        <f t="shared" si="10"/>
        <v>59</v>
      </c>
      <c r="V97" s="1">
        <f t="shared" si="11"/>
        <v>0.59</v>
      </c>
      <c r="W97" s="1">
        <f t="shared" si="12"/>
        <v>0.59</v>
      </c>
      <c r="X97" s="1">
        <f t="shared" si="13"/>
        <v>0.99999999999999978</v>
      </c>
      <c r="Y97" s="1">
        <f t="shared" si="14"/>
        <v>58.999999999999986</v>
      </c>
      <c r="Z97" s="1">
        <f t="shared" si="15"/>
        <v>2761.8544180185781</v>
      </c>
    </row>
    <row r="98" spans="13:26" x14ac:dyDescent="0.25">
      <c r="M98" s="2">
        <v>2019</v>
      </c>
      <c r="N98" s="2" t="s">
        <v>63</v>
      </c>
      <c r="O98" s="2" t="s">
        <v>92</v>
      </c>
      <c r="P98" s="2" t="s">
        <v>90</v>
      </c>
      <c r="Q98" s="1">
        <v>0.13728521239821001</v>
      </c>
      <c r="R98" s="1">
        <v>153.09053231094549</v>
      </c>
      <c r="S98" s="1">
        <v>8.9675834505145643E-2</v>
      </c>
      <c r="T98" s="1">
        <f t="shared" si="9"/>
        <v>0.7</v>
      </c>
      <c r="U98" s="1">
        <f t="shared" si="10"/>
        <v>41</v>
      </c>
      <c r="V98" s="1">
        <f t="shared" si="11"/>
        <v>0.41</v>
      </c>
      <c r="W98" s="1">
        <f t="shared" si="12"/>
        <v>0.41</v>
      </c>
      <c r="X98" s="1">
        <f t="shared" si="13"/>
        <v>0.98</v>
      </c>
      <c r="Y98" s="1">
        <f t="shared" si="14"/>
        <v>40.18</v>
      </c>
      <c r="Z98" s="1">
        <f t="shared" si="15"/>
        <v>5.5161198341600786</v>
      </c>
    </row>
    <row r="99" spans="13:26" x14ac:dyDescent="0.25">
      <c r="M99" s="2">
        <v>2019</v>
      </c>
      <c r="N99" s="2" t="s">
        <v>63</v>
      </c>
      <c r="O99" s="2" t="s">
        <v>91</v>
      </c>
      <c r="P99" s="2" t="s">
        <v>90</v>
      </c>
      <c r="Q99" s="1">
        <v>0.84052104396595462</v>
      </c>
      <c r="R99" s="1">
        <v>153.09053231094549</v>
      </c>
      <c r="S99" s="1">
        <v>0.54903528734144957</v>
      </c>
      <c r="T99" s="1">
        <f t="shared" si="9"/>
        <v>0.7</v>
      </c>
      <c r="U99" s="1">
        <f t="shared" si="10"/>
        <v>41</v>
      </c>
      <c r="V99" s="1">
        <f t="shared" si="11"/>
        <v>0.41</v>
      </c>
      <c r="W99" s="1">
        <f t="shared" si="12"/>
        <v>0.41</v>
      </c>
      <c r="X99" s="1">
        <f t="shared" si="13"/>
        <v>0.98</v>
      </c>
      <c r="Y99" s="1">
        <f t="shared" si="14"/>
        <v>40.18</v>
      </c>
      <c r="Z99" s="1">
        <f t="shared" si="15"/>
        <v>33.772135546552057</v>
      </c>
    </row>
    <row r="100" spans="13:26" x14ac:dyDescent="0.25">
      <c r="M100" s="2">
        <v>2019</v>
      </c>
      <c r="N100" s="2" t="s">
        <v>63</v>
      </c>
      <c r="O100" s="2" t="s">
        <v>89</v>
      </c>
      <c r="P100" s="2" t="str">
        <f>O100</f>
        <v>S1</v>
      </c>
      <c r="Q100" s="1">
        <v>22.912526533864689</v>
      </c>
      <c r="R100" s="1">
        <v>153.09053231094549</v>
      </c>
      <c r="S100" s="1">
        <v>14.96665155447141</v>
      </c>
      <c r="T100" s="1">
        <f t="shared" si="9"/>
        <v>0.7</v>
      </c>
      <c r="U100" s="1">
        <f t="shared" si="10"/>
        <v>109</v>
      </c>
      <c r="V100" s="1">
        <f t="shared" si="11"/>
        <v>1.0900000000000001</v>
      </c>
      <c r="W100" s="1">
        <f t="shared" si="12"/>
        <v>0.7</v>
      </c>
      <c r="X100" s="1">
        <f t="shared" si="13"/>
        <v>1.1699999999999997</v>
      </c>
      <c r="Y100" s="1">
        <f t="shared" si="14"/>
        <v>81.899999999999977</v>
      </c>
      <c r="Z100" s="1">
        <f t="shared" si="15"/>
        <v>1876.5359231235175</v>
      </c>
    </row>
    <row r="101" spans="13:26" x14ac:dyDescent="0.25">
      <c r="M101" s="2">
        <v>2019</v>
      </c>
      <c r="N101" s="2" t="s">
        <v>63</v>
      </c>
      <c r="O101" s="2" t="s">
        <v>88</v>
      </c>
      <c r="P101" s="2" t="str">
        <f>O101</f>
        <v>S2</v>
      </c>
      <c r="Q101" s="1">
        <v>103.2214101735939</v>
      </c>
      <c r="R101" s="1">
        <v>153.09053231094549</v>
      </c>
      <c r="S101" s="1">
        <v>67.425077576932438</v>
      </c>
      <c r="T101" s="1">
        <f t="shared" si="9"/>
        <v>0.7</v>
      </c>
      <c r="U101" s="1">
        <f t="shared" si="10"/>
        <v>81</v>
      </c>
      <c r="V101" s="1">
        <f t="shared" si="11"/>
        <v>0.81</v>
      </c>
      <c r="W101" s="1">
        <f t="shared" si="12"/>
        <v>0.7</v>
      </c>
      <c r="X101" s="1">
        <f t="shared" si="13"/>
        <v>1.04</v>
      </c>
      <c r="Y101" s="1">
        <f t="shared" si="14"/>
        <v>72.8</v>
      </c>
      <c r="Z101" s="1">
        <f t="shared" si="15"/>
        <v>7514.5186606376355</v>
      </c>
    </row>
    <row r="102" spans="13:26" x14ac:dyDescent="0.25">
      <c r="M102" s="2">
        <v>2019</v>
      </c>
      <c r="N102" s="2" t="s">
        <v>63</v>
      </c>
      <c r="O102" s="2" t="s">
        <v>87</v>
      </c>
      <c r="P102" s="2" t="str">
        <f>O102</f>
        <v>S3</v>
      </c>
      <c r="Q102" s="1">
        <v>25.978789347122849</v>
      </c>
      <c r="R102" s="1">
        <v>153.09053231094549</v>
      </c>
      <c r="S102" s="1">
        <v>16.96955974674956</v>
      </c>
      <c r="T102" s="1">
        <f t="shared" si="9"/>
        <v>0.7</v>
      </c>
      <c r="U102" s="1">
        <f t="shared" si="10"/>
        <v>59</v>
      </c>
      <c r="V102" s="1">
        <f t="shared" si="11"/>
        <v>0.59</v>
      </c>
      <c r="W102" s="1">
        <f t="shared" si="12"/>
        <v>0.59</v>
      </c>
      <c r="X102" s="1">
        <f t="shared" si="13"/>
        <v>0.99999999999999978</v>
      </c>
      <c r="Y102" s="1">
        <f t="shared" si="14"/>
        <v>58.999999999999986</v>
      </c>
      <c r="Z102" s="1">
        <f t="shared" si="15"/>
        <v>1532.7485714802476</v>
      </c>
    </row>
    <row r="103" spans="13:26" x14ac:dyDescent="0.25">
      <c r="M103" s="2">
        <v>2019</v>
      </c>
      <c r="N103" s="2" t="s">
        <v>62</v>
      </c>
      <c r="O103" s="2" t="s">
        <v>92</v>
      </c>
      <c r="P103" s="2" t="s">
        <v>90</v>
      </c>
      <c r="Q103" s="1">
        <v>1.8977526839733281</v>
      </c>
      <c r="R103" s="1">
        <v>144.61536789027591</v>
      </c>
      <c r="S103" s="1">
        <v>1.31227594387701</v>
      </c>
      <c r="T103" s="1">
        <f t="shared" si="9"/>
        <v>1</v>
      </c>
      <c r="U103" s="1">
        <f t="shared" si="10"/>
        <v>41</v>
      </c>
      <c r="V103" s="1">
        <f t="shared" si="11"/>
        <v>0.41</v>
      </c>
      <c r="W103" s="1">
        <f t="shared" si="12"/>
        <v>0.41</v>
      </c>
      <c r="X103" s="1">
        <f t="shared" si="13"/>
        <v>0.98</v>
      </c>
      <c r="Y103" s="1">
        <f t="shared" si="14"/>
        <v>40.18</v>
      </c>
      <c r="Z103" s="1">
        <f t="shared" si="15"/>
        <v>76.251702842048317</v>
      </c>
    </row>
    <row r="104" spans="13:26" x14ac:dyDescent="0.25">
      <c r="M104" s="2">
        <v>2019</v>
      </c>
      <c r="N104" s="2" t="s">
        <v>62</v>
      </c>
      <c r="O104" s="2" t="s">
        <v>91</v>
      </c>
      <c r="P104" s="2" t="s">
        <v>90</v>
      </c>
      <c r="Q104" s="1">
        <v>0.31127806736506458</v>
      </c>
      <c r="R104" s="1">
        <v>144.61536789027591</v>
      </c>
      <c r="S104" s="1">
        <v>0.2152454970077875</v>
      </c>
      <c r="T104" s="1">
        <f t="shared" si="9"/>
        <v>1</v>
      </c>
      <c r="U104" s="1">
        <f t="shared" si="10"/>
        <v>41</v>
      </c>
      <c r="V104" s="1">
        <f t="shared" si="11"/>
        <v>0.41</v>
      </c>
      <c r="W104" s="1">
        <f t="shared" si="12"/>
        <v>0.41</v>
      </c>
      <c r="X104" s="1">
        <f t="shared" si="13"/>
        <v>0.98</v>
      </c>
      <c r="Y104" s="1">
        <f t="shared" si="14"/>
        <v>40.18</v>
      </c>
      <c r="Z104" s="1">
        <f t="shared" si="15"/>
        <v>12.507152746728295</v>
      </c>
    </row>
    <row r="105" spans="13:26" x14ac:dyDescent="0.25">
      <c r="M105" s="2">
        <v>2019</v>
      </c>
      <c r="N105" s="2" t="s">
        <v>62</v>
      </c>
      <c r="O105" s="2" t="s">
        <v>89</v>
      </c>
      <c r="P105" s="2" t="str">
        <f t="shared" ref="P105:P110" si="17">O105</f>
        <v>S1</v>
      </c>
      <c r="Q105" s="1">
        <v>22.20406942202391</v>
      </c>
      <c r="R105" s="1">
        <v>144.61536789027591</v>
      </c>
      <c r="S105" s="1">
        <v>15.353879567537261</v>
      </c>
      <c r="T105" s="1">
        <f t="shared" si="9"/>
        <v>1</v>
      </c>
      <c r="U105" s="1">
        <f t="shared" si="10"/>
        <v>109</v>
      </c>
      <c r="V105" s="1">
        <f t="shared" si="11"/>
        <v>1.0900000000000001</v>
      </c>
      <c r="W105" s="1">
        <f t="shared" si="12"/>
        <v>1</v>
      </c>
      <c r="X105" s="1">
        <f t="shared" si="13"/>
        <v>1.1699999999999997</v>
      </c>
      <c r="Y105" s="1">
        <f t="shared" si="14"/>
        <v>116.99999999999997</v>
      </c>
      <c r="Z105" s="1">
        <f t="shared" si="15"/>
        <v>2597.876122376797</v>
      </c>
    </row>
    <row r="106" spans="13:26" x14ac:dyDescent="0.25">
      <c r="M106" s="2">
        <v>2019</v>
      </c>
      <c r="N106" s="2" t="s">
        <v>62</v>
      </c>
      <c r="O106" s="2" t="s">
        <v>88</v>
      </c>
      <c r="P106" s="2" t="str">
        <f t="shared" si="17"/>
        <v>S2</v>
      </c>
      <c r="Q106" s="1">
        <v>90.895999168663451</v>
      </c>
      <c r="R106" s="1">
        <v>144.61536789027591</v>
      </c>
      <c r="S106" s="1">
        <v>62.853623715585357</v>
      </c>
      <c r="T106" s="1">
        <f t="shared" si="9"/>
        <v>1</v>
      </c>
      <c r="U106" s="1">
        <f t="shared" si="10"/>
        <v>81</v>
      </c>
      <c r="V106" s="1">
        <f t="shared" si="11"/>
        <v>0.81</v>
      </c>
      <c r="W106" s="1">
        <f t="shared" si="12"/>
        <v>0.81</v>
      </c>
      <c r="X106" s="1">
        <f t="shared" si="13"/>
        <v>1.04</v>
      </c>
      <c r="Y106" s="1">
        <f t="shared" si="14"/>
        <v>84.240000000000009</v>
      </c>
      <c r="Z106" s="1">
        <f t="shared" si="15"/>
        <v>7657.07896996821</v>
      </c>
    </row>
    <row r="107" spans="13:26" x14ac:dyDescent="0.25">
      <c r="M107" s="2">
        <v>2019</v>
      </c>
      <c r="N107" s="2" t="s">
        <v>62</v>
      </c>
      <c r="O107" s="2" t="s">
        <v>87</v>
      </c>
      <c r="P107" s="2" t="str">
        <f t="shared" si="17"/>
        <v>S3</v>
      </c>
      <c r="Q107" s="1">
        <v>29.30626854825012</v>
      </c>
      <c r="R107" s="1">
        <v>144.61536789027591</v>
      </c>
      <c r="S107" s="1">
        <v>20.26497527599258</v>
      </c>
      <c r="T107" s="1">
        <f t="shared" si="9"/>
        <v>1</v>
      </c>
      <c r="U107" s="1">
        <f t="shared" si="10"/>
        <v>59</v>
      </c>
      <c r="V107" s="1">
        <f t="shared" si="11"/>
        <v>0.59</v>
      </c>
      <c r="W107" s="1">
        <f t="shared" si="12"/>
        <v>0.59</v>
      </c>
      <c r="X107" s="1">
        <f t="shared" si="13"/>
        <v>0.99999999999999978</v>
      </c>
      <c r="Y107" s="1">
        <f t="shared" si="14"/>
        <v>58.999999999999986</v>
      </c>
      <c r="Z107" s="1">
        <f t="shared" si="15"/>
        <v>1729.0698443467568</v>
      </c>
    </row>
    <row r="108" spans="13:26" x14ac:dyDescent="0.25">
      <c r="M108" s="2">
        <v>2019</v>
      </c>
      <c r="N108" s="2" t="s">
        <v>61</v>
      </c>
      <c r="O108" s="2" t="s">
        <v>89</v>
      </c>
      <c r="P108" s="2" t="str">
        <f t="shared" si="17"/>
        <v>S1</v>
      </c>
      <c r="Q108" s="1">
        <v>7.7471967371413273</v>
      </c>
      <c r="R108" s="1">
        <v>69.467999239478104</v>
      </c>
      <c r="S108" s="1">
        <v>11.152180603955919</v>
      </c>
      <c r="T108" s="1">
        <f t="shared" si="9"/>
        <v>0.6</v>
      </c>
      <c r="U108" s="1">
        <f t="shared" si="10"/>
        <v>109</v>
      </c>
      <c r="V108" s="1">
        <f t="shared" si="11"/>
        <v>1.0900000000000001</v>
      </c>
      <c r="W108" s="1">
        <f t="shared" si="12"/>
        <v>0.6</v>
      </c>
      <c r="X108" s="1">
        <f t="shared" si="13"/>
        <v>1.1699999999999997</v>
      </c>
      <c r="Y108" s="1">
        <f t="shared" si="14"/>
        <v>70.199999999999989</v>
      </c>
      <c r="Z108" s="1">
        <f t="shared" si="15"/>
        <v>543.85321094732103</v>
      </c>
    </row>
    <row r="109" spans="13:26" x14ac:dyDescent="0.25">
      <c r="M109" s="2">
        <v>2019</v>
      </c>
      <c r="N109" s="2" t="s">
        <v>61</v>
      </c>
      <c r="O109" s="2" t="s">
        <v>88</v>
      </c>
      <c r="P109" s="2" t="str">
        <f t="shared" si="17"/>
        <v>S2</v>
      </c>
      <c r="Q109" s="1">
        <v>52.815683314845778</v>
      </c>
      <c r="R109" s="1">
        <v>69.467999239478104</v>
      </c>
      <c r="S109" s="1">
        <v>76.028795838460042</v>
      </c>
      <c r="T109" s="1">
        <f t="shared" si="9"/>
        <v>0.6</v>
      </c>
      <c r="U109" s="1">
        <f t="shared" si="10"/>
        <v>81</v>
      </c>
      <c r="V109" s="1">
        <f t="shared" si="11"/>
        <v>0.81</v>
      </c>
      <c r="W109" s="1">
        <f t="shared" si="12"/>
        <v>0.6</v>
      </c>
      <c r="X109" s="1">
        <f t="shared" si="13"/>
        <v>1.04</v>
      </c>
      <c r="Y109" s="1">
        <f t="shared" si="14"/>
        <v>62.4</v>
      </c>
      <c r="Z109" s="1">
        <f t="shared" si="15"/>
        <v>3295.6986388463765</v>
      </c>
    </row>
    <row r="110" spans="13:26" x14ac:dyDescent="0.25">
      <c r="M110" s="2">
        <v>2019</v>
      </c>
      <c r="N110" s="2" t="s">
        <v>61</v>
      </c>
      <c r="O110" s="2" t="s">
        <v>87</v>
      </c>
      <c r="P110" s="2" t="str">
        <f t="shared" si="17"/>
        <v>S3</v>
      </c>
      <c r="Q110" s="1">
        <v>8.9051191874909854</v>
      </c>
      <c r="R110" s="1">
        <v>69.467999239478104</v>
      </c>
      <c r="S110" s="1">
        <v>12.819023557584019</v>
      </c>
      <c r="T110" s="1">
        <f t="shared" si="9"/>
        <v>0.6</v>
      </c>
      <c r="U110" s="1">
        <f t="shared" si="10"/>
        <v>59</v>
      </c>
      <c r="V110" s="1">
        <f t="shared" si="11"/>
        <v>0.59</v>
      </c>
      <c r="W110" s="1">
        <f t="shared" si="12"/>
        <v>0.59</v>
      </c>
      <c r="X110" s="1">
        <f t="shared" si="13"/>
        <v>0.99999999999999978</v>
      </c>
      <c r="Y110" s="1">
        <f t="shared" si="14"/>
        <v>58.999999999999986</v>
      </c>
      <c r="Z110" s="1">
        <f t="shared" si="15"/>
        <v>525.40203206196804</v>
      </c>
    </row>
    <row r="111" spans="13:26" x14ac:dyDescent="0.25">
      <c r="M111" s="2">
        <v>2019</v>
      </c>
      <c r="N111" s="2" t="s">
        <v>60</v>
      </c>
      <c r="O111" s="2" t="s">
        <v>92</v>
      </c>
      <c r="P111" s="2" t="s">
        <v>90</v>
      </c>
      <c r="Q111" s="1">
        <v>0.14015298306918239</v>
      </c>
      <c r="R111" s="1">
        <v>246.66000965570481</v>
      </c>
      <c r="S111" s="1">
        <v>5.682031037978634E-2</v>
      </c>
      <c r="T111" s="1">
        <f t="shared" si="9"/>
        <v>0.6</v>
      </c>
      <c r="U111" s="1">
        <f t="shared" si="10"/>
        <v>41</v>
      </c>
      <c r="V111" s="1">
        <f t="shared" si="11"/>
        <v>0.41</v>
      </c>
      <c r="W111" s="1">
        <f t="shared" si="12"/>
        <v>0.41</v>
      </c>
      <c r="X111" s="1">
        <f t="shared" si="13"/>
        <v>0.98</v>
      </c>
      <c r="Y111" s="1">
        <f t="shared" si="14"/>
        <v>40.18</v>
      </c>
      <c r="Z111" s="1">
        <f t="shared" si="15"/>
        <v>5.6313468597197485</v>
      </c>
    </row>
    <row r="112" spans="13:26" x14ac:dyDescent="0.25">
      <c r="M112" s="2">
        <v>2019</v>
      </c>
      <c r="N112" s="2" t="s">
        <v>60</v>
      </c>
      <c r="O112" s="2" t="s">
        <v>91</v>
      </c>
      <c r="P112" s="2" t="s">
        <v>90</v>
      </c>
      <c r="Q112" s="1">
        <v>4.7423552851432023E-2</v>
      </c>
      <c r="R112" s="1">
        <v>246.66000965570481</v>
      </c>
      <c r="S112" s="1">
        <v>1.9226283546176452E-2</v>
      </c>
      <c r="T112" s="1">
        <f t="shared" si="9"/>
        <v>0.6</v>
      </c>
      <c r="U112" s="1">
        <f t="shared" si="10"/>
        <v>41</v>
      </c>
      <c r="V112" s="1">
        <f t="shared" si="11"/>
        <v>0.41</v>
      </c>
      <c r="W112" s="1">
        <f t="shared" si="12"/>
        <v>0.41</v>
      </c>
      <c r="X112" s="1">
        <f t="shared" si="13"/>
        <v>0.98</v>
      </c>
      <c r="Y112" s="1">
        <f t="shared" si="14"/>
        <v>40.18</v>
      </c>
      <c r="Z112" s="1">
        <f t="shared" si="15"/>
        <v>1.9054783535705386</v>
      </c>
    </row>
    <row r="113" spans="13:26" x14ac:dyDescent="0.25">
      <c r="M113" s="2">
        <v>2019</v>
      </c>
      <c r="N113" s="2" t="s">
        <v>60</v>
      </c>
      <c r="O113" s="2" t="s">
        <v>89</v>
      </c>
      <c r="P113" s="2" t="str">
        <f>O113</f>
        <v>S1</v>
      </c>
      <c r="Q113" s="1">
        <v>24.052778921812301</v>
      </c>
      <c r="R113" s="1">
        <v>246.66000965570481</v>
      </c>
      <c r="S113" s="1">
        <v>9.7513897592827732</v>
      </c>
      <c r="T113" s="1">
        <f t="shared" si="9"/>
        <v>0.6</v>
      </c>
      <c r="U113" s="1">
        <f t="shared" si="10"/>
        <v>109</v>
      </c>
      <c r="V113" s="1">
        <f t="shared" si="11"/>
        <v>1.0900000000000001</v>
      </c>
      <c r="W113" s="1">
        <f t="shared" si="12"/>
        <v>0.6</v>
      </c>
      <c r="X113" s="1">
        <f t="shared" si="13"/>
        <v>1.1699999999999997</v>
      </c>
      <c r="Y113" s="1">
        <f t="shared" si="14"/>
        <v>70.199999999999989</v>
      </c>
      <c r="Z113" s="1">
        <f t="shared" si="15"/>
        <v>1688.5050803112233</v>
      </c>
    </row>
    <row r="114" spans="13:26" x14ac:dyDescent="0.25">
      <c r="M114" s="2">
        <v>2019</v>
      </c>
      <c r="N114" s="2" t="s">
        <v>60</v>
      </c>
      <c r="O114" s="2" t="s">
        <v>88</v>
      </c>
      <c r="P114" s="2" t="str">
        <f>O114</f>
        <v>S2</v>
      </c>
      <c r="Q114" s="1">
        <v>131.7880605108061</v>
      </c>
      <c r="R114" s="1">
        <v>246.66000965570481</v>
      </c>
      <c r="S114" s="1">
        <v>53.429034035456212</v>
      </c>
      <c r="T114" s="1">
        <f t="shared" si="9"/>
        <v>0.6</v>
      </c>
      <c r="U114" s="1">
        <f t="shared" si="10"/>
        <v>81</v>
      </c>
      <c r="V114" s="1">
        <f t="shared" si="11"/>
        <v>0.81</v>
      </c>
      <c r="W114" s="1">
        <f t="shared" si="12"/>
        <v>0.6</v>
      </c>
      <c r="X114" s="1">
        <f t="shared" si="13"/>
        <v>1.04</v>
      </c>
      <c r="Y114" s="1">
        <f t="shared" si="14"/>
        <v>62.4</v>
      </c>
      <c r="Z114" s="1">
        <f t="shared" si="15"/>
        <v>8223.5749758743004</v>
      </c>
    </row>
    <row r="115" spans="13:26" x14ac:dyDescent="0.25">
      <c r="M115" s="2">
        <v>2019</v>
      </c>
      <c r="N115" s="2" t="s">
        <v>60</v>
      </c>
      <c r="O115" s="2" t="s">
        <v>87</v>
      </c>
      <c r="P115" s="2" t="str">
        <f>O115</f>
        <v>S3</v>
      </c>
      <c r="Q115" s="1">
        <v>90.631593687165804</v>
      </c>
      <c r="R115" s="1">
        <v>246.66000965570481</v>
      </c>
      <c r="S115" s="1">
        <v>36.743529611335063</v>
      </c>
      <c r="T115" s="1">
        <f t="shared" si="9"/>
        <v>0.6</v>
      </c>
      <c r="U115" s="1">
        <f t="shared" si="10"/>
        <v>59</v>
      </c>
      <c r="V115" s="1">
        <f t="shared" si="11"/>
        <v>0.59</v>
      </c>
      <c r="W115" s="1">
        <f t="shared" si="12"/>
        <v>0.59</v>
      </c>
      <c r="X115" s="1">
        <f t="shared" si="13"/>
        <v>0.99999999999999978</v>
      </c>
      <c r="Y115" s="1">
        <f t="shared" si="14"/>
        <v>58.999999999999986</v>
      </c>
      <c r="Z115" s="1">
        <f t="shared" si="15"/>
        <v>5347.2640275427812</v>
      </c>
    </row>
    <row r="116" spans="13:26" x14ac:dyDescent="0.25">
      <c r="M116" s="2">
        <v>2019</v>
      </c>
      <c r="N116" s="2" t="s">
        <v>59</v>
      </c>
      <c r="O116" s="2" t="s">
        <v>91</v>
      </c>
      <c r="P116" s="2" t="s">
        <v>90</v>
      </c>
      <c r="Q116" s="1">
        <v>0.27304725725677459</v>
      </c>
      <c r="R116" s="1">
        <v>660.46976559897587</v>
      </c>
      <c r="S116" s="1">
        <v>4.1341371169223727E-2</v>
      </c>
      <c r="T116" s="1">
        <f t="shared" si="9"/>
        <v>0.6</v>
      </c>
      <c r="U116" s="1">
        <f t="shared" si="10"/>
        <v>41</v>
      </c>
      <c r="V116" s="1">
        <f t="shared" si="11"/>
        <v>0.41</v>
      </c>
      <c r="W116" s="1">
        <f t="shared" si="12"/>
        <v>0.41</v>
      </c>
      <c r="X116" s="1">
        <f t="shared" si="13"/>
        <v>0.98</v>
      </c>
      <c r="Y116" s="1">
        <f t="shared" si="14"/>
        <v>40.18</v>
      </c>
      <c r="Z116" s="1">
        <f t="shared" si="15"/>
        <v>10.971038796577202</v>
      </c>
    </row>
    <row r="117" spans="13:26" x14ac:dyDescent="0.25">
      <c r="M117" s="2">
        <v>2019</v>
      </c>
      <c r="N117" s="2" t="s">
        <v>59</v>
      </c>
      <c r="O117" s="2" t="s">
        <v>89</v>
      </c>
      <c r="P117" s="2" t="str">
        <f>O117</f>
        <v>S1</v>
      </c>
      <c r="Q117" s="1">
        <v>118.6440011359941</v>
      </c>
      <c r="R117" s="1">
        <v>660.46976559897587</v>
      </c>
      <c r="S117" s="1">
        <v>17.963577943404669</v>
      </c>
      <c r="T117" s="1">
        <f t="shared" si="9"/>
        <v>0.6</v>
      </c>
      <c r="U117" s="1">
        <f t="shared" si="10"/>
        <v>109</v>
      </c>
      <c r="V117" s="1">
        <f t="shared" si="11"/>
        <v>1.0900000000000001</v>
      </c>
      <c r="W117" s="1">
        <f t="shared" si="12"/>
        <v>0.6</v>
      </c>
      <c r="X117" s="1">
        <f t="shared" si="13"/>
        <v>1.1699999999999997</v>
      </c>
      <c r="Y117" s="1">
        <f t="shared" si="14"/>
        <v>70.199999999999989</v>
      </c>
      <c r="Z117" s="1">
        <f t="shared" si="15"/>
        <v>8328.8088797467844</v>
      </c>
    </row>
    <row r="118" spans="13:26" x14ac:dyDescent="0.25">
      <c r="M118" s="2">
        <v>2019</v>
      </c>
      <c r="N118" s="2" t="s">
        <v>59</v>
      </c>
      <c r="O118" s="2" t="s">
        <v>88</v>
      </c>
      <c r="P118" s="2" t="str">
        <f>O118</f>
        <v>S2</v>
      </c>
      <c r="Q118" s="1">
        <v>408.6125125264528</v>
      </c>
      <c r="R118" s="1">
        <v>660.46976559897587</v>
      </c>
      <c r="S118" s="1">
        <v>61.866951949857182</v>
      </c>
      <c r="T118" s="1">
        <f t="shared" si="9"/>
        <v>0.6</v>
      </c>
      <c r="U118" s="1">
        <f t="shared" si="10"/>
        <v>81</v>
      </c>
      <c r="V118" s="1">
        <f t="shared" si="11"/>
        <v>0.81</v>
      </c>
      <c r="W118" s="1">
        <f t="shared" si="12"/>
        <v>0.6</v>
      </c>
      <c r="X118" s="1">
        <f t="shared" si="13"/>
        <v>1.04</v>
      </c>
      <c r="Y118" s="1">
        <f t="shared" si="14"/>
        <v>62.4</v>
      </c>
      <c r="Z118" s="1">
        <f t="shared" si="15"/>
        <v>25497.420781650653</v>
      </c>
    </row>
    <row r="119" spans="13:26" x14ac:dyDescent="0.25">
      <c r="M119" s="2">
        <v>2019</v>
      </c>
      <c r="N119" s="2" t="s">
        <v>59</v>
      </c>
      <c r="O119" s="2" t="s">
        <v>87</v>
      </c>
      <c r="P119" s="2" t="str">
        <f>O119</f>
        <v>S3</v>
      </c>
      <c r="Q119" s="1">
        <v>132.94020467927211</v>
      </c>
      <c r="R119" s="1">
        <v>660.46976559897587</v>
      </c>
      <c r="S119" s="1">
        <v>20.128128735568911</v>
      </c>
      <c r="T119" s="1">
        <f t="shared" si="9"/>
        <v>0.6</v>
      </c>
      <c r="U119" s="1">
        <f t="shared" si="10"/>
        <v>59</v>
      </c>
      <c r="V119" s="1">
        <f t="shared" si="11"/>
        <v>0.59</v>
      </c>
      <c r="W119" s="1">
        <f t="shared" si="12"/>
        <v>0.59</v>
      </c>
      <c r="X119" s="1">
        <f t="shared" si="13"/>
        <v>0.99999999999999978</v>
      </c>
      <c r="Y119" s="1">
        <f t="shared" si="14"/>
        <v>58.999999999999986</v>
      </c>
      <c r="Z119" s="1">
        <f t="shared" si="15"/>
        <v>7843.4720760770524</v>
      </c>
    </row>
    <row r="120" spans="13:26" x14ac:dyDescent="0.25">
      <c r="M120" s="2">
        <v>2019</v>
      </c>
      <c r="N120" s="2" t="s">
        <v>58</v>
      </c>
      <c r="O120" s="2" t="s">
        <v>91</v>
      </c>
      <c r="P120" s="2" t="s">
        <v>90</v>
      </c>
      <c r="Q120" s="1">
        <v>0.510724725922025</v>
      </c>
      <c r="R120" s="1">
        <v>172.08405390298819</v>
      </c>
      <c r="S120" s="1">
        <v>0.29678794422750188</v>
      </c>
      <c r="T120" s="1">
        <f t="shared" si="9"/>
        <v>1</v>
      </c>
      <c r="U120" s="1">
        <f t="shared" si="10"/>
        <v>41</v>
      </c>
      <c r="V120" s="1">
        <f t="shared" si="11"/>
        <v>0.41</v>
      </c>
      <c r="W120" s="1">
        <f t="shared" si="12"/>
        <v>0.41</v>
      </c>
      <c r="X120" s="1">
        <f t="shared" si="13"/>
        <v>0.98</v>
      </c>
      <c r="Y120" s="1">
        <f t="shared" si="14"/>
        <v>40.18</v>
      </c>
      <c r="Z120" s="1">
        <f t="shared" si="15"/>
        <v>20.520919487546966</v>
      </c>
    </row>
    <row r="121" spans="13:26" x14ac:dyDescent="0.25">
      <c r="M121" s="2">
        <v>2019</v>
      </c>
      <c r="N121" s="2" t="s">
        <v>58</v>
      </c>
      <c r="O121" s="2" t="s">
        <v>89</v>
      </c>
      <c r="P121" s="2" t="str">
        <f>O121</f>
        <v>S1</v>
      </c>
      <c r="Q121" s="1">
        <v>24.899908675211961</v>
      </c>
      <c r="R121" s="1">
        <v>172.08405390298819</v>
      </c>
      <c r="S121" s="1">
        <v>14.469619997009829</v>
      </c>
      <c r="T121" s="1">
        <f t="shared" si="9"/>
        <v>1</v>
      </c>
      <c r="U121" s="1">
        <f t="shared" si="10"/>
        <v>109</v>
      </c>
      <c r="V121" s="1">
        <f t="shared" si="11"/>
        <v>1.0900000000000001</v>
      </c>
      <c r="W121" s="1">
        <f t="shared" si="12"/>
        <v>1</v>
      </c>
      <c r="X121" s="1">
        <f t="shared" si="13"/>
        <v>1.1699999999999997</v>
      </c>
      <c r="Y121" s="1">
        <f t="shared" si="14"/>
        <v>116.99999999999997</v>
      </c>
      <c r="Z121" s="1">
        <f t="shared" si="15"/>
        <v>2913.2893149997985</v>
      </c>
    </row>
    <row r="122" spans="13:26" x14ac:dyDescent="0.25">
      <c r="M122" s="2">
        <v>2019</v>
      </c>
      <c r="N122" s="2" t="s">
        <v>58</v>
      </c>
      <c r="O122" s="2" t="s">
        <v>88</v>
      </c>
      <c r="P122" s="2" t="str">
        <f>O122</f>
        <v>S2</v>
      </c>
      <c r="Q122" s="1">
        <v>122.08918122956879</v>
      </c>
      <c r="R122" s="1">
        <v>172.08405390298819</v>
      </c>
      <c r="S122" s="1">
        <v>70.947411140369894</v>
      </c>
      <c r="T122" s="1">
        <f t="shared" si="9"/>
        <v>1</v>
      </c>
      <c r="U122" s="1">
        <f t="shared" si="10"/>
        <v>81</v>
      </c>
      <c r="V122" s="1">
        <f t="shared" si="11"/>
        <v>0.81</v>
      </c>
      <c r="W122" s="1">
        <f t="shared" si="12"/>
        <v>0.81</v>
      </c>
      <c r="X122" s="1">
        <f t="shared" si="13"/>
        <v>1.04</v>
      </c>
      <c r="Y122" s="1">
        <f t="shared" si="14"/>
        <v>84.240000000000009</v>
      </c>
      <c r="Z122" s="1">
        <f t="shared" si="15"/>
        <v>10284.792626778877</v>
      </c>
    </row>
    <row r="123" spans="13:26" x14ac:dyDescent="0.25">
      <c r="M123" s="2">
        <v>2019</v>
      </c>
      <c r="N123" s="2" t="s">
        <v>58</v>
      </c>
      <c r="O123" s="2" t="s">
        <v>87</v>
      </c>
      <c r="P123" s="2" t="str">
        <f>O123</f>
        <v>S3</v>
      </c>
      <c r="Q123" s="1">
        <v>24.584239272285441</v>
      </c>
      <c r="R123" s="1">
        <v>172.08405390298819</v>
      </c>
      <c r="S123" s="1">
        <v>14.28618091839278</v>
      </c>
      <c r="T123" s="1">
        <f t="shared" si="9"/>
        <v>1</v>
      </c>
      <c r="U123" s="1">
        <f t="shared" si="10"/>
        <v>59</v>
      </c>
      <c r="V123" s="1">
        <f t="shared" si="11"/>
        <v>0.59</v>
      </c>
      <c r="W123" s="1">
        <f t="shared" si="12"/>
        <v>0.59</v>
      </c>
      <c r="X123" s="1">
        <f t="shared" si="13"/>
        <v>0.99999999999999978</v>
      </c>
      <c r="Y123" s="1">
        <f t="shared" si="14"/>
        <v>58.999999999999986</v>
      </c>
      <c r="Z123" s="1">
        <f t="shared" si="15"/>
        <v>1450.4701170648407</v>
      </c>
    </row>
    <row r="124" spans="13:26" x14ac:dyDescent="0.25">
      <c r="M124" s="2">
        <v>2020</v>
      </c>
      <c r="N124" s="2" t="s">
        <v>64</v>
      </c>
      <c r="O124" s="2" t="s">
        <v>91</v>
      </c>
      <c r="P124" s="2" t="s">
        <v>90</v>
      </c>
      <c r="Q124" s="1">
        <v>2.395712466219154</v>
      </c>
      <c r="R124" s="1">
        <v>86.162063365852021</v>
      </c>
      <c r="S124" s="1">
        <v>2.780472487116215</v>
      </c>
      <c r="T124" s="1">
        <f t="shared" si="9"/>
        <v>0.6</v>
      </c>
      <c r="U124" s="1">
        <f t="shared" si="10"/>
        <v>41</v>
      </c>
      <c r="V124" s="1">
        <f t="shared" si="11"/>
        <v>0.41</v>
      </c>
      <c r="W124" s="1">
        <f t="shared" si="12"/>
        <v>0.41</v>
      </c>
      <c r="X124" s="1">
        <f t="shared" si="13"/>
        <v>0.98</v>
      </c>
      <c r="Y124" s="1">
        <f t="shared" si="14"/>
        <v>40.18</v>
      </c>
      <c r="Z124" s="1">
        <f t="shared" si="15"/>
        <v>96.259726892685606</v>
      </c>
    </row>
    <row r="125" spans="13:26" x14ac:dyDescent="0.25">
      <c r="M125" s="2">
        <v>2020</v>
      </c>
      <c r="N125" s="2" t="s">
        <v>64</v>
      </c>
      <c r="O125" s="2" t="s">
        <v>89</v>
      </c>
      <c r="P125" s="2" t="str">
        <f>O125</f>
        <v>S1</v>
      </c>
      <c r="Q125" s="1">
        <v>5.6030118129227517</v>
      </c>
      <c r="R125" s="1">
        <v>86.162063365852021</v>
      </c>
      <c r="S125" s="1">
        <v>6.5028756207147103</v>
      </c>
      <c r="T125" s="1">
        <f t="shared" si="9"/>
        <v>0.6</v>
      </c>
      <c r="U125" s="1">
        <f t="shared" si="10"/>
        <v>109</v>
      </c>
      <c r="V125" s="1">
        <f t="shared" si="11"/>
        <v>1.0900000000000001</v>
      </c>
      <c r="W125" s="1">
        <f t="shared" si="12"/>
        <v>0.6</v>
      </c>
      <c r="X125" s="1">
        <f t="shared" si="13"/>
        <v>1.1699999999999997</v>
      </c>
      <c r="Y125" s="1">
        <f t="shared" si="14"/>
        <v>70.199999999999989</v>
      </c>
      <c r="Z125" s="1">
        <f t="shared" si="15"/>
        <v>393.3314292671771</v>
      </c>
    </row>
    <row r="126" spans="13:26" x14ac:dyDescent="0.25">
      <c r="M126" s="2">
        <v>2020</v>
      </c>
      <c r="N126" s="2" t="s">
        <v>64</v>
      </c>
      <c r="O126" s="2" t="s">
        <v>88</v>
      </c>
      <c r="P126" s="2" t="str">
        <f>O126</f>
        <v>S2</v>
      </c>
      <c r="Q126" s="1">
        <v>39.206095638516793</v>
      </c>
      <c r="R126" s="1">
        <v>86.162063365852021</v>
      </c>
      <c r="S126" s="1">
        <v>45.502735318726202</v>
      </c>
      <c r="T126" s="1">
        <f t="shared" si="9"/>
        <v>0.6</v>
      </c>
      <c r="U126" s="1">
        <f t="shared" si="10"/>
        <v>81</v>
      </c>
      <c r="V126" s="1">
        <f t="shared" si="11"/>
        <v>0.81</v>
      </c>
      <c r="W126" s="1">
        <f t="shared" si="12"/>
        <v>0.6</v>
      </c>
      <c r="X126" s="1">
        <f t="shared" si="13"/>
        <v>1.04</v>
      </c>
      <c r="Y126" s="1">
        <f t="shared" si="14"/>
        <v>62.4</v>
      </c>
      <c r="Z126" s="1">
        <f t="shared" si="15"/>
        <v>2446.4603678434478</v>
      </c>
    </row>
    <row r="127" spans="13:26" x14ac:dyDescent="0.25">
      <c r="M127" s="2">
        <v>2020</v>
      </c>
      <c r="N127" s="2" t="s">
        <v>64</v>
      </c>
      <c r="O127" s="2" t="s">
        <v>87</v>
      </c>
      <c r="P127" s="2" t="str">
        <f>O127</f>
        <v>S3</v>
      </c>
      <c r="Q127" s="1">
        <v>38.957243448193317</v>
      </c>
      <c r="R127" s="1">
        <v>86.162063365852021</v>
      </c>
      <c r="S127" s="1">
        <v>45.213916573442887</v>
      </c>
      <c r="T127" s="1">
        <f t="shared" si="9"/>
        <v>0.6</v>
      </c>
      <c r="U127" s="1">
        <f t="shared" si="10"/>
        <v>59</v>
      </c>
      <c r="V127" s="1">
        <f t="shared" si="11"/>
        <v>0.59</v>
      </c>
      <c r="W127" s="1">
        <f t="shared" si="12"/>
        <v>0.59</v>
      </c>
      <c r="X127" s="1">
        <f t="shared" si="13"/>
        <v>0.99999999999999978</v>
      </c>
      <c r="Y127" s="1">
        <f t="shared" si="14"/>
        <v>58.999999999999986</v>
      </c>
      <c r="Z127" s="1">
        <f t="shared" si="15"/>
        <v>2298.477363443405</v>
      </c>
    </row>
    <row r="128" spans="13:26" x14ac:dyDescent="0.25">
      <c r="M128" s="2">
        <v>2020</v>
      </c>
      <c r="N128" s="2" t="s">
        <v>63</v>
      </c>
      <c r="O128" s="2" t="s">
        <v>92</v>
      </c>
      <c r="P128" s="2" t="s">
        <v>90</v>
      </c>
      <c r="Q128" s="1">
        <v>0.13728521239821001</v>
      </c>
      <c r="R128" s="1">
        <v>230.0855296355117</v>
      </c>
      <c r="S128" s="1">
        <v>5.9667034522201109E-2</v>
      </c>
      <c r="T128" s="1">
        <f t="shared" si="9"/>
        <v>0.7</v>
      </c>
      <c r="U128" s="1">
        <f t="shared" si="10"/>
        <v>41</v>
      </c>
      <c r="V128" s="1">
        <f t="shared" si="11"/>
        <v>0.41</v>
      </c>
      <c r="W128" s="1">
        <f t="shared" si="12"/>
        <v>0.41</v>
      </c>
      <c r="X128" s="1">
        <f t="shared" si="13"/>
        <v>0.98</v>
      </c>
      <c r="Y128" s="1">
        <f t="shared" si="14"/>
        <v>40.18</v>
      </c>
      <c r="Z128" s="1">
        <f t="shared" si="15"/>
        <v>5.5161198341600786</v>
      </c>
    </row>
    <row r="129" spans="13:26" x14ac:dyDescent="0.25">
      <c r="M129" s="2">
        <v>2020</v>
      </c>
      <c r="N129" s="2" t="s">
        <v>63</v>
      </c>
      <c r="O129" s="2" t="s">
        <v>91</v>
      </c>
      <c r="P129" s="2" t="s">
        <v>90</v>
      </c>
      <c r="Q129" s="1">
        <v>0.84546783656509894</v>
      </c>
      <c r="R129" s="1">
        <v>230.0855296355117</v>
      </c>
      <c r="S129" s="1">
        <v>0.36745806566125228</v>
      </c>
      <c r="T129" s="1">
        <f t="shared" si="9"/>
        <v>0.7</v>
      </c>
      <c r="U129" s="1">
        <f t="shared" si="10"/>
        <v>41</v>
      </c>
      <c r="V129" s="1">
        <f t="shared" si="11"/>
        <v>0.41</v>
      </c>
      <c r="W129" s="1">
        <f t="shared" si="12"/>
        <v>0.41</v>
      </c>
      <c r="X129" s="1">
        <f t="shared" si="13"/>
        <v>0.98</v>
      </c>
      <c r="Y129" s="1">
        <f t="shared" si="14"/>
        <v>40.18</v>
      </c>
      <c r="Z129" s="1">
        <f t="shared" si="15"/>
        <v>33.970897673185675</v>
      </c>
    </row>
    <row r="130" spans="13:26" x14ac:dyDescent="0.25">
      <c r="M130" s="2">
        <v>2020</v>
      </c>
      <c r="N130" s="2" t="s">
        <v>63</v>
      </c>
      <c r="O130" s="2" t="s">
        <v>89</v>
      </c>
      <c r="P130" s="2" t="str">
        <f>O130</f>
        <v>S1</v>
      </c>
      <c r="Q130" s="1">
        <v>52.807014223574313</v>
      </c>
      <c r="R130" s="1">
        <v>230.0855296355117</v>
      </c>
      <c r="S130" s="1">
        <v>22.951036645906481</v>
      </c>
      <c r="T130" s="1">
        <f t="shared" si="9"/>
        <v>0.7</v>
      </c>
      <c r="U130" s="1">
        <f t="shared" si="10"/>
        <v>109</v>
      </c>
      <c r="V130" s="1">
        <f t="shared" si="11"/>
        <v>1.0900000000000001</v>
      </c>
      <c r="W130" s="1">
        <f t="shared" si="12"/>
        <v>0.7</v>
      </c>
      <c r="X130" s="1">
        <f t="shared" si="13"/>
        <v>1.1699999999999997</v>
      </c>
      <c r="Y130" s="1">
        <f t="shared" si="14"/>
        <v>81.899999999999977</v>
      </c>
      <c r="Z130" s="1">
        <f t="shared" si="15"/>
        <v>4324.8944649107352</v>
      </c>
    </row>
    <row r="131" spans="13:26" x14ac:dyDescent="0.25">
      <c r="M131" s="2">
        <v>2020</v>
      </c>
      <c r="N131" s="2" t="s">
        <v>63</v>
      </c>
      <c r="O131" s="2" t="s">
        <v>88</v>
      </c>
      <c r="P131" s="2" t="str">
        <f>O131</f>
        <v>S2</v>
      </c>
      <c r="Q131" s="1">
        <v>126.84376869584349</v>
      </c>
      <c r="R131" s="1">
        <v>230.0855296355117</v>
      </c>
      <c r="S131" s="1">
        <v>55.128963953874923</v>
      </c>
      <c r="T131" s="1">
        <f t="shared" si="9"/>
        <v>0.7</v>
      </c>
      <c r="U131" s="1">
        <f t="shared" si="10"/>
        <v>81</v>
      </c>
      <c r="V131" s="1">
        <f t="shared" si="11"/>
        <v>0.81</v>
      </c>
      <c r="W131" s="1">
        <f t="shared" si="12"/>
        <v>0.7</v>
      </c>
      <c r="X131" s="1">
        <f t="shared" si="13"/>
        <v>1.04</v>
      </c>
      <c r="Y131" s="1">
        <f t="shared" si="14"/>
        <v>72.8</v>
      </c>
      <c r="Z131" s="1">
        <f t="shared" si="15"/>
        <v>9234.2263610574064</v>
      </c>
    </row>
    <row r="132" spans="13:26" x14ac:dyDescent="0.25">
      <c r="M132" s="2">
        <v>2020</v>
      </c>
      <c r="N132" s="2" t="s">
        <v>63</v>
      </c>
      <c r="O132" s="2" t="s">
        <v>87</v>
      </c>
      <c r="P132" s="2" t="str">
        <f>O132</f>
        <v>S3</v>
      </c>
      <c r="Q132" s="1">
        <v>49.451993667130637</v>
      </c>
      <c r="R132" s="1">
        <v>230.0855296355117</v>
      </c>
      <c r="S132" s="1">
        <v>21.49287430003514</v>
      </c>
      <c r="T132" s="1">
        <f t="shared" ref="T132:T195" si="18">VLOOKUP(N132,$B:$C,2,FALSE)</f>
        <v>0.7</v>
      </c>
      <c r="U132" s="1">
        <f t="shared" ref="U132:U195" si="19">VLOOKUP(P132,$E:$F,2,FALSE)</f>
        <v>59</v>
      </c>
      <c r="V132" s="1">
        <f t="shared" ref="V132:V195" si="20">U132/100</f>
        <v>0.59</v>
      </c>
      <c r="W132" s="1">
        <f t="shared" ref="W132:W195" si="21">MIN(T132,V132)</f>
        <v>0.59</v>
      </c>
      <c r="X132" s="1">
        <f t="shared" ref="X132:X195" si="22">VLOOKUP(P132,$E:$K,7,FALSE)</f>
        <v>0.99999999999999978</v>
      </c>
      <c r="Y132" s="1">
        <f t="shared" ref="Y132:Y195" si="23">X132*W132*100</f>
        <v>58.999999999999986</v>
      </c>
      <c r="Z132" s="1">
        <f t="shared" ref="Z132:Z195" si="24">(Y132*Q132)</f>
        <v>2917.6676263607069</v>
      </c>
    </row>
    <row r="133" spans="13:26" x14ac:dyDescent="0.25">
      <c r="M133" s="2">
        <v>2020</v>
      </c>
      <c r="N133" s="2" t="s">
        <v>62</v>
      </c>
      <c r="O133" s="2" t="s">
        <v>92</v>
      </c>
      <c r="P133" s="2" t="s">
        <v>90</v>
      </c>
      <c r="Q133" s="1">
        <v>1.8977526839733281</v>
      </c>
      <c r="R133" s="1">
        <v>144.61536789027591</v>
      </c>
      <c r="S133" s="1">
        <v>1.31227594387701</v>
      </c>
      <c r="T133" s="1">
        <f t="shared" si="18"/>
        <v>1</v>
      </c>
      <c r="U133" s="1">
        <f t="shared" si="19"/>
        <v>41</v>
      </c>
      <c r="V133" s="1">
        <f t="shared" si="20"/>
        <v>0.41</v>
      </c>
      <c r="W133" s="1">
        <f t="shared" si="21"/>
        <v>0.41</v>
      </c>
      <c r="X133" s="1">
        <f t="shared" si="22"/>
        <v>0.98</v>
      </c>
      <c r="Y133" s="1">
        <f t="shared" si="23"/>
        <v>40.18</v>
      </c>
      <c r="Z133" s="1">
        <f t="shared" si="24"/>
        <v>76.251702842048317</v>
      </c>
    </row>
    <row r="134" spans="13:26" x14ac:dyDescent="0.25">
      <c r="M134" s="2">
        <v>2020</v>
      </c>
      <c r="N134" s="2" t="s">
        <v>62</v>
      </c>
      <c r="O134" s="2" t="s">
        <v>91</v>
      </c>
      <c r="P134" s="2" t="s">
        <v>90</v>
      </c>
      <c r="Q134" s="1">
        <v>0.31127806736506458</v>
      </c>
      <c r="R134" s="1">
        <v>144.61536789027591</v>
      </c>
      <c r="S134" s="1">
        <v>0.2152454970077875</v>
      </c>
      <c r="T134" s="1">
        <f t="shared" si="18"/>
        <v>1</v>
      </c>
      <c r="U134" s="1">
        <f t="shared" si="19"/>
        <v>41</v>
      </c>
      <c r="V134" s="1">
        <f t="shared" si="20"/>
        <v>0.41</v>
      </c>
      <c r="W134" s="1">
        <f t="shared" si="21"/>
        <v>0.41</v>
      </c>
      <c r="X134" s="1">
        <f t="shared" si="22"/>
        <v>0.98</v>
      </c>
      <c r="Y134" s="1">
        <f t="shared" si="23"/>
        <v>40.18</v>
      </c>
      <c r="Z134" s="1">
        <f t="shared" si="24"/>
        <v>12.507152746728295</v>
      </c>
    </row>
    <row r="135" spans="13:26" x14ac:dyDescent="0.25">
      <c r="M135" s="2">
        <v>2020</v>
      </c>
      <c r="N135" s="2" t="s">
        <v>62</v>
      </c>
      <c r="O135" s="2" t="s">
        <v>89</v>
      </c>
      <c r="P135" s="2" t="str">
        <f t="shared" ref="P135:P140" si="25">O135</f>
        <v>S1</v>
      </c>
      <c r="Q135" s="1">
        <v>22.20406942202391</v>
      </c>
      <c r="R135" s="1">
        <v>144.61536789027591</v>
      </c>
      <c r="S135" s="1">
        <v>15.353879567537261</v>
      </c>
      <c r="T135" s="1">
        <f t="shared" si="18"/>
        <v>1</v>
      </c>
      <c r="U135" s="1">
        <f t="shared" si="19"/>
        <v>109</v>
      </c>
      <c r="V135" s="1">
        <f t="shared" si="20"/>
        <v>1.0900000000000001</v>
      </c>
      <c r="W135" s="1">
        <f t="shared" si="21"/>
        <v>1</v>
      </c>
      <c r="X135" s="1">
        <f t="shared" si="22"/>
        <v>1.1699999999999997</v>
      </c>
      <c r="Y135" s="1">
        <f t="shared" si="23"/>
        <v>116.99999999999997</v>
      </c>
      <c r="Z135" s="1">
        <f t="shared" si="24"/>
        <v>2597.876122376797</v>
      </c>
    </row>
    <row r="136" spans="13:26" x14ac:dyDescent="0.25">
      <c r="M136" s="2">
        <v>2020</v>
      </c>
      <c r="N136" s="2" t="s">
        <v>62</v>
      </c>
      <c r="O136" s="2" t="s">
        <v>88</v>
      </c>
      <c r="P136" s="2" t="str">
        <f t="shared" si="25"/>
        <v>S2</v>
      </c>
      <c r="Q136" s="1">
        <v>90.895999168663451</v>
      </c>
      <c r="R136" s="1">
        <v>144.61536789027591</v>
      </c>
      <c r="S136" s="1">
        <v>62.853623715585357</v>
      </c>
      <c r="T136" s="1">
        <f t="shared" si="18"/>
        <v>1</v>
      </c>
      <c r="U136" s="1">
        <f t="shared" si="19"/>
        <v>81</v>
      </c>
      <c r="V136" s="1">
        <f t="shared" si="20"/>
        <v>0.81</v>
      </c>
      <c r="W136" s="1">
        <f t="shared" si="21"/>
        <v>0.81</v>
      </c>
      <c r="X136" s="1">
        <f t="shared" si="22"/>
        <v>1.04</v>
      </c>
      <c r="Y136" s="1">
        <f t="shared" si="23"/>
        <v>84.240000000000009</v>
      </c>
      <c r="Z136" s="1">
        <f t="shared" si="24"/>
        <v>7657.07896996821</v>
      </c>
    </row>
    <row r="137" spans="13:26" x14ac:dyDescent="0.25">
      <c r="M137" s="2">
        <v>2020</v>
      </c>
      <c r="N137" s="2" t="s">
        <v>62</v>
      </c>
      <c r="O137" s="2" t="s">
        <v>87</v>
      </c>
      <c r="P137" s="2" t="str">
        <f t="shared" si="25"/>
        <v>S3</v>
      </c>
      <c r="Q137" s="1">
        <v>29.30626854825012</v>
      </c>
      <c r="R137" s="1">
        <v>144.61536789027591</v>
      </c>
      <c r="S137" s="1">
        <v>20.26497527599258</v>
      </c>
      <c r="T137" s="1">
        <f t="shared" si="18"/>
        <v>1</v>
      </c>
      <c r="U137" s="1">
        <f t="shared" si="19"/>
        <v>59</v>
      </c>
      <c r="V137" s="1">
        <f t="shared" si="20"/>
        <v>0.59</v>
      </c>
      <c r="W137" s="1">
        <f t="shared" si="21"/>
        <v>0.59</v>
      </c>
      <c r="X137" s="1">
        <f t="shared" si="22"/>
        <v>0.99999999999999978</v>
      </c>
      <c r="Y137" s="1">
        <f t="shared" si="23"/>
        <v>58.999999999999986</v>
      </c>
      <c r="Z137" s="1">
        <f t="shared" si="24"/>
        <v>1729.0698443467568</v>
      </c>
    </row>
    <row r="138" spans="13:26" x14ac:dyDescent="0.25">
      <c r="M138" s="2">
        <v>2020</v>
      </c>
      <c r="N138" s="2" t="s">
        <v>61</v>
      </c>
      <c r="O138" s="2" t="s">
        <v>89</v>
      </c>
      <c r="P138" s="2" t="str">
        <f t="shared" si="25"/>
        <v>S1</v>
      </c>
      <c r="Q138" s="1">
        <v>17.247163642448971</v>
      </c>
      <c r="R138" s="1">
        <v>106.2907363284726</v>
      </c>
      <c r="S138" s="1">
        <v>16.22640338961401</v>
      </c>
      <c r="T138" s="1">
        <f t="shared" si="18"/>
        <v>0.6</v>
      </c>
      <c r="U138" s="1">
        <f t="shared" si="19"/>
        <v>109</v>
      </c>
      <c r="V138" s="1">
        <f t="shared" si="20"/>
        <v>1.0900000000000001</v>
      </c>
      <c r="W138" s="1">
        <f t="shared" si="21"/>
        <v>0.6</v>
      </c>
      <c r="X138" s="1">
        <f t="shared" si="22"/>
        <v>1.1699999999999997</v>
      </c>
      <c r="Y138" s="1">
        <f t="shared" si="23"/>
        <v>70.199999999999989</v>
      </c>
      <c r="Z138" s="1">
        <f t="shared" si="24"/>
        <v>1210.7508876999175</v>
      </c>
    </row>
    <row r="139" spans="13:26" x14ac:dyDescent="0.25">
      <c r="M139" s="2">
        <v>2020</v>
      </c>
      <c r="N139" s="2" t="s">
        <v>61</v>
      </c>
      <c r="O139" s="2" t="s">
        <v>88</v>
      </c>
      <c r="P139" s="2" t="str">
        <f t="shared" si="25"/>
        <v>S2</v>
      </c>
      <c r="Q139" s="1">
        <v>75.534097640439683</v>
      </c>
      <c r="R139" s="1">
        <v>106.2907363284726</v>
      </c>
      <c r="S139" s="1">
        <v>71.063669562900586</v>
      </c>
      <c r="T139" s="1">
        <f t="shared" si="18"/>
        <v>0.6</v>
      </c>
      <c r="U139" s="1">
        <f t="shared" si="19"/>
        <v>81</v>
      </c>
      <c r="V139" s="1">
        <f t="shared" si="20"/>
        <v>0.81</v>
      </c>
      <c r="W139" s="1">
        <f t="shared" si="21"/>
        <v>0.6</v>
      </c>
      <c r="X139" s="1">
        <f t="shared" si="22"/>
        <v>1.04</v>
      </c>
      <c r="Y139" s="1">
        <f t="shared" si="23"/>
        <v>62.4</v>
      </c>
      <c r="Z139" s="1">
        <f t="shared" si="24"/>
        <v>4713.3276927634361</v>
      </c>
    </row>
    <row r="140" spans="13:26" x14ac:dyDescent="0.25">
      <c r="M140" s="2">
        <v>2020</v>
      </c>
      <c r="N140" s="2" t="s">
        <v>61</v>
      </c>
      <c r="O140" s="2" t="s">
        <v>87</v>
      </c>
      <c r="P140" s="2" t="str">
        <f t="shared" si="25"/>
        <v>S3</v>
      </c>
      <c r="Q140" s="1">
        <v>13.50947504558393</v>
      </c>
      <c r="R140" s="1">
        <v>106.2907363284726</v>
      </c>
      <c r="S140" s="1">
        <v>12.70992704748541</v>
      </c>
      <c r="T140" s="1">
        <f t="shared" si="18"/>
        <v>0.6</v>
      </c>
      <c r="U140" s="1">
        <f t="shared" si="19"/>
        <v>59</v>
      </c>
      <c r="V140" s="1">
        <f t="shared" si="20"/>
        <v>0.59</v>
      </c>
      <c r="W140" s="1">
        <f t="shared" si="21"/>
        <v>0.59</v>
      </c>
      <c r="X140" s="1">
        <f t="shared" si="22"/>
        <v>0.99999999999999978</v>
      </c>
      <c r="Y140" s="1">
        <f t="shared" si="23"/>
        <v>58.999999999999986</v>
      </c>
      <c r="Z140" s="1">
        <f t="shared" si="24"/>
        <v>797.05902768945168</v>
      </c>
    </row>
    <row r="141" spans="13:26" x14ac:dyDescent="0.25">
      <c r="M141" s="2">
        <v>2020</v>
      </c>
      <c r="N141" s="2" t="s">
        <v>60</v>
      </c>
      <c r="O141" s="2" t="s">
        <v>92</v>
      </c>
      <c r="P141" s="2" t="s">
        <v>90</v>
      </c>
      <c r="Q141" s="1">
        <v>0.14015298306918239</v>
      </c>
      <c r="R141" s="1">
        <v>187.31651068916989</v>
      </c>
      <c r="S141" s="1">
        <v>7.4821478658520443E-2</v>
      </c>
      <c r="T141" s="1">
        <f t="shared" si="18"/>
        <v>0.6</v>
      </c>
      <c r="U141" s="1">
        <f t="shared" si="19"/>
        <v>41</v>
      </c>
      <c r="V141" s="1">
        <f t="shared" si="20"/>
        <v>0.41</v>
      </c>
      <c r="W141" s="1">
        <f t="shared" si="21"/>
        <v>0.41</v>
      </c>
      <c r="X141" s="1">
        <f t="shared" si="22"/>
        <v>0.98</v>
      </c>
      <c r="Y141" s="1">
        <f t="shared" si="23"/>
        <v>40.18</v>
      </c>
      <c r="Z141" s="1">
        <f t="shared" si="24"/>
        <v>5.6313468597197485</v>
      </c>
    </row>
    <row r="142" spans="13:26" x14ac:dyDescent="0.25">
      <c r="M142" s="2">
        <v>2020</v>
      </c>
      <c r="N142" s="2" t="s">
        <v>60</v>
      </c>
      <c r="O142" s="2" t="s">
        <v>91</v>
      </c>
      <c r="P142" s="2" t="s">
        <v>90</v>
      </c>
      <c r="Q142" s="1">
        <v>4.7423552851432023E-2</v>
      </c>
      <c r="R142" s="1">
        <v>187.31651068916989</v>
      </c>
      <c r="S142" s="1">
        <v>2.5317337311565619E-2</v>
      </c>
      <c r="T142" s="1">
        <f t="shared" si="18"/>
        <v>0.6</v>
      </c>
      <c r="U142" s="1">
        <f t="shared" si="19"/>
        <v>41</v>
      </c>
      <c r="V142" s="1">
        <f t="shared" si="20"/>
        <v>0.41</v>
      </c>
      <c r="W142" s="1">
        <f t="shared" si="21"/>
        <v>0.41</v>
      </c>
      <c r="X142" s="1">
        <f t="shared" si="22"/>
        <v>0.98</v>
      </c>
      <c r="Y142" s="1">
        <f t="shared" si="23"/>
        <v>40.18</v>
      </c>
      <c r="Z142" s="1">
        <f t="shared" si="24"/>
        <v>1.9054783535705386</v>
      </c>
    </row>
    <row r="143" spans="13:26" x14ac:dyDescent="0.25">
      <c r="M143" s="2">
        <v>2020</v>
      </c>
      <c r="N143" s="2" t="s">
        <v>60</v>
      </c>
      <c r="O143" s="2" t="s">
        <v>89</v>
      </c>
      <c r="P143" s="2" t="str">
        <f>O143</f>
        <v>S1</v>
      </c>
      <c r="Q143" s="1">
        <v>13.09910079860312</v>
      </c>
      <c r="R143" s="1">
        <v>187.31651068916989</v>
      </c>
      <c r="S143" s="1">
        <v>6.9930305398116062</v>
      </c>
      <c r="T143" s="1">
        <f t="shared" si="18"/>
        <v>0.6</v>
      </c>
      <c r="U143" s="1">
        <f t="shared" si="19"/>
        <v>109</v>
      </c>
      <c r="V143" s="1">
        <f t="shared" si="20"/>
        <v>1.0900000000000001</v>
      </c>
      <c r="W143" s="1">
        <f t="shared" si="21"/>
        <v>0.6</v>
      </c>
      <c r="X143" s="1">
        <f t="shared" si="22"/>
        <v>1.1699999999999997</v>
      </c>
      <c r="Y143" s="1">
        <f t="shared" si="23"/>
        <v>70.199999999999989</v>
      </c>
      <c r="Z143" s="1">
        <f t="shared" si="24"/>
        <v>919.55687606193885</v>
      </c>
    </row>
    <row r="144" spans="13:26" x14ac:dyDescent="0.25">
      <c r="M144" s="2">
        <v>2020</v>
      </c>
      <c r="N144" s="2" t="s">
        <v>60</v>
      </c>
      <c r="O144" s="2" t="s">
        <v>88</v>
      </c>
      <c r="P144" s="2" t="str">
        <f>O144</f>
        <v>S2</v>
      </c>
      <c r="Q144" s="1">
        <v>107.73121477001681</v>
      </c>
      <c r="R144" s="1">
        <v>187.31651068916989</v>
      </c>
      <c r="S144" s="1">
        <v>57.512930586660502</v>
      </c>
      <c r="T144" s="1">
        <f t="shared" si="18"/>
        <v>0.6</v>
      </c>
      <c r="U144" s="1">
        <f t="shared" si="19"/>
        <v>81</v>
      </c>
      <c r="V144" s="1">
        <f t="shared" si="20"/>
        <v>0.81</v>
      </c>
      <c r="W144" s="1">
        <f t="shared" si="21"/>
        <v>0.6</v>
      </c>
      <c r="X144" s="1">
        <f t="shared" si="22"/>
        <v>1.04</v>
      </c>
      <c r="Y144" s="1">
        <f t="shared" si="23"/>
        <v>62.4</v>
      </c>
      <c r="Z144" s="1">
        <f t="shared" si="24"/>
        <v>6722.4278016490489</v>
      </c>
    </row>
    <row r="145" spans="13:26" x14ac:dyDescent="0.25">
      <c r="M145" s="2">
        <v>2020</v>
      </c>
      <c r="N145" s="2" t="s">
        <v>60</v>
      </c>
      <c r="O145" s="2" t="s">
        <v>87</v>
      </c>
      <c r="P145" s="2" t="str">
        <f>O145</f>
        <v>S3</v>
      </c>
      <c r="Q145" s="1">
        <v>66.298618584629381</v>
      </c>
      <c r="R145" s="1">
        <v>187.31651068916989</v>
      </c>
      <c r="S145" s="1">
        <v>35.393900057557808</v>
      </c>
      <c r="T145" s="1">
        <f t="shared" si="18"/>
        <v>0.6</v>
      </c>
      <c r="U145" s="1">
        <f t="shared" si="19"/>
        <v>59</v>
      </c>
      <c r="V145" s="1">
        <f t="shared" si="20"/>
        <v>0.59</v>
      </c>
      <c r="W145" s="1">
        <f t="shared" si="21"/>
        <v>0.59</v>
      </c>
      <c r="X145" s="1">
        <f t="shared" si="22"/>
        <v>0.99999999999999978</v>
      </c>
      <c r="Y145" s="1">
        <f t="shared" si="23"/>
        <v>58.999999999999986</v>
      </c>
      <c r="Z145" s="1">
        <f t="shared" si="24"/>
        <v>3911.6184964931326</v>
      </c>
    </row>
    <row r="146" spans="13:26" x14ac:dyDescent="0.25">
      <c r="M146" s="2">
        <v>2020</v>
      </c>
      <c r="N146" s="2" t="s">
        <v>59</v>
      </c>
      <c r="O146" s="2" t="s">
        <v>91</v>
      </c>
      <c r="P146" s="2" t="s">
        <v>90</v>
      </c>
      <c r="Q146" s="1">
        <v>0.26810046465763038</v>
      </c>
      <c r="R146" s="1">
        <v>676.47029833226975</v>
      </c>
      <c r="S146" s="1">
        <v>3.9632259586058628E-2</v>
      </c>
      <c r="T146" s="1">
        <f t="shared" si="18"/>
        <v>0.6</v>
      </c>
      <c r="U146" s="1">
        <f t="shared" si="19"/>
        <v>41</v>
      </c>
      <c r="V146" s="1">
        <f t="shared" si="20"/>
        <v>0.41</v>
      </c>
      <c r="W146" s="1">
        <f t="shared" si="21"/>
        <v>0.41</v>
      </c>
      <c r="X146" s="1">
        <f t="shared" si="22"/>
        <v>0.98</v>
      </c>
      <c r="Y146" s="1">
        <f t="shared" si="23"/>
        <v>40.18</v>
      </c>
      <c r="Z146" s="1">
        <f t="shared" si="24"/>
        <v>10.772276669943588</v>
      </c>
    </row>
    <row r="147" spans="13:26" x14ac:dyDescent="0.25">
      <c r="M147" s="2">
        <v>2020</v>
      </c>
      <c r="N147" s="2" t="s">
        <v>59</v>
      </c>
      <c r="O147" s="2" t="s">
        <v>89</v>
      </c>
      <c r="P147" s="2" t="str">
        <f>O147</f>
        <v>S1</v>
      </c>
      <c r="Q147" s="1">
        <v>102.9457476683329</v>
      </c>
      <c r="R147" s="1">
        <v>676.47029833226975</v>
      </c>
      <c r="S147" s="1">
        <v>15.218073568363501</v>
      </c>
      <c r="T147" s="1">
        <f t="shared" si="18"/>
        <v>0.6</v>
      </c>
      <c r="U147" s="1">
        <f t="shared" si="19"/>
        <v>109</v>
      </c>
      <c r="V147" s="1">
        <f t="shared" si="20"/>
        <v>1.0900000000000001</v>
      </c>
      <c r="W147" s="1">
        <f t="shared" si="21"/>
        <v>0.6</v>
      </c>
      <c r="X147" s="1">
        <f t="shared" si="22"/>
        <v>1.1699999999999997</v>
      </c>
      <c r="Y147" s="1">
        <f t="shared" si="23"/>
        <v>70.199999999999989</v>
      </c>
      <c r="Z147" s="1">
        <f t="shared" si="24"/>
        <v>7226.7914863169681</v>
      </c>
    </row>
    <row r="148" spans="13:26" x14ac:dyDescent="0.25">
      <c r="M148" s="2">
        <v>2020</v>
      </c>
      <c r="N148" s="2" t="s">
        <v>59</v>
      </c>
      <c r="O148" s="2" t="s">
        <v>88</v>
      </c>
      <c r="P148" s="2" t="str">
        <f>O148</f>
        <v>S2</v>
      </c>
      <c r="Q148" s="1">
        <v>428.78641635183811</v>
      </c>
      <c r="R148" s="1">
        <v>676.47029833226975</v>
      </c>
      <c r="S148" s="1">
        <v>63.385845233551713</v>
      </c>
      <c r="T148" s="1">
        <f t="shared" si="18"/>
        <v>0.6</v>
      </c>
      <c r="U148" s="1">
        <f t="shared" si="19"/>
        <v>81</v>
      </c>
      <c r="V148" s="1">
        <f t="shared" si="20"/>
        <v>0.81</v>
      </c>
      <c r="W148" s="1">
        <f t="shared" si="21"/>
        <v>0.6</v>
      </c>
      <c r="X148" s="1">
        <f t="shared" si="22"/>
        <v>1.04</v>
      </c>
      <c r="Y148" s="1">
        <f t="shared" si="23"/>
        <v>62.4</v>
      </c>
      <c r="Z148" s="1">
        <f t="shared" si="24"/>
        <v>26756.272380354698</v>
      </c>
    </row>
    <row r="149" spans="13:26" x14ac:dyDescent="0.25">
      <c r="M149" s="2">
        <v>2020</v>
      </c>
      <c r="N149" s="2" t="s">
        <v>59</v>
      </c>
      <c r="O149" s="2" t="s">
        <v>87</v>
      </c>
      <c r="P149" s="2" t="str">
        <f>O149</f>
        <v>S3</v>
      </c>
      <c r="Q149" s="1">
        <v>144.47003384744119</v>
      </c>
      <c r="R149" s="1">
        <v>676.47029833226975</v>
      </c>
      <c r="S149" s="1">
        <v>21.356448938498719</v>
      </c>
      <c r="T149" s="1">
        <f t="shared" si="18"/>
        <v>0.6</v>
      </c>
      <c r="U149" s="1">
        <f t="shared" si="19"/>
        <v>59</v>
      </c>
      <c r="V149" s="1">
        <f t="shared" si="20"/>
        <v>0.59</v>
      </c>
      <c r="W149" s="1">
        <f t="shared" si="21"/>
        <v>0.59</v>
      </c>
      <c r="X149" s="1">
        <f t="shared" si="22"/>
        <v>0.99999999999999978</v>
      </c>
      <c r="Y149" s="1">
        <f t="shared" si="23"/>
        <v>58.999999999999986</v>
      </c>
      <c r="Z149" s="1">
        <f t="shared" si="24"/>
        <v>8523.7319969990276</v>
      </c>
    </row>
    <row r="150" spans="13:26" x14ac:dyDescent="0.25">
      <c r="M150" s="2">
        <v>2020</v>
      </c>
      <c r="N150" s="2" t="s">
        <v>58</v>
      </c>
      <c r="O150" s="2" t="s">
        <v>91</v>
      </c>
      <c r="P150" s="2" t="s">
        <v>90</v>
      </c>
      <c r="Q150" s="1">
        <v>0.510724725922025</v>
      </c>
      <c r="R150" s="1">
        <v>147.90441562365609</v>
      </c>
      <c r="S150" s="1">
        <v>0.34530728766176122</v>
      </c>
      <c r="T150" s="1">
        <f t="shared" si="18"/>
        <v>1</v>
      </c>
      <c r="U150" s="1">
        <f t="shared" si="19"/>
        <v>41</v>
      </c>
      <c r="V150" s="1">
        <f t="shared" si="20"/>
        <v>0.41</v>
      </c>
      <c r="W150" s="1">
        <f t="shared" si="21"/>
        <v>0.41</v>
      </c>
      <c r="X150" s="1">
        <f t="shared" si="22"/>
        <v>0.98</v>
      </c>
      <c r="Y150" s="1">
        <f t="shared" si="23"/>
        <v>40.18</v>
      </c>
      <c r="Z150" s="1">
        <f t="shared" si="24"/>
        <v>20.520919487546966</v>
      </c>
    </row>
    <row r="151" spans="13:26" x14ac:dyDescent="0.25">
      <c r="M151" s="2">
        <v>2020</v>
      </c>
      <c r="N151" s="2" t="s">
        <v>58</v>
      </c>
      <c r="O151" s="2" t="s">
        <v>89</v>
      </c>
      <c r="P151" s="2" t="str">
        <f>O151</f>
        <v>S1</v>
      </c>
      <c r="Q151" s="1">
        <v>21.657352576372801</v>
      </c>
      <c r="R151" s="1">
        <v>147.90441562365609</v>
      </c>
      <c r="S151" s="1">
        <v>14.64280324901191</v>
      </c>
      <c r="T151" s="1">
        <f t="shared" si="18"/>
        <v>1</v>
      </c>
      <c r="U151" s="1">
        <f t="shared" si="19"/>
        <v>109</v>
      </c>
      <c r="V151" s="1">
        <f t="shared" si="20"/>
        <v>1.0900000000000001</v>
      </c>
      <c r="W151" s="1">
        <f t="shared" si="21"/>
        <v>1</v>
      </c>
      <c r="X151" s="1">
        <f t="shared" si="22"/>
        <v>1.1699999999999997</v>
      </c>
      <c r="Y151" s="1">
        <f t="shared" si="23"/>
        <v>116.99999999999997</v>
      </c>
      <c r="Z151" s="1">
        <f t="shared" si="24"/>
        <v>2533.9102514356173</v>
      </c>
    </row>
    <row r="152" spans="13:26" x14ac:dyDescent="0.25">
      <c r="M152" s="2">
        <v>2020</v>
      </c>
      <c r="N152" s="2" t="s">
        <v>58</v>
      </c>
      <c r="O152" s="2" t="s">
        <v>88</v>
      </c>
      <c r="P152" s="2" t="str">
        <f>O152</f>
        <v>S2</v>
      </c>
      <c r="Q152" s="1">
        <v>103.9683090520862</v>
      </c>
      <c r="R152" s="1">
        <v>147.90441562365609</v>
      </c>
      <c r="S152" s="1">
        <v>70.294256336899608</v>
      </c>
      <c r="T152" s="1">
        <f t="shared" si="18"/>
        <v>1</v>
      </c>
      <c r="U152" s="1">
        <f t="shared" si="19"/>
        <v>81</v>
      </c>
      <c r="V152" s="1">
        <f t="shared" si="20"/>
        <v>0.81</v>
      </c>
      <c r="W152" s="1">
        <f t="shared" si="21"/>
        <v>0.81</v>
      </c>
      <c r="X152" s="1">
        <f t="shared" si="22"/>
        <v>1.04</v>
      </c>
      <c r="Y152" s="1">
        <f t="shared" si="23"/>
        <v>84.240000000000009</v>
      </c>
      <c r="Z152" s="1">
        <f t="shared" si="24"/>
        <v>8758.290354547742</v>
      </c>
    </row>
    <row r="153" spans="13:26" x14ac:dyDescent="0.25">
      <c r="M153" s="2">
        <v>2020</v>
      </c>
      <c r="N153" s="2" t="s">
        <v>58</v>
      </c>
      <c r="O153" s="2" t="s">
        <v>87</v>
      </c>
      <c r="P153" s="2" t="str">
        <f>O153</f>
        <v>S3</v>
      </c>
      <c r="Q153" s="1">
        <v>21.768029269275061</v>
      </c>
      <c r="R153" s="1">
        <v>147.90441562365609</v>
      </c>
      <c r="S153" s="1">
        <v>14.717633126426721</v>
      </c>
      <c r="T153" s="1">
        <f t="shared" si="18"/>
        <v>1</v>
      </c>
      <c r="U153" s="1">
        <f t="shared" si="19"/>
        <v>59</v>
      </c>
      <c r="V153" s="1">
        <f t="shared" si="20"/>
        <v>0.59</v>
      </c>
      <c r="W153" s="1">
        <f t="shared" si="21"/>
        <v>0.59</v>
      </c>
      <c r="X153" s="1">
        <f t="shared" si="22"/>
        <v>0.99999999999999978</v>
      </c>
      <c r="Y153" s="1">
        <f t="shared" si="23"/>
        <v>58.999999999999986</v>
      </c>
      <c r="Z153" s="1">
        <f t="shared" si="24"/>
        <v>1284.3137268872283</v>
      </c>
    </row>
    <row r="154" spans="13:26" x14ac:dyDescent="0.25">
      <c r="M154" s="2">
        <v>2021</v>
      </c>
      <c r="N154" s="2" t="s">
        <v>64</v>
      </c>
      <c r="O154" s="2" t="s">
        <v>91</v>
      </c>
      <c r="P154" s="2" t="s">
        <v>90</v>
      </c>
      <c r="Q154" s="1">
        <v>2.395712466219154</v>
      </c>
      <c r="R154" s="1">
        <v>86.162063365852021</v>
      </c>
      <c r="S154" s="1">
        <v>2.780472487116215</v>
      </c>
      <c r="T154" s="1">
        <f t="shared" si="18"/>
        <v>0.6</v>
      </c>
      <c r="U154" s="1">
        <f t="shared" si="19"/>
        <v>41</v>
      </c>
      <c r="V154" s="1">
        <f t="shared" si="20"/>
        <v>0.41</v>
      </c>
      <c r="W154" s="1">
        <f t="shared" si="21"/>
        <v>0.41</v>
      </c>
      <c r="X154" s="1">
        <f t="shared" si="22"/>
        <v>0.98</v>
      </c>
      <c r="Y154" s="1">
        <f t="shared" si="23"/>
        <v>40.18</v>
      </c>
      <c r="Z154" s="1">
        <f t="shared" si="24"/>
        <v>96.259726892685606</v>
      </c>
    </row>
    <row r="155" spans="13:26" x14ac:dyDescent="0.25">
      <c r="M155" s="2">
        <v>2021</v>
      </c>
      <c r="N155" s="2" t="s">
        <v>64</v>
      </c>
      <c r="O155" s="2" t="s">
        <v>89</v>
      </c>
      <c r="P155" s="2" t="str">
        <f>O155</f>
        <v>S1</v>
      </c>
      <c r="Q155" s="1">
        <v>5.6030118129227517</v>
      </c>
      <c r="R155" s="1">
        <v>86.162063365852021</v>
      </c>
      <c r="S155" s="1">
        <v>6.5028756207147103</v>
      </c>
      <c r="T155" s="1">
        <f t="shared" si="18"/>
        <v>0.6</v>
      </c>
      <c r="U155" s="1">
        <f t="shared" si="19"/>
        <v>109</v>
      </c>
      <c r="V155" s="1">
        <f t="shared" si="20"/>
        <v>1.0900000000000001</v>
      </c>
      <c r="W155" s="1">
        <f t="shared" si="21"/>
        <v>0.6</v>
      </c>
      <c r="X155" s="1">
        <f t="shared" si="22"/>
        <v>1.1699999999999997</v>
      </c>
      <c r="Y155" s="1">
        <f t="shared" si="23"/>
        <v>70.199999999999989</v>
      </c>
      <c r="Z155" s="1">
        <f t="shared" si="24"/>
        <v>393.3314292671771</v>
      </c>
    </row>
    <row r="156" spans="13:26" x14ac:dyDescent="0.25">
      <c r="M156" s="2">
        <v>2021</v>
      </c>
      <c r="N156" s="2" t="s">
        <v>64</v>
      </c>
      <c r="O156" s="2" t="s">
        <v>88</v>
      </c>
      <c r="P156" s="2" t="str">
        <f>O156</f>
        <v>S2</v>
      </c>
      <c r="Q156" s="1">
        <v>39.206095638516793</v>
      </c>
      <c r="R156" s="1">
        <v>86.162063365852021</v>
      </c>
      <c r="S156" s="1">
        <v>45.502735318726202</v>
      </c>
      <c r="T156" s="1">
        <f t="shared" si="18"/>
        <v>0.6</v>
      </c>
      <c r="U156" s="1">
        <f t="shared" si="19"/>
        <v>81</v>
      </c>
      <c r="V156" s="1">
        <f t="shared" si="20"/>
        <v>0.81</v>
      </c>
      <c r="W156" s="1">
        <f t="shared" si="21"/>
        <v>0.6</v>
      </c>
      <c r="X156" s="1">
        <f t="shared" si="22"/>
        <v>1.04</v>
      </c>
      <c r="Y156" s="1">
        <f t="shared" si="23"/>
        <v>62.4</v>
      </c>
      <c r="Z156" s="1">
        <f t="shared" si="24"/>
        <v>2446.4603678434478</v>
      </c>
    </row>
    <row r="157" spans="13:26" x14ac:dyDescent="0.25">
      <c r="M157" s="2">
        <v>2021</v>
      </c>
      <c r="N157" s="2" t="s">
        <v>64</v>
      </c>
      <c r="O157" s="2" t="s">
        <v>87</v>
      </c>
      <c r="P157" s="2" t="str">
        <f>O157</f>
        <v>S3</v>
      </c>
      <c r="Q157" s="1">
        <v>38.957243448193317</v>
      </c>
      <c r="R157" s="1">
        <v>86.162063365852021</v>
      </c>
      <c r="S157" s="1">
        <v>45.213916573442887</v>
      </c>
      <c r="T157" s="1">
        <f t="shared" si="18"/>
        <v>0.6</v>
      </c>
      <c r="U157" s="1">
        <f t="shared" si="19"/>
        <v>59</v>
      </c>
      <c r="V157" s="1">
        <f t="shared" si="20"/>
        <v>0.59</v>
      </c>
      <c r="W157" s="1">
        <f t="shared" si="21"/>
        <v>0.59</v>
      </c>
      <c r="X157" s="1">
        <f t="shared" si="22"/>
        <v>0.99999999999999978</v>
      </c>
      <c r="Y157" s="1">
        <f t="shared" si="23"/>
        <v>58.999999999999986</v>
      </c>
      <c r="Z157" s="1">
        <f t="shared" si="24"/>
        <v>2298.477363443405</v>
      </c>
    </row>
    <row r="158" spans="13:26" x14ac:dyDescent="0.25">
      <c r="M158" s="2">
        <v>2021</v>
      </c>
      <c r="N158" s="2" t="s">
        <v>63</v>
      </c>
      <c r="O158" s="2" t="s">
        <v>92</v>
      </c>
      <c r="P158" s="2" t="s">
        <v>90</v>
      </c>
      <c r="Q158" s="1">
        <v>0.13728521239821001</v>
      </c>
      <c r="R158" s="1">
        <v>227.67010509021191</v>
      </c>
      <c r="S158" s="1">
        <v>6.0300061065905963E-2</v>
      </c>
      <c r="T158" s="1">
        <f t="shared" si="18"/>
        <v>0.7</v>
      </c>
      <c r="U158" s="1">
        <f t="shared" si="19"/>
        <v>41</v>
      </c>
      <c r="V158" s="1">
        <f t="shared" si="20"/>
        <v>0.41</v>
      </c>
      <c r="W158" s="1">
        <f t="shared" si="21"/>
        <v>0.41</v>
      </c>
      <c r="X158" s="1">
        <f t="shared" si="22"/>
        <v>0.98</v>
      </c>
      <c r="Y158" s="1">
        <f t="shared" si="23"/>
        <v>40.18</v>
      </c>
      <c r="Z158" s="1">
        <f t="shared" si="24"/>
        <v>5.5161198341600786</v>
      </c>
    </row>
    <row r="159" spans="13:26" x14ac:dyDescent="0.25">
      <c r="M159" s="2">
        <v>2021</v>
      </c>
      <c r="N159" s="2" t="s">
        <v>63</v>
      </c>
      <c r="O159" s="2" t="s">
        <v>91</v>
      </c>
      <c r="P159" s="2" t="s">
        <v>90</v>
      </c>
      <c r="Q159" s="1">
        <v>0.84546783656509894</v>
      </c>
      <c r="R159" s="1">
        <v>227.67010509021191</v>
      </c>
      <c r="S159" s="1">
        <v>0.37135654513362271</v>
      </c>
      <c r="T159" s="1">
        <f t="shared" si="18"/>
        <v>0.7</v>
      </c>
      <c r="U159" s="1">
        <f t="shared" si="19"/>
        <v>41</v>
      </c>
      <c r="V159" s="1">
        <f t="shared" si="20"/>
        <v>0.41</v>
      </c>
      <c r="W159" s="1">
        <f t="shared" si="21"/>
        <v>0.41</v>
      </c>
      <c r="X159" s="1">
        <f t="shared" si="22"/>
        <v>0.98</v>
      </c>
      <c r="Y159" s="1">
        <f t="shared" si="23"/>
        <v>40.18</v>
      </c>
      <c r="Z159" s="1">
        <f t="shared" si="24"/>
        <v>33.970897673185675</v>
      </c>
    </row>
    <row r="160" spans="13:26" x14ac:dyDescent="0.25">
      <c r="M160" s="2">
        <v>2021</v>
      </c>
      <c r="N160" s="2" t="s">
        <v>63</v>
      </c>
      <c r="O160" s="2" t="s">
        <v>89</v>
      </c>
      <c r="P160" s="2" t="str">
        <f>O160</f>
        <v>S1</v>
      </c>
      <c r="Q160" s="1">
        <v>50.862119867772563</v>
      </c>
      <c r="R160" s="1">
        <v>227.67010509021191</v>
      </c>
      <c r="S160" s="1">
        <v>22.340271616960411</v>
      </c>
      <c r="T160" s="1">
        <f t="shared" si="18"/>
        <v>0.7</v>
      </c>
      <c r="U160" s="1">
        <f t="shared" si="19"/>
        <v>109</v>
      </c>
      <c r="V160" s="1">
        <f t="shared" si="20"/>
        <v>1.0900000000000001</v>
      </c>
      <c r="W160" s="1">
        <f t="shared" si="21"/>
        <v>0.7</v>
      </c>
      <c r="X160" s="1">
        <f t="shared" si="22"/>
        <v>1.1699999999999997</v>
      </c>
      <c r="Y160" s="1">
        <f t="shared" si="23"/>
        <v>81.899999999999977</v>
      </c>
      <c r="Z160" s="1">
        <f t="shared" si="24"/>
        <v>4165.6076171705718</v>
      </c>
    </row>
    <row r="161" spans="13:26" x14ac:dyDescent="0.25">
      <c r="M161" s="2">
        <v>2021</v>
      </c>
      <c r="N161" s="2" t="s">
        <v>63</v>
      </c>
      <c r="O161" s="2" t="s">
        <v>88</v>
      </c>
      <c r="P161" s="2" t="str">
        <f>O161</f>
        <v>S2</v>
      </c>
      <c r="Q161" s="1">
        <v>119.6180392478046</v>
      </c>
      <c r="R161" s="1">
        <v>227.67010509021191</v>
      </c>
      <c r="S161" s="1">
        <v>52.540072927188767</v>
      </c>
      <c r="T161" s="1">
        <f t="shared" si="18"/>
        <v>0.7</v>
      </c>
      <c r="U161" s="1">
        <f t="shared" si="19"/>
        <v>81</v>
      </c>
      <c r="V161" s="1">
        <f t="shared" si="20"/>
        <v>0.81</v>
      </c>
      <c r="W161" s="1">
        <f t="shared" si="21"/>
        <v>0.7</v>
      </c>
      <c r="X161" s="1">
        <f t="shared" si="22"/>
        <v>1.04</v>
      </c>
      <c r="Y161" s="1">
        <f t="shared" si="23"/>
        <v>72.8</v>
      </c>
      <c r="Z161" s="1">
        <f t="shared" si="24"/>
        <v>8708.1932572401747</v>
      </c>
    </row>
    <row r="162" spans="13:26" x14ac:dyDescent="0.25">
      <c r="M162" s="2">
        <v>2021</v>
      </c>
      <c r="N162" s="2" t="s">
        <v>63</v>
      </c>
      <c r="O162" s="2" t="s">
        <v>87</v>
      </c>
      <c r="P162" s="2" t="str">
        <f>O162</f>
        <v>S3</v>
      </c>
      <c r="Q162" s="1">
        <v>56.207192925671393</v>
      </c>
      <c r="R162" s="1">
        <v>227.67010509021191</v>
      </c>
      <c r="S162" s="1">
        <v>24.68799884965129</v>
      </c>
      <c r="T162" s="1">
        <f t="shared" si="18"/>
        <v>0.7</v>
      </c>
      <c r="U162" s="1">
        <f t="shared" si="19"/>
        <v>59</v>
      </c>
      <c r="V162" s="1">
        <f t="shared" si="20"/>
        <v>0.59</v>
      </c>
      <c r="W162" s="1">
        <f t="shared" si="21"/>
        <v>0.59</v>
      </c>
      <c r="X162" s="1">
        <f t="shared" si="22"/>
        <v>0.99999999999999978</v>
      </c>
      <c r="Y162" s="1">
        <f t="shared" si="23"/>
        <v>58.999999999999986</v>
      </c>
      <c r="Z162" s="1">
        <f t="shared" si="24"/>
        <v>3316.2243826146114</v>
      </c>
    </row>
    <row r="163" spans="13:26" x14ac:dyDescent="0.25">
      <c r="M163" s="2">
        <v>2021</v>
      </c>
      <c r="N163" s="2" t="s">
        <v>62</v>
      </c>
      <c r="O163" s="2" t="s">
        <v>91</v>
      </c>
      <c r="P163" s="2" t="s">
        <v>90</v>
      </c>
      <c r="Q163" s="1">
        <v>0.19488702910159861</v>
      </c>
      <c r="R163" s="1">
        <v>41.279659431150392</v>
      </c>
      <c r="S163" s="1">
        <v>0.47211394615948138</v>
      </c>
      <c r="T163" s="1">
        <f t="shared" si="18"/>
        <v>1</v>
      </c>
      <c r="U163" s="1">
        <f t="shared" si="19"/>
        <v>41</v>
      </c>
      <c r="V163" s="1">
        <f t="shared" si="20"/>
        <v>0.41</v>
      </c>
      <c r="W163" s="1">
        <f t="shared" si="21"/>
        <v>0.41</v>
      </c>
      <c r="X163" s="1">
        <f t="shared" si="22"/>
        <v>0.98</v>
      </c>
      <c r="Y163" s="1">
        <f t="shared" si="23"/>
        <v>40.18</v>
      </c>
      <c r="Z163" s="1">
        <f t="shared" si="24"/>
        <v>7.8305608293022324</v>
      </c>
    </row>
    <row r="164" spans="13:26" x14ac:dyDescent="0.25">
      <c r="M164" s="2">
        <v>2021</v>
      </c>
      <c r="N164" s="2" t="s">
        <v>62</v>
      </c>
      <c r="O164" s="2" t="s">
        <v>89</v>
      </c>
      <c r="P164" s="2" t="str">
        <f t="shared" ref="P164:P169" si="26">O164</f>
        <v>S1</v>
      </c>
      <c r="Q164" s="1">
        <v>3.8555269707811699</v>
      </c>
      <c r="R164" s="1">
        <v>41.279659431150392</v>
      </c>
      <c r="S164" s="1">
        <v>9.3400164243402628</v>
      </c>
      <c r="T164" s="1">
        <f t="shared" si="18"/>
        <v>1</v>
      </c>
      <c r="U164" s="1">
        <f t="shared" si="19"/>
        <v>109</v>
      </c>
      <c r="V164" s="1">
        <f t="shared" si="20"/>
        <v>1.0900000000000001</v>
      </c>
      <c r="W164" s="1">
        <f t="shared" si="21"/>
        <v>1</v>
      </c>
      <c r="X164" s="1">
        <f t="shared" si="22"/>
        <v>1.1699999999999997</v>
      </c>
      <c r="Y164" s="1">
        <f t="shared" si="23"/>
        <v>116.99999999999997</v>
      </c>
      <c r="Z164" s="1">
        <f t="shared" si="24"/>
        <v>451.09665558139676</v>
      </c>
    </row>
    <row r="165" spans="13:26" x14ac:dyDescent="0.25">
      <c r="M165" s="2">
        <v>2021</v>
      </c>
      <c r="N165" s="2" t="s">
        <v>62</v>
      </c>
      <c r="O165" s="2" t="s">
        <v>88</v>
      </c>
      <c r="P165" s="2" t="str">
        <f t="shared" si="26"/>
        <v>S2</v>
      </c>
      <c r="Q165" s="1">
        <v>33.377219081740911</v>
      </c>
      <c r="R165" s="1">
        <v>41.279659431150392</v>
      </c>
      <c r="S165" s="1">
        <v>80.856333462271365</v>
      </c>
      <c r="T165" s="1">
        <f t="shared" si="18"/>
        <v>1</v>
      </c>
      <c r="U165" s="1">
        <f t="shared" si="19"/>
        <v>81</v>
      </c>
      <c r="V165" s="1">
        <f t="shared" si="20"/>
        <v>0.81</v>
      </c>
      <c r="W165" s="1">
        <f t="shared" si="21"/>
        <v>0.81</v>
      </c>
      <c r="X165" s="1">
        <f t="shared" si="22"/>
        <v>1.04</v>
      </c>
      <c r="Y165" s="1">
        <f t="shared" si="23"/>
        <v>84.240000000000009</v>
      </c>
      <c r="Z165" s="1">
        <f t="shared" si="24"/>
        <v>2811.6969354458547</v>
      </c>
    </row>
    <row r="166" spans="13:26" x14ac:dyDescent="0.25">
      <c r="M166" s="2">
        <v>2021</v>
      </c>
      <c r="N166" s="2" t="s">
        <v>62</v>
      </c>
      <c r="O166" s="2" t="s">
        <v>87</v>
      </c>
      <c r="P166" s="2" t="str">
        <f t="shared" si="26"/>
        <v>S3</v>
      </c>
      <c r="Q166" s="1">
        <v>3.852026349526704</v>
      </c>
      <c r="R166" s="1">
        <v>41.279659431150392</v>
      </c>
      <c r="S166" s="1">
        <v>9.3315361672288759</v>
      </c>
      <c r="T166" s="1">
        <f t="shared" si="18"/>
        <v>1</v>
      </c>
      <c r="U166" s="1">
        <f t="shared" si="19"/>
        <v>59</v>
      </c>
      <c r="V166" s="1">
        <f t="shared" si="20"/>
        <v>0.59</v>
      </c>
      <c r="W166" s="1">
        <f t="shared" si="21"/>
        <v>0.59</v>
      </c>
      <c r="X166" s="1">
        <f t="shared" si="22"/>
        <v>0.99999999999999978</v>
      </c>
      <c r="Y166" s="1">
        <f t="shared" si="23"/>
        <v>58.999999999999986</v>
      </c>
      <c r="Z166" s="1">
        <f t="shared" si="24"/>
        <v>227.26955462207547</v>
      </c>
    </row>
    <row r="167" spans="13:26" x14ac:dyDescent="0.25">
      <c r="M167" s="2">
        <v>2021</v>
      </c>
      <c r="N167" s="2" t="s">
        <v>61</v>
      </c>
      <c r="O167" s="2" t="s">
        <v>89</v>
      </c>
      <c r="P167" s="2" t="str">
        <f t="shared" si="26"/>
        <v>S1</v>
      </c>
      <c r="Q167" s="1">
        <v>12.140759365455031</v>
      </c>
      <c r="R167" s="1">
        <v>133.22023092534599</v>
      </c>
      <c r="S167" s="1">
        <v>9.1133000454401465</v>
      </c>
      <c r="T167" s="1">
        <f t="shared" si="18"/>
        <v>0.6</v>
      </c>
      <c r="U167" s="1">
        <f t="shared" si="19"/>
        <v>109</v>
      </c>
      <c r="V167" s="1">
        <f t="shared" si="20"/>
        <v>1.0900000000000001</v>
      </c>
      <c r="W167" s="1">
        <f t="shared" si="21"/>
        <v>0.6</v>
      </c>
      <c r="X167" s="1">
        <f t="shared" si="22"/>
        <v>1.1699999999999997</v>
      </c>
      <c r="Y167" s="1">
        <f t="shared" si="23"/>
        <v>70.199999999999989</v>
      </c>
      <c r="Z167" s="1">
        <f t="shared" si="24"/>
        <v>852.28130745494298</v>
      </c>
    </row>
    <row r="168" spans="13:26" x14ac:dyDescent="0.25">
      <c r="M168" s="2">
        <v>2021</v>
      </c>
      <c r="N168" s="2" t="s">
        <v>61</v>
      </c>
      <c r="O168" s="2" t="s">
        <v>88</v>
      </c>
      <c r="P168" s="2" t="str">
        <f t="shared" si="26"/>
        <v>S2</v>
      </c>
      <c r="Q168" s="1">
        <v>67.782594545486063</v>
      </c>
      <c r="R168" s="1">
        <v>133.22023092534599</v>
      </c>
      <c r="S168" s="1">
        <v>50.880105877815282</v>
      </c>
      <c r="T168" s="1">
        <f t="shared" si="18"/>
        <v>0.6</v>
      </c>
      <c r="U168" s="1">
        <f t="shared" si="19"/>
        <v>81</v>
      </c>
      <c r="V168" s="1">
        <f t="shared" si="20"/>
        <v>0.81</v>
      </c>
      <c r="W168" s="1">
        <f t="shared" si="21"/>
        <v>0.6</v>
      </c>
      <c r="X168" s="1">
        <f t="shared" si="22"/>
        <v>1.04</v>
      </c>
      <c r="Y168" s="1">
        <f t="shared" si="23"/>
        <v>62.4</v>
      </c>
      <c r="Z168" s="1">
        <f t="shared" si="24"/>
        <v>4229.6338996383301</v>
      </c>
    </row>
    <row r="169" spans="13:26" x14ac:dyDescent="0.25">
      <c r="M169" s="2">
        <v>2021</v>
      </c>
      <c r="N169" s="2" t="s">
        <v>61</v>
      </c>
      <c r="O169" s="2" t="s">
        <v>87</v>
      </c>
      <c r="P169" s="2" t="str">
        <f t="shared" si="26"/>
        <v>S3</v>
      </c>
      <c r="Q169" s="1">
        <v>53.296877014404927</v>
      </c>
      <c r="R169" s="1">
        <v>133.22023092534599</v>
      </c>
      <c r="S169" s="1">
        <v>40.006594076744577</v>
      </c>
      <c r="T169" s="1">
        <f t="shared" si="18"/>
        <v>0.6</v>
      </c>
      <c r="U169" s="1">
        <f t="shared" si="19"/>
        <v>59</v>
      </c>
      <c r="V169" s="1">
        <f t="shared" si="20"/>
        <v>0.59</v>
      </c>
      <c r="W169" s="1">
        <f t="shared" si="21"/>
        <v>0.59</v>
      </c>
      <c r="X169" s="1">
        <f t="shared" si="22"/>
        <v>0.99999999999999978</v>
      </c>
      <c r="Y169" s="1">
        <f t="shared" si="23"/>
        <v>58.999999999999986</v>
      </c>
      <c r="Z169" s="1">
        <f t="shared" si="24"/>
        <v>3144.51574384989</v>
      </c>
    </row>
    <row r="170" spans="13:26" x14ac:dyDescent="0.25">
      <c r="M170" s="2">
        <v>2021</v>
      </c>
      <c r="N170" s="2" t="s">
        <v>60</v>
      </c>
      <c r="O170" s="2" t="s">
        <v>92</v>
      </c>
      <c r="P170" s="2" t="s">
        <v>90</v>
      </c>
      <c r="Q170" s="1">
        <v>0.14015298306918239</v>
      </c>
      <c r="R170" s="1">
        <v>205.85695641829341</v>
      </c>
      <c r="S170" s="1">
        <v>6.8082704372834979E-2</v>
      </c>
      <c r="T170" s="1">
        <f t="shared" si="18"/>
        <v>0.6</v>
      </c>
      <c r="U170" s="1">
        <f t="shared" si="19"/>
        <v>41</v>
      </c>
      <c r="V170" s="1">
        <f t="shared" si="20"/>
        <v>0.41</v>
      </c>
      <c r="W170" s="1">
        <f t="shared" si="21"/>
        <v>0.41</v>
      </c>
      <c r="X170" s="1">
        <f t="shared" si="22"/>
        <v>0.98</v>
      </c>
      <c r="Y170" s="1">
        <f t="shared" si="23"/>
        <v>40.18</v>
      </c>
      <c r="Z170" s="1">
        <f t="shared" si="24"/>
        <v>5.6313468597197485</v>
      </c>
    </row>
    <row r="171" spans="13:26" x14ac:dyDescent="0.25">
      <c r="M171" s="2">
        <v>2021</v>
      </c>
      <c r="N171" s="2" t="s">
        <v>60</v>
      </c>
      <c r="O171" s="2" t="s">
        <v>91</v>
      </c>
      <c r="P171" s="2" t="s">
        <v>90</v>
      </c>
      <c r="Q171" s="1">
        <v>4.7423552851432023E-2</v>
      </c>
      <c r="R171" s="1">
        <v>205.85695641829341</v>
      </c>
      <c r="S171" s="1">
        <v>2.3037138834924378E-2</v>
      </c>
      <c r="T171" s="1">
        <f t="shared" si="18"/>
        <v>0.6</v>
      </c>
      <c r="U171" s="1">
        <f t="shared" si="19"/>
        <v>41</v>
      </c>
      <c r="V171" s="1">
        <f t="shared" si="20"/>
        <v>0.41</v>
      </c>
      <c r="W171" s="1">
        <f t="shared" si="21"/>
        <v>0.41</v>
      </c>
      <c r="X171" s="1">
        <f t="shared" si="22"/>
        <v>0.98</v>
      </c>
      <c r="Y171" s="1">
        <f t="shared" si="23"/>
        <v>40.18</v>
      </c>
      <c r="Z171" s="1">
        <f t="shared" si="24"/>
        <v>1.9054783535705386</v>
      </c>
    </row>
    <row r="172" spans="13:26" x14ac:dyDescent="0.25">
      <c r="M172" s="2">
        <v>2021</v>
      </c>
      <c r="N172" s="2" t="s">
        <v>60</v>
      </c>
      <c r="O172" s="2" t="s">
        <v>89</v>
      </c>
      <c r="P172" s="2" t="str">
        <f>O172</f>
        <v>S1</v>
      </c>
      <c r="Q172" s="1">
        <v>17.26860144678626</v>
      </c>
      <c r="R172" s="1">
        <v>205.85695641829341</v>
      </c>
      <c r="S172" s="1">
        <v>8.3886411939838119</v>
      </c>
      <c r="T172" s="1">
        <f t="shared" si="18"/>
        <v>0.6</v>
      </c>
      <c r="U172" s="1">
        <f t="shared" si="19"/>
        <v>109</v>
      </c>
      <c r="V172" s="1">
        <f t="shared" si="20"/>
        <v>1.0900000000000001</v>
      </c>
      <c r="W172" s="1">
        <f t="shared" si="21"/>
        <v>0.6</v>
      </c>
      <c r="X172" s="1">
        <f t="shared" si="22"/>
        <v>1.1699999999999997</v>
      </c>
      <c r="Y172" s="1">
        <f t="shared" si="23"/>
        <v>70.199999999999989</v>
      </c>
      <c r="Z172" s="1">
        <f t="shared" si="24"/>
        <v>1212.2558215643953</v>
      </c>
    </row>
    <row r="173" spans="13:26" x14ac:dyDescent="0.25">
      <c r="M173" s="2">
        <v>2021</v>
      </c>
      <c r="N173" s="2" t="s">
        <v>60</v>
      </c>
      <c r="O173" s="2" t="s">
        <v>88</v>
      </c>
      <c r="P173" s="2" t="str">
        <f>O173</f>
        <v>S2</v>
      </c>
      <c r="Q173" s="1">
        <v>121.25292747176179</v>
      </c>
      <c r="R173" s="1">
        <v>205.85695641829341</v>
      </c>
      <c r="S173" s="1">
        <v>58.901544830664143</v>
      </c>
      <c r="T173" s="1">
        <f t="shared" si="18"/>
        <v>0.6</v>
      </c>
      <c r="U173" s="1">
        <f t="shared" si="19"/>
        <v>81</v>
      </c>
      <c r="V173" s="1">
        <f t="shared" si="20"/>
        <v>0.81</v>
      </c>
      <c r="W173" s="1">
        <f t="shared" si="21"/>
        <v>0.6</v>
      </c>
      <c r="X173" s="1">
        <f t="shared" si="22"/>
        <v>1.04</v>
      </c>
      <c r="Y173" s="1">
        <f t="shared" si="23"/>
        <v>62.4</v>
      </c>
      <c r="Z173" s="1">
        <f t="shared" si="24"/>
        <v>7566.1826742379353</v>
      </c>
    </row>
    <row r="174" spans="13:26" x14ac:dyDescent="0.25">
      <c r="M174" s="2">
        <v>2021</v>
      </c>
      <c r="N174" s="2" t="s">
        <v>60</v>
      </c>
      <c r="O174" s="2" t="s">
        <v>87</v>
      </c>
      <c r="P174" s="2" t="str">
        <f>O174</f>
        <v>S3</v>
      </c>
      <c r="Q174" s="1">
        <v>67.147850963824681</v>
      </c>
      <c r="R174" s="1">
        <v>205.85695641829341</v>
      </c>
      <c r="S174" s="1">
        <v>32.618694132144277</v>
      </c>
      <c r="T174" s="1">
        <f t="shared" si="18"/>
        <v>0.6</v>
      </c>
      <c r="U174" s="1">
        <f t="shared" si="19"/>
        <v>59</v>
      </c>
      <c r="V174" s="1">
        <f t="shared" si="20"/>
        <v>0.59</v>
      </c>
      <c r="W174" s="1">
        <f t="shared" si="21"/>
        <v>0.59</v>
      </c>
      <c r="X174" s="1">
        <f t="shared" si="22"/>
        <v>0.99999999999999978</v>
      </c>
      <c r="Y174" s="1">
        <f t="shared" si="23"/>
        <v>58.999999999999986</v>
      </c>
      <c r="Z174" s="1">
        <f t="shared" si="24"/>
        <v>3961.7232068656554</v>
      </c>
    </row>
    <row r="175" spans="13:26" x14ac:dyDescent="0.25">
      <c r="M175" s="2">
        <v>2021</v>
      </c>
      <c r="N175" s="2" t="s">
        <v>59</v>
      </c>
      <c r="O175" s="2" t="s">
        <v>91</v>
      </c>
      <c r="P175" s="2" t="s">
        <v>90</v>
      </c>
      <c r="Q175" s="1">
        <v>0.26810046465763038</v>
      </c>
      <c r="R175" s="1">
        <v>668.36776051230356</v>
      </c>
      <c r="S175" s="1">
        <v>4.011271645600193E-2</v>
      </c>
      <c r="T175" s="1">
        <f t="shared" si="18"/>
        <v>0.6</v>
      </c>
      <c r="U175" s="1">
        <f t="shared" si="19"/>
        <v>41</v>
      </c>
      <c r="V175" s="1">
        <f t="shared" si="20"/>
        <v>0.41</v>
      </c>
      <c r="W175" s="1">
        <f t="shared" si="21"/>
        <v>0.41</v>
      </c>
      <c r="X175" s="1">
        <f t="shared" si="22"/>
        <v>0.98</v>
      </c>
      <c r="Y175" s="1">
        <f t="shared" si="23"/>
        <v>40.18</v>
      </c>
      <c r="Z175" s="1">
        <f t="shared" si="24"/>
        <v>10.772276669943588</v>
      </c>
    </row>
    <row r="176" spans="13:26" x14ac:dyDescent="0.25">
      <c r="M176" s="2">
        <v>2021</v>
      </c>
      <c r="N176" s="2" t="s">
        <v>59</v>
      </c>
      <c r="O176" s="2" t="s">
        <v>89</v>
      </c>
      <c r="P176" s="2" t="str">
        <f>O176</f>
        <v>S1</v>
      </c>
      <c r="Q176" s="1">
        <v>102.7717807363229</v>
      </c>
      <c r="R176" s="1">
        <v>668.36776051230356</v>
      </c>
      <c r="S176" s="1">
        <v>15.37653172522092</v>
      </c>
      <c r="T176" s="1">
        <f t="shared" si="18"/>
        <v>0.6</v>
      </c>
      <c r="U176" s="1">
        <f t="shared" si="19"/>
        <v>109</v>
      </c>
      <c r="V176" s="1">
        <f t="shared" si="20"/>
        <v>1.0900000000000001</v>
      </c>
      <c r="W176" s="1">
        <f t="shared" si="21"/>
        <v>0.6</v>
      </c>
      <c r="X176" s="1">
        <f t="shared" si="22"/>
        <v>1.1699999999999997</v>
      </c>
      <c r="Y176" s="1">
        <f t="shared" si="23"/>
        <v>70.199999999999989</v>
      </c>
      <c r="Z176" s="1">
        <f t="shared" si="24"/>
        <v>7214.5790076898666</v>
      </c>
    </row>
    <row r="177" spans="13:26" x14ac:dyDescent="0.25">
      <c r="M177" s="2">
        <v>2021</v>
      </c>
      <c r="N177" s="2" t="s">
        <v>59</v>
      </c>
      <c r="O177" s="2" t="s">
        <v>88</v>
      </c>
      <c r="P177" s="2" t="str">
        <f>O177</f>
        <v>S2</v>
      </c>
      <c r="Q177" s="1">
        <v>428.24017161614017</v>
      </c>
      <c r="R177" s="1">
        <v>668.36776051230356</v>
      </c>
      <c r="S177" s="1">
        <v>64.072535648322457</v>
      </c>
      <c r="T177" s="1">
        <f t="shared" si="18"/>
        <v>0.6</v>
      </c>
      <c r="U177" s="1">
        <f t="shared" si="19"/>
        <v>81</v>
      </c>
      <c r="V177" s="1">
        <f t="shared" si="20"/>
        <v>0.81</v>
      </c>
      <c r="W177" s="1">
        <f t="shared" si="21"/>
        <v>0.6</v>
      </c>
      <c r="X177" s="1">
        <f t="shared" si="22"/>
        <v>1.04</v>
      </c>
      <c r="Y177" s="1">
        <f t="shared" si="23"/>
        <v>62.4</v>
      </c>
      <c r="Z177" s="1">
        <f t="shared" si="24"/>
        <v>26722.186708847144</v>
      </c>
    </row>
    <row r="178" spans="13:26" x14ac:dyDescent="0.25">
      <c r="M178" s="2">
        <v>2021</v>
      </c>
      <c r="N178" s="2" t="s">
        <v>59</v>
      </c>
      <c r="O178" s="2" t="s">
        <v>87</v>
      </c>
      <c r="P178" s="2" t="str">
        <f>O178</f>
        <v>S3</v>
      </c>
      <c r="Q178" s="1">
        <v>137.08770769518279</v>
      </c>
      <c r="R178" s="1">
        <v>668.36776051230356</v>
      </c>
      <c r="S178" s="1">
        <v>20.51081991000061</v>
      </c>
      <c r="T178" s="1">
        <f t="shared" si="18"/>
        <v>0.6</v>
      </c>
      <c r="U178" s="1">
        <f t="shared" si="19"/>
        <v>59</v>
      </c>
      <c r="V178" s="1">
        <f t="shared" si="20"/>
        <v>0.59</v>
      </c>
      <c r="W178" s="1">
        <f t="shared" si="21"/>
        <v>0.59</v>
      </c>
      <c r="X178" s="1">
        <f t="shared" si="22"/>
        <v>0.99999999999999978</v>
      </c>
      <c r="Y178" s="1">
        <f t="shared" si="23"/>
        <v>58.999999999999986</v>
      </c>
      <c r="Z178" s="1">
        <f t="shared" si="24"/>
        <v>8088.1747540157821</v>
      </c>
    </row>
    <row r="179" spans="13:26" x14ac:dyDescent="0.25">
      <c r="M179" s="2">
        <v>2021</v>
      </c>
      <c r="N179" s="2" t="s">
        <v>58</v>
      </c>
      <c r="O179" s="2" t="s">
        <v>91</v>
      </c>
      <c r="P179" s="2" t="s">
        <v>90</v>
      </c>
      <c r="Q179" s="1">
        <v>0.510724725922025</v>
      </c>
      <c r="R179" s="1">
        <v>147.90441562365609</v>
      </c>
      <c r="S179" s="1">
        <v>0.34530728766176122</v>
      </c>
      <c r="T179" s="1">
        <f t="shared" si="18"/>
        <v>1</v>
      </c>
      <c r="U179" s="1">
        <f t="shared" si="19"/>
        <v>41</v>
      </c>
      <c r="V179" s="1">
        <f t="shared" si="20"/>
        <v>0.41</v>
      </c>
      <c r="W179" s="1">
        <f t="shared" si="21"/>
        <v>0.41</v>
      </c>
      <c r="X179" s="1">
        <f t="shared" si="22"/>
        <v>0.98</v>
      </c>
      <c r="Y179" s="1">
        <f t="shared" si="23"/>
        <v>40.18</v>
      </c>
      <c r="Z179" s="1">
        <f t="shared" si="24"/>
        <v>20.520919487546966</v>
      </c>
    </row>
    <row r="180" spans="13:26" x14ac:dyDescent="0.25">
      <c r="M180" s="2">
        <v>2021</v>
      </c>
      <c r="N180" s="2" t="s">
        <v>58</v>
      </c>
      <c r="O180" s="2" t="s">
        <v>89</v>
      </c>
      <c r="P180" s="2" t="str">
        <f>O180</f>
        <v>S1</v>
      </c>
      <c r="Q180" s="1">
        <v>21.657352576372801</v>
      </c>
      <c r="R180" s="1">
        <v>147.90441562365609</v>
      </c>
      <c r="S180" s="1">
        <v>14.64280324901191</v>
      </c>
      <c r="T180" s="1">
        <f t="shared" si="18"/>
        <v>1</v>
      </c>
      <c r="U180" s="1">
        <f t="shared" si="19"/>
        <v>109</v>
      </c>
      <c r="V180" s="1">
        <f t="shared" si="20"/>
        <v>1.0900000000000001</v>
      </c>
      <c r="W180" s="1">
        <f t="shared" si="21"/>
        <v>1</v>
      </c>
      <c r="X180" s="1">
        <f t="shared" si="22"/>
        <v>1.1699999999999997</v>
      </c>
      <c r="Y180" s="1">
        <f t="shared" si="23"/>
        <v>116.99999999999997</v>
      </c>
      <c r="Z180" s="1">
        <f t="shared" si="24"/>
        <v>2533.9102514356173</v>
      </c>
    </row>
    <row r="181" spans="13:26" x14ac:dyDescent="0.25">
      <c r="M181" s="2">
        <v>2021</v>
      </c>
      <c r="N181" s="2" t="s">
        <v>58</v>
      </c>
      <c r="O181" s="2" t="s">
        <v>88</v>
      </c>
      <c r="P181" s="2" t="str">
        <f>O181</f>
        <v>S2</v>
      </c>
      <c r="Q181" s="1">
        <v>103.9683090520862</v>
      </c>
      <c r="R181" s="1">
        <v>147.90441562365609</v>
      </c>
      <c r="S181" s="1">
        <v>70.294256336899608</v>
      </c>
      <c r="T181" s="1">
        <f t="shared" si="18"/>
        <v>1</v>
      </c>
      <c r="U181" s="1">
        <f t="shared" si="19"/>
        <v>81</v>
      </c>
      <c r="V181" s="1">
        <f t="shared" si="20"/>
        <v>0.81</v>
      </c>
      <c r="W181" s="1">
        <f t="shared" si="21"/>
        <v>0.81</v>
      </c>
      <c r="X181" s="1">
        <f t="shared" si="22"/>
        <v>1.04</v>
      </c>
      <c r="Y181" s="1">
        <f t="shared" si="23"/>
        <v>84.240000000000009</v>
      </c>
      <c r="Z181" s="1">
        <f t="shared" si="24"/>
        <v>8758.290354547742</v>
      </c>
    </row>
    <row r="182" spans="13:26" x14ac:dyDescent="0.25">
      <c r="M182" s="2">
        <v>2021</v>
      </c>
      <c r="N182" s="2" t="s">
        <v>58</v>
      </c>
      <c r="O182" s="2" t="s">
        <v>87</v>
      </c>
      <c r="P182" s="2" t="str">
        <f>O182</f>
        <v>S3</v>
      </c>
      <c r="Q182" s="1">
        <v>21.768029269275061</v>
      </c>
      <c r="R182" s="1">
        <v>147.90441562365609</v>
      </c>
      <c r="S182" s="1">
        <v>14.717633126426721</v>
      </c>
      <c r="T182" s="1">
        <f t="shared" si="18"/>
        <v>1</v>
      </c>
      <c r="U182" s="1">
        <f t="shared" si="19"/>
        <v>59</v>
      </c>
      <c r="V182" s="1">
        <f t="shared" si="20"/>
        <v>0.59</v>
      </c>
      <c r="W182" s="1">
        <f t="shared" si="21"/>
        <v>0.59</v>
      </c>
      <c r="X182" s="1">
        <f t="shared" si="22"/>
        <v>0.99999999999999978</v>
      </c>
      <c r="Y182" s="1">
        <f t="shared" si="23"/>
        <v>58.999999999999986</v>
      </c>
      <c r="Z182" s="1">
        <f t="shared" si="24"/>
        <v>1284.3137268872283</v>
      </c>
    </row>
    <row r="183" spans="13:26" x14ac:dyDescent="0.25">
      <c r="M183" s="2">
        <v>2022</v>
      </c>
      <c r="N183" s="2" t="s">
        <v>65</v>
      </c>
      <c r="O183" s="2" t="s">
        <v>92</v>
      </c>
      <c r="P183" s="2" t="s">
        <v>90</v>
      </c>
      <c r="Q183" s="1">
        <v>1.8977526839733281</v>
      </c>
      <c r="R183" s="1">
        <v>166.53088985912621</v>
      </c>
      <c r="S183" s="1">
        <v>1.1395799815750081</v>
      </c>
      <c r="T183" s="1">
        <f t="shared" si="18"/>
        <v>1</v>
      </c>
      <c r="U183" s="1">
        <f t="shared" si="19"/>
        <v>41</v>
      </c>
      <c r="V183" s="1">
        <f t="shared" si="20"/>
        <v>0.41</v>
      </c>
      <c r="W183" s="1">
        <f t="shared" si="21"/>
        <v>0.41</v>
      </c>
      <c r="X183" s="1">
        <f t="shared" si="22"/>
        <v>0.98</v>
      </c>
      <c r="Y183" s="1">
        <f t="shared" si="23"/>
        <v>40.18</v>
      </c>
      <c r="Z183" s="1">
        <f t="shared" si="24"/>
        <v>76.251702842048317</v>
      </c>
    </row>
    <row r="184" spans="13:26" x14ac:dyDescent="0.25">
      <c r="M184" s="2">
        <v>2022</v>
      </c>
      <c r="N184" s="2" t="s">
        <v>65</v>
      </c>
      <c r="O184" s="2" t="s">
        <v>91</v>
      </c>
      <c r="P184" s="2" t="s">
        <v>90</v>
      </c>
      <c r="Q184" s="1">
        <v>0.116391038263466</v>
      </c>
      <c r="R184" s="1">
        <v>166.53088985912621</v>
      </c>
      <c r="S184" s="1">
        <v>6.9891560876138306E-2</v>
      </c>
      <c r="T184" s="1">
        <f t="shared" si="18"/>
        <v>1</v>
      </c>
      <c r="U184" s="1">
        <f t="shared" si="19"/>
        <v>41</v>
      </c>
      <c r="V184" s="1">
        <f t="shared" si="20"/>
        <v>0.41</v>
      </c>
      <c r="W184" s="1">
        <f t="shared" si="21"/>
        <v>0.41</v>
      </c>
      <c r="X184" s="1">
        <f t="shared" si="22"/>
        <v>0.98</v>
      </c>
      <c r="Y184" s="1">
        <f t="shared" si="23"/>
        <v>40.18</v>
      </c>
      <c r="Z184" s="1">
        <f t="shared" si="24"/>
        <v>4.6765919174260642</v>
      </c>
    </row>
    <row r="185" spans="13:26" x14ac:dyDescent="0.25">
      <c r="M185" s="2">
        <v>2022</v>
      </c>
      <c r="N185" s="2" t="s">
        <v>65</v>
      </c>
      <c r="O185" s="2" t="s">
        <v>89</v>
      </c>
      <c r="P185" s="2" t="str">
        <f>O185</f>
        <v>S1</v>
      </c>
      <c r="Q185" s="1">
        <v>22.627530201544051</v>
      </c>
      <c r="R185" s="1">
        <v>166.53088985912621</v>
      </c>
      <c r="S185" s="1">
        <v>13.587587396359559</v>
      </c>
      <c r="T185" s="1">
        <f t="shared" si="18"/>
        <v>1</v>
      </c>
      <c r="U185" s="1">
        <f t="shared" si="19"/>
        <v>109</v>
      </c>
      <c r="V185" s="1">
        <f t="shared" si="20"/>
        <v>1.0900000000000001</v>
      </c>
      <c r="W185" s="1">
        <f t="shared" si="21"/>
        <v>1</v>
      </c>
      <c r="X185" s="1">
        <f t="shared" si="22"/>
        <v>1.1699999999999997</v>
      </c>
      <c r="Y185" s="1">
        <f t="shared" si="23"/>
        <v>116.99999999999997</v>
      </c>
      <c r="Z185" s="1">
        <f t="shared" si="24"/>
        <v>2647.4210335806533</v>
      </c>
    </row>
    <row r="186" spans="13:26" x14ac:dyDescent="0.25">
      <c r="M186" s="2">
        <v>2022</v>
      </c>
      <c r="N186" s="2" t="s">
        <v>65</v>
      </c>
      <c r="O186" s="2" t="s">
        <v>88</v>
      </c>
      <c r="P186" s="2" t="str">
        <f>O186</f>
        <v>S2</v>
      </c>
      <c r="Q186" s="1">
        <v>88.908587192457475</v>
      </c>
      <c r="R186" s="1">
        <v>166.53088985912621</v>
      </c>
      <c r="S186" s="1">
        <v>53.38864595491448</v>
      </c>
      <c r="T186" s="1">
        <f t="shared" si="18"/>
        <v>1</v>
      </c>
      <c r="U186" s="1">
        <f t="shared" si="19"/>
        <v>81</v>
      </c>
      <c r="V186" s="1">
        <f t="shared" si="20"/>
        <v>0.81</v>
      </c>
      <c r="W186" s="1">
        <f t="shared" si="21"/>
        <v>0.81</v>
      </c>
      <c r="X186" s="1">
        <f t="shared" si="22"/>
        <v>1.04</v>
      </c>
      <c r="Y186" s="1">
        <f t="shared" si="23"/>
        <v>84.240000000000009</v>
      </c>
      <c r="Z186" s="1">
        <f t="shared" si="24"/>
        <v>7489.6593850926183</v>
      </c>
    </row>
    <row r="187" spans="13:26" x14ac:dyDescent="0.25">
      <c r="M187" s="2">
        <v>2022</v>
      </c>
      <c r="N187" s="2" t="s">
        <v>65</v>
      </c>
      <c r="O187" s="2" t="s">
        <v>87</v>
      </c>
      <c r="P187" s="2" t="str">
        <f>O187</f>
        <v>S3</v>
      </c>
      <c r="Q187" s="1">
        <v>52.980628742887887</v>
      </c>
      <c r="R187" s="1">
        <v>166.53088985912621</v>
      </c>
      <c r="S187" s="1">
        <v>31.81429510627482</v>
      </c>
      <c r="T187" s="1">
        <f t="shared" si="18"/>
        <v>1</v>
      </c>
      <c r="U187" s="1">
        <f t="shared" si="19"/>
        <v>59</v>
      </c>
      <c r="V187" s="1">
        <f t="shared" si="20"/>
        <v>0.59</v>
      </c>
      <c r="W187" s="1">
        <f t="shared" si="21"/>
        <v>0.59</v>
      </c>
      <c r="X187" s="1">
        <f t="shared" si="22"/>
        <v>0.99999999999999978</v>
      </c>
      <c r="Y187" s="1">
        <f t="shared" si="23"/>
        <v>58.999999999999986</v>
      </c>
      <c r="Z187" s="1">
        <f t="shared" si="24"/>
        <v>3125.8570958303844</v>
      </c>
    </row>
    <row r="188" spans="13:26" x14ac:dyDescent="0.25">
      <c r="M188" s="2">
        <v>2022</v>
      </c>
      <c r="N188" s="2" t="s">
        <v>64</v>
      </c>
      <c r="O188" s="2" t="s">
        <v>91</v>
      </c>
      <c r="P188" s="2" t="s">
        <v>90</v>
      </c>
      <c r="Q188" s="1">
        <v>2.395712466219154</v>
      </c>
      <c r="R188" s="1">
        <v>86.162063365852021</v>
      </c>
      <c r="S188" s="1">
        <v>2.780472487116215</v>
      </c>
      <c r="T188" s="1">
        <f t="shared" si="18"/>
        <v>0.6</v>
      </c>
      <c r="U188" s="1">
        <f t="shared" si="19"/>
        <v>41</v>
      </c>
      <c r="V188" s="1">
        <f t="shared" si="20"/>
        <v>0.41</v>
      </c>
      <c r="W188" s="1">
        <f t="shared" si="21"/>
        <v>0.41</v>
      </c>
      <c r="X188" s="1">
        <f t="shared" si="22"/>
        <v>0.98</v>
      </c>
      <c r="Y188" s="1">
        <f t="shared" si="23"/>
        <v>40.18</v>
      </c>
      <c r="Z188" s="1">
        <f t="shared" si="24"/>
        <v>96.259726892685606</v>
      </c>
    </row>
    <row r="189" spans="13:26" x14ac:dyDescent="0.25">
      <c r="M189" s="2">
        <v>2022</v>
      </c>
      <c r="N189" s="2" t="s">
        <v>64</v>
      </c>
      <c r="O189" s="2" t="s">
        <v>89</v>
      </c>
      <c r="P189" s="2" t="str">
        <f>O189</f>
        <v>S1</v>
      </c>
      <c r="Q189" s="1">
        <v>5.6030118129227517</v>
      </c>
      <c r="R189" s="1">
        <v>86.162063365852021</v>
      </c>
      <c r="S189" s="1">
        <v>6.5028756207147103</v>
      </c>
      <c r="T189" s="1">
        <f t="shared" si="18"/>
        <v>0.6</v>
      </c>
      <c r="U189" s="1">
        <f t="shared" si="19"/>
        <v>109</v>
      </c>
      <c r="V189" s="1">
        <f t="shared" si="20"/>
        <v>1.0900000000000001</v>
      </c>
      <c r="W189" s="1">
        <f t="shared" si="21"/>
        <v>0.6</v>
      </c>
      <c r="X189" s="1">
        <f t="shared" si="22"/>
        <v>1.1699999999999997</v>
      </c>
      <c r="Y189" s="1">
        <f t="shared" si="23"/>
        <v>70.199999999999989</v>
      </c>
      <c r="Z189" s="1">
        <f t="shared" si="24"/>
        <v>393.3314292671771</v>
      </c>
    </row>
    <row r="190" spans="13:26" x14ac:dyDescent="0.25">
      <c r="M190" s="2">
        <v>2022</v>
      </c>
      <c r="N190" s="2" t="s">
        <v>64</v>
      </c>
      <c r="O190" s="2" t="s">
        <v>88</v>
      </c>
      <c r="P190" s="2" t="str">
        <f>O190</f>
        <v>S2</v>
      </c>
      <c r="Q190" s="1">
        <v>39.206095638516793</v>
      </c>
      <c r="R190" s="1">
        <v>86.162063365852021</v>
      </c>
      <c r="S190" s="1">
        <v>45.502735318726202</v>
      </c>
      <c r="T190" s="1">
        <f t="shared" si="18"/>
        <v>0.6</v>
      </c>
      <c r="U190" s="1">
        <f t="shared" si="19"/>
        <v>81</v>
      </c>
      <c r="V190" s="1">
        <f t="shared" si="20"/>
        <v>0.81</v>
      </c>
      <c r="W190" s="1">
        <f t="shared" si="21"/>
        <v>0.6</v>
      </c>
      <c r="X190" s="1">
        <f t="shared" si="22"/>
        <v>1.04</v>
      </c>
      <c r="Y190" s="1">
        <f t="shared" si="23"/>
        <v>62.4</v>
      </c>
      <c r="Z190" s="1">
        <f t="shared" si="24"/>
        <v>2446.4603678434478</v>
      </c>
    </row>
    <row r="191" spans="13:26" x14ac:dyDescent="0.25">
      <c r="M191" s="2">
        <v>2022</v>
      </c>
      <c r="N191" s="2" t="s">
        <v>64</v>
      </c>
      <c r="O191" s="2" t="s">
        <v>87</v>
      </c>
      <c r="P191" s="2" t="str">
        <f>O191</f>
        <v>S3</v>
      </c>
      <c r="Q191" s="1">
        <v>38.957243448193317</v>
      </c>
      <c r="R191" s="1">
        <v>86.162063365852021</v>
      </c>
      <c r="S191" s="1">
        <v>45.213916573442887</v>
      </c>
      <c r="T191" s="1">
        <f t="shared" si="18"/>
        <v>0.6</v>
      </c>
      <c r="U191" s="1">
        <f t="shared" si="19"/>
        <v>59</v>
      </c>
      <c r="V191" s="1">
        <f t="shared" si="20"/>
        <v>0.59</v>
      </c>
      <c r="W191" s="1">
        <f t="shared" si="21"/>
        <v>0.59</v>
      </c>
      <c r="X191" s="1">
        <f t="shared" si="22"/>
        <v>0.99999999999999978</v>
      </c>
      <c r="Y191" s="1">
        <f t="shared" si="23"/>
        <v>58.999999999999986</v>
      </c>
      <c r="Z191" s="1">
        <f t="shared" si="24"/>
        <v>2298.477363443405</v>
      </c>
    </row>
    <row r="192" spans="13:26" x14ac:dyDescent="0.25">
      <c r="M192" s="2">
        <v>2022</v>
      </c>
      <c r="N192" s="2" t="s">
        <v>63</v>
      </c>
      <c r="O192" s="2" t="s">
        <v>92</v>
      </c>
      <c r="P192" s="2" t="s">
        <v>90</v>
      </c>
      <c r="Q192" s="1">
        <v>0.13728521239821001</v>
      </c>
      <c r="R192" s="1">
        <v>180.53456039247521</v>
      </c>
      <c r="S192" s="1">
        <v>7.604372930022775E-2</v>
      </c>
      <c r="T192" s="1">
        <f t="shared" si="18"/>
        <v>0.7</v>
      </c>
      <c r="U192" s="1">
        <f t="shared" si="19"/>
        <v>41</v>
      </c>
      <c r="V192" s="1">
        <f t="shared" si="20"/>
        <v>0.41</v>
      </c>
      <c r="W192" s="1">
        <f t="shared" si="21"/>
        <v>0.41</v>
      </c>
      <c r="X192" s="1">
        <f t="shared" si="22"/>
        <v>0.98</v>
      </c>
      <c r="Y192" s="1">
        <f t="shared" si="23"/>
        <v>40.18</v>
      </c>
      <c r="Z192" s="1">
        <f t="shared" si="24"/>
        <v>5.5161198341600786</v>
      </c>
    </row>
    <row r="193" spans="13:26" x14ac:dyDescent="0.25">
      <c r="M193" s="2">
        <v>2022</v>
      </c>
      <c r="N193" s="2" t="s">
        <v>63</v>
      </c>
      <c r="O193" s="2" t="s">
        <v>91</v>
      </c>
      <c r="P193" s="2" t="s">
        <v>90</v>
      </c>
      <c r="Q193" s="1">
        <v>0.84052104396595462</v>
      </c>
      <c r="R193" s="1">
        <v>180.53456039247521</v>
      </c>
      <c r="S193" s="1">
        <v>0.46557348473261528</v>
      </c>
      <c r="T193" s="1">
        <f t="shared" si="18"/>
        <v>0.7</v>
      </c>
      <c r="U193" s="1">
        <f t="shared" si="19"/>
        <v>41</v>
      </c>
      <c r="V193" s="1">
        <f t="shared" si="20"/>
        <v>0.41</v>
      </c>
      <c r="W193" s="1">
        <f t="shared" si="21"/>
        <v>0.41</v>
      </c>
      <c r="X193" s="1">
        <f t="shared" si="22"/>
        <v>0.98</v>
      </c>
      <c r="Y193" s="1">
        <f t="shared" si="23"/>
        <v>40.18</v>
      </c>
      <c r="Z193" s="1">
        <f t="shared" si="24"/>
        <v>33.772135546552057</v>
      </c>
    </row>
    <row r="194" spans="13:26" x14ac:dyDescent="0.25">
      <c r="M194" s="2">
        <v>2022</v>
      </c>
      <c r="N194" s="2" t="s">
        <v>63</v>
      </c>
      <c r="O194" s="2" t="s">
        <v>89</v>
      </c>
      <c r="P194" s="2" t="str">
        <f>O194</f>
        <v>S1</v>
      </c>
      <c r="Q194" s="1">
        <v>33.254947837555868</v>
      </c>
      <c r="R194" s="1">
        <v>180.53456039247521</v>
      </c>
      <c r="S194" s="1">
        <v>18.420266881455209</v>
      </c>
      <c r="T194" s="1">
        <f t="shared" si="18"/>
        <v>0.7</v>
      </c>
      <c r="U194" s="1">
        <f t="shared" si="19"/>
        <v>109</v>
      </c>
      <c r="V194" s="1">
        <f t="shared" si="20"/>
        <v>1.0900000000000001</v>
      </c>
      <c r="W194" s="1">
        <f t="shared" si="21"/>
        <v>0.7</v>
      </c>
      <c r="X194" s="1">
        <f t="shared" si="22"/>
        <v>1.1699999999999997</v>
      </c>
      <c r="Y194" s="1">
        <f t="shared" si="23"/>
        <v>81.899999999999977</v>
      </c>
      <c r="Z194" s="1">
        <f t="shared" si="24"/>
        <v>2723.5802278958249</v>
      </c>
    </row>
    <row r="195" spans="13:26" x14ac:dyDescent="0.25">
      <c r="M195" s="2">
        <v>2022</v>
      </c>
      <c r="N195" s="2" t="s">
        <v>63</v>
      </c>
      <c r="O195" s="2" t="s">
        <v>88</v>
      </c>
      <c r="P195" s="2" t="str">
        <f>O195</f>
        <v>S2</v>
      </c>
      <c r="Q195" s="1">
        <v>113.9407864203355</v>
      </c>
      <c r="R195" s="1">
        <v>180.53456039247521</v>
      </c>
      <c r="S195" s="1">
        <v>63.113005162353723</v>
      </c>
      <c r="T195" s="1">
        <f t="shared" si="18"/>
        <v>0.7</v>
      </c>
      <c r="U195" s="1">
        <f t="shared" si="19"/>
        <v>81</v>
      </c>
      <c r="V195" s="1">
        <f t="shared" si="20"/>
        <v>0.81</v>
      </c>
      <c r="W195" s="1">
        <f t="shared" si="21"/>
        <v>0.7</v>
      </c>
      <c r="X195" s="1">
        <f t="shared" si="22"/>
        <v>1.04</v>
      </c>
      <c r="Y195" s="1">
        <f t="shared" si="23"/>
        <v>72.8</v>
      </c>
      <c r="Z195" s="1">
        <f t="shared" si="24"/>
        <v>8294.8892514004237</v>
      </c>
    </row>
    <row r="196" spans="13:26" x14ac:dyDescent="0.25">
      <c r="M196" s="2">
        <v>2022</v>
      </c>
      <c r="N196" s="2" t="s">
        <v>63</v>
      </c>
      <c r="O196" s="2" t="s">
        <v>87</v>
      </c>
      <c r="P196" s="2" t="str">
        <f>O196</f>
        <v>S3</v>
      </c>
      <c r="Q196" s="1">
        <v>32.36101987821975</v>
      </c>
      <c r="R196" s="1">
        <v>180.53456039247521</v>
      </c>
      <c r="S196" s="1">
        <v>17.92511074215825</v>
      </c>
      <c r="T196" s="1">
        <f t="shared" ref="T196:T259" si="27">VLOOKUP(N196,$B:$C,2,FALSE)</f>
        <v>0.7</v>
      </c>
      <c r="U196" s="1">
        <f t="shared" ref="U196:U259" si="28">VLOOKUP(P196,$E:$F,2,FALSE)</f>
        <v>59</v>
      </c>
      <c r="V196" s="1">
        <f t="shared" ref="V196:V259" si="29">U196/100</f>
        <v>0.59</v>
      </c>
      <c r="W196" s="1">
        <f t="shared" ref="W196:W259" si="30">MIN(T196,V196)</f>
        <v>0.59</v>
      </c>
      <c r="X196" s="1">
        <f t="shared" ref="X196:X259" si="31">VLOOKUP(P196,$E:$K,7,FALSE)</f>
        <v>0.99999999999999978</v>
      </c>
      <c r="Y196" s="1">
        <f t="shared" ref="Y196:Y259" si="32">X196*W196*100</f>
        <v>58.999999999999986</v>
      </c>
      <c r="Z196" s="1">
        <f t="shared" ref="Z196:Z259" si="33">(Y196*Q196)</f>
        <v>1909.3001728149648</v>
      </c>
    </row>
    <row r="197" spans="13:26" x14ac:dyDescent="0.25">
      <c r="M197" s="2">
        <v>2022</v>
      </c>
      <c r="N197" s="2" t="s">
        <v>62</v>
      </c>
      <c r="O197" s="2" t="s">
        <v>91</v>
      </c>
      <c r="P197" s="2" t="s">
        <v>90</v>
      </c>
      <c r="Q197" s="1">
        <v>0.19488702910159861</v>
      </c>
      <c r="R197" s="1">
        <v>41.279659431150392</v>
      </c>
      <c r="S197" s="1">
        <v>0.47211394615948138</v>
      </c>
      <c r="T197" s="1">
        <f t="shared" si="27"/>
        <v>1</v>
      </c>
      <c r="U197" s="1">
        <f t="shared" si="28"/>
        <v>41</v>
      </c>
      <c r="V197" s="1">
        <f t="shared" si="29"/>
        <v>0.41</v>
      </c>
      <c r="W197" s="1">
        <f t="shared" si="30"/>
        <v>0.41</v>
      </c>
      <c r="X197" s="1">
        <f t="shared" si="31"/>
        <v>0.98</v>
      </c>
      <c r="Y197" s="1">
        <f t="shared" si="32"/>
        <v>40.18</v>
      </c>
      <c r="Z197" s="1">
        <f t="shared" si="33"/>
        <v>7.8305608293022324</v>
      </c>
    </row>
    <row r="198" spans="13:26" x14ac:dyDescent="0.25">
      <c r="M198" s="2">
        <v>2022</v>
      </c>
      <c r="N198" s="2" t="s">
        <v>62</v>
      </c>
      <c r="O198" s="2" t="s">
        <v>89</v>
      </c>
      <c r="P198" s="2" t="str">
        <f t="shared" ref="P198:P203" si="34">O198</f>
        <v>S1</v>
      </c>
      <c r="Q198" s="1">
        <v>3.8555269707811699</v>
      </c>
      <c r="R198" s="1">
        <v>41.279659431150392</v>
      </c>
      <c r="S198" s="1">
        <v>9.3400164243402628</v>
      </c>
      <c r="T198" s="1">
        <f t="shared" si="27"/>
        <v>1</v>
      </c>
      <c r="U198" s="1">
        <f t="shared" si="28"/>
        <v>109</v>
      </c>
      <c r="V198" s="1">
        <f t="shared" si="29"/>
        <v>1.0900000000000001</v>
      </c>
      <c r="W198" s="1">
        <f t="shared" si="30"/>
        <v>1</v>
      </c>
      <c r="X198" s="1">
        <f t="shared" si="31"/>
        <v>1.1699999999999997</v>
      </c>
      <c r="Y198" s="1">
        <f t="shared" si="32"/>
        <v>116.99999999999997</v>
      </c>
      <c r="Z198" s="1">
        <f t="shared" si="33"/>
        <v>451.09665558139676</v>
      </c>
    </row>
    <row r="199" spans="13:26" x14ac:dyDescent="0.25">
      <c r="M199" s="2">
        <v>2022</v>
      </c>
      <c r="N199" s="2" t="s">
        <v>62</v>
      </c>
      <c r="O199" s="2" t="s">
        <v>88</v>
      </c>
      <c r="P199" s="2" t="str">
        <f t="shared" si="34"/>
        <v>S2</v>
      </c>
      <c r="Q199" s="1">
        <v>33.377219081740911</v>
      </c>
      <c r="R199" s="1">
        <v>41.279659431150392</v>
      </c>
      <c r="S199" s="1">
        <v>80.856333462271365</v>
      </c>
      <c r="T199" s="1">
        <f t="shared" si="27"/>
        <v>1</v>
      </c>
      <c r="U199" s="1">
        <f t="shared" si="28"/>
        <v>81</v>
      </c>
      <c r="V199" s="1">
        <f t="shared" si="29"/>
        <v>0.81</v>
      </c>
      <c r="W199" s="1">
        <f t="shared" si="30"/>
        <v>0.81</v>
      </c>
      <c r="X199" s="1">
        <f t="shared" si="31"/>
        <v>1.04</v>
      </c>
      <c r="Y199" s="1">
        <f t="shared" si="32"/>
        <v>84.240000000000009</v>
      </c>
      <c r="Z199" s="1">
        <f t="shared" si="33"/>
        <v>2811.6969354458547</v>
      </c>
    </row>
    <row r="200" spans="13:26" x14ac:dyDescent="0.25">
      <c r="M200" s="2">
        <v>2022</v>
      </c>
      <c r="N200" s="2" t="s">
        <v>62</v>
      </c>
      <c r="O200" s="2" t="s">
        <v>87</v>
      </c>
      <c r="P200" s="2" t="str">
        <f t="shared" si="34"/>
        <v>S3</v>
      </c>
      <c r="Q200" s="1">
        <v>3.852026349526704</v>
      </c>
      <c r="R200" s="1">
        <v>41.279659431150392</v>
      </c>
      <c r="S200" s="1">
        <v>9.3315361672288759</v>
      </c>
      <c r="T200" s="1">
        <f t="shared" si="27"/>
        <v>1</v>
      </c>
      <c r="U200" s="1">
        <f t="shared" si="28"/>
        <v>59</v>
      </c>
      <c r="V200" s="1">
        <f t="shared" si="29"/>
        <v>0.59</v>
      </c>
      <c r="W200" s="1">
        <f t="shared" si="30"/>
        <v>0.59</v>
      </c>
      <c r="X200" s="1">
        <f t="shared" si="31"/>
        <v>0.99999999999999978</v>
      </c>
      <c r="Y200" s="1">
        <f t="shared" si="32"/>
        <v>58.999999999999986</v>
      </c>
      <c r="Z200" s="1">
        <f t="shared" si="33"/>
        <v>227.26955462207547</v>
      </c>
    </row>
    <row r="201" spans="13:26" x14ac:dyDescent="0.25">
      <c r="M201" s="2">
        <v>2022</v>
      </c>
      <c r="N201" s="2" t="s">
        <v>61</v>
      </c>
      <c r="O201" s="2" t="s">
        <v>89</v>
      </c>
      <c r="P201" s="2" t="str">
        <f t="shared" si="34"/>
        <v>S1</v>
      </c>
      <c r="Q201" s="1">
        <v>34.353808964377897</v>
      </c>
      <c r="R201" s="1">
        <v>217.29429224631139</v>
      </c>
      <c r="S201" s="1">
        <v>15.809807339732849</v>
      </c>
      <c r="T201" s="1">
        <f t="shared" si="27"/>
        <v>0.6</v>
      </c>
      <c r="U201" s="1">
        <f t="shared" si="28"/>
        <v>109</v>
      </c>
      <c r="V201" s="1">
        <f t="shared" si="29"/>
        <v>1.0900000000000001</v>
      </c>
      <c r="W201" s="1">
        <f t="shared" si="30"/>
        <v>0.6</v>
      </c>
      <c r="X201" s="1">
        <f t="shared" si="31"/>
        <v>1.1699999999999997</v>
      </c>
      <c r="Y201" s="1">
        <f t="shared" si="32"/>
        <v>70.199999999999989</v>
      </c>
      <c r="Z201" s="1">
        <f t="shared" si="33"/>
        <v>2411.6373892993279</v>
      </c>
    </row>
    <row r="202" spans="13:26" x14ac:dyDescent="0.25">
      <c r="M202" s="2">
        <v>2022</v>
      </c>
      <c r="N202" s="2" t="s">
        <v>61</v>
      </c>
      <c r="O202" s="2" t="s">
        <v>88</v>
      </c>
      <c r="P202" s="2" t="str">
        <f t="shared" si="34"/>
        <v>S2</v>
      </c>
      <c r="Q202" s="1">
        <v>121.5330781208624</v>
      </c>
      <c r="R202" s="1">
        <v>217.29429224631139</v>
      </c>
      <c r="S202" s="1">
        <v>55.930175093186513</v>
      </c>
      <c r="T202" s="1">
        <f t="shared" si="27"/>
        <v>0.6</v>
      </c>
      <c r="U202" s="1">
        <f t="shared" si="28"/>
        <v>81</v>
      </c>
      <c r="V202" s="1">
        <f t="shared" si="29"/>
        <v>0.81</v>
      </c>
      <c r="W202" s="1">
        <f t="shared" si="30"/>
        <v>0.6</v>
      </c>
      <c r="X202" s="1">
        <f t="shared" si="31"/>
        <v>1.04</v>
      </c>
      <c r="Y202" s="1">
        <f t="shared" si="32"/>
        <v>62.4</v>
      </c>
      <c r="Z202" s="1">
        <f t="shared" si="33"/>
        <v>7583.6640747418132</v>
      </c>
    </row>
    <row r="203" spans="13:26" x14ac:dyDescent="0.25">
      <c r="M203" s="2">
        <v>2022</v>
      </c>
      <c r="N203" s="2" t="s">
        <v>61</v>
      </c>
      <c r="O203" s="2" t="s">
        <v>87</v>
      </c>
      <c r="P203" s="2" t="str">
        <f t="shared" si="34"/>
        <v>S3</v>
      </c>
      <c r="Q203" s="1">
        <v>61.407405161071168</v>
      </c>
      <c r="R203" s="1">
        <v>217.29429224631139</v>
      </c>
      <c r="S203" s="1">
        <v>28.260017567080649</v>
      </c>
      <c r="T203" s="1">
        <f t="shared" si="27"/>
        <v>0.6</v>
      </c>
      <c r="U203" s="1">
        <f t="shared" si="28"/>
        <v>59</v>
      </c>
      <c r="V203" s="1">
        <f t="shared" si="29"/>
        <v>0.59</v>
      </c>
      <c r="W203" s="1">
        <f t="shared" si="30"/>
        <v>0.59</v>
      </c>
      <c r="X203" s="1">
        <f t="shared" si="31"/>
        <v>0.99999999999999978</v>
      </c>
      <c r="Y203" s="1">
        <f t="shared" si="32"/>
        <v>58.999999999999986</v>
      </c>
      <c r="Z203" s="1">
        <f t="shared" si="33"/>
        <v>3623.036904503198</v>
      </c>
    </row>
    <row r="204" spans="13:26" x14ac:dyDescent="0.25">
      <c r="M204" s="2">
        <v>2022</v>
      </c>
      <c r="N204" s="2" t="s">
        <v>60</v>
      </c>
      <c r="O204" s="2" t="s">
        <v>92</v>
      </c>
      <c r="P204" s="2" t="s">
        <v>90</v>
      </c>
      <c r="Q204" s="1">
        <v>0.14015298306918239</v>
      </c>
      <c r="R204" s="1">
        <v>239.77057536173379</v>
      </c>
      <c r="S204" s="1">
        <v>5.8452953561019039E-2</v>
      </c>
      <c r="T204" s="1">
        <f t="shared" si="27"/>
        <v>0.6</v>
      </c>
      <c r="U204" s="1">
        <f t="shared" si="28"/>
        <v>41</v>
      </c>
      <c r="V204" s="1">
        <f t="shared" si="29"/>
        <v>0.41</v>
      </c>
      <c r="W204" s="1">
        <f t="shared" si="30"/>
        <v>0.41</v>
      </c>
      <c r="X204" s="1">
        <f t="shared" si="31"/>
        <v>0.98</v>
      </c>
      <c r="Y204" s="1">
        <f t="shared" si="32"/>
        <v>40.18</v>
      </c>
      <c r="Z204" s="1">
        <f t="shared" si="33"/>
        <v>5.6313468597197485</v>
      </c>
    </row>
    <row r="205" spans="13:26" x14ac:dyDescent="0.25">
      <c r="M205" s="2">
        <v>2022</v>
      </c>
      <c r="N205" s="2" t="s">
        <v>60</v>
      </c>
      <c r="O205" s="2" t="s">
        <v>91</v>
      </c>
      <c r="P205" s="2" t="s">
        <v>90</v>
      </c>
      <c r="Q205" s="1">
        <v>4.7423552851432023E-2</v>
      </c>
      <c r="R205" s="1">
        <v>239.77057536173379</v>
      </c>
      <c r="S205" s="1">
        <v>1.9778720879276242E-2</v>
      </c>
      <c r="T205" s="1">
        <f t="shared" si="27"/>
        <v>0.6</v>
      </c>
      <c r="U205" s="1">
        <f t="shared" si="28"/>
        <v>41</v>
      </c>
      <c r="V205" s="1">
        <f t="shared" si="29"/>
        <v>0.41</v>
      </c>
      <c r="W205" s="1">
        <f t="shared" si="30"/>
        <v>0.41</v>
      </c>
      <c r="X205" s="1">
        <f t="shared" si="31"/>
        <v>0.98</v>
      </c>
      <c r="Y205" s="1">
        <f t="shared" si="32"/>
        <v>40.18</v>
      </c>
      <c r="Z205" s="1">
        <f t="shared" si="33"/>
        <v>1.9054783535705386</v>
      </c>
    </row>
    <row r="206" spans="13:26" x14ac:dyDescent="0.25">
      <c r="M206" s="2">
        <v>2022</v>
      </c>
      <c r="N206" s="2" t="s">
        <v>60</v>
      </c>
      <c r="O206" s="2" t="s">
        <v>89</v>
      </c>
      <c r="P206" s="2" t="str">
        <f>O206</f>
        <v>S1</v>
      </c>
      <c r="Q206" s="1">
        <v>25.21672896111852</v>
      </c>
      <c r="R206" s="1">
        <v>239.77057536173379</v>
      </c>
      <c r="S206" s="1">
        <v>10.51702400224668</v>
      </c>
      <c r="T206" s="1">
        <f t="shared" si="27"/>
        <v>0.6</v>
      </c>
      <c r="U206" s="1">
        <f t="shared" si="28"/>
        <v>109</v>
      </c>
      <c r="V206" s="1">
        <f t="shared" si="29"/>
        <v>1.0900000000000001</v>
      </c>
      <c r="W206" s="1">
        <f t="shared" si="30"/>
        <v>0.6</v>
      </c>
      <c r="X206" s="1">
        <f t="shared" si="31"/>
        <v>1.1699999999999997</v>
      </c>
      <c r="Y206" s="1">
        <f t="shared" si="32"/>
        <v>70.199999999999989</v>
      </c>
      <c r="Z206" s="1">
        <f t="shared" si="33"/>
        <v>1770.2143730705197</v>
      </c>
    </row>
    <row r="207" spans="13:26" x14ac:dyDescent="0.25">
      <c r="M207" s="2">
        <v>2022</v>
      </c>
      <c r="N207" s="2" t="s">
        <v>60</v>
      </c>
      <c r="O207" s="2" t="s">
        <v>88</v>
      </c>
      <c r="P207" s="2" t="str">
        <f>O207</f>
        <v>S2</v>
      </c>
      <c r="Q207" s="1">
        <v>125.03143039495581</v>
      </c>
      <c r="R207" s="1">
        <v>239.77057536173379</v>
      </c>
      <c r="S207" s="1">
        <v>52.146277835103433</v>
      </c>
      <c r="T207" s="1">
        <f t="shared" si="27"/>
        <v>0.6</v>
      </c>
      <c r="U207" s="1">
        <f t="shared" si="28"/>
        <v>81</v>
      </c>
      <c r="V207" s="1">
        <f t="shared" si="29"/>
        <v>0.81</v>
      </c>
      <c r="W207" s="1">
        <f t="shared" si="30"/>
        <v>0.6</v>
      </c>
      <c r="X207" s="1">
        <f t="shared" si="31"/>
        <v>1.04</v>
      </c>
      <c r="Y207" s="1">
        <f t="shared" si="32"/>
        <v>62.4</v>
      </c>
      <c r="Z207" s="1">
        <f t="shared" si="33"/>
        <v>7801.9612566452424</v>
      </c>
    </row>
    <row r="208" spans="13:26" x14ac:dyDescent="0.25">
      <c r="M208" s="2">
        <v>2022</v>
      </c>
      <c r="N208" s="2" t="s">
        <v>60</v>
      </c>
      <c r="O208" s="2" t="s">
        <v>87</v>
      </c>
      <c r="P208" s="2" t="str">
        <f>O208</f>
        <v>S3</v>
      </c>
      <c r="Q208" s="1">
        <v>89.334839469738881</v>
      </c>
      <c r="R208" s="1">
        <v>239.77057536173379</v>
      </c>
      <c r="S208" s="1">
        <v>37.258466488209578</v>
      </c>
      <c r="T208" s="1">
        <f t="shared" si="27"/>
        <v>0.6</v>
      </c>
      <c r="U208" s="1">
        <f t="shared" si="28"/>
        <v>59</v>
      </c>
      <c r="V208" s="1">
        <f t="shared" si="29"/>
        <v>0.59</v>
      </c>
      <c r="W208" s="1">
        <f t="shared" si="30"/>
        <v>0.59</v>
      </c>
      <c r="X208" s="1">
        <f t="shared" si="31"/>
        <v>0.99999999999999978</v>
      </c>
      <c r="Y208" s="1">
        <f t="shared" si="32"/>
        <v>58.999999999999986</v>
      </c>
      <c r="Z208" s="1">
        <f t="shared" si="33"/>
        <v>5270.7555287145924</v>
      </c>
    </row>
    <row r="209" spans="13:26" x14ac:dyDescent="0.25">
      <c r="M209" s="2">
        <v>2022</v>
      </c>
      <c r="N209" s="2" t="s">
        <v>59</v>
      </c>
      <c r="O209" s="2" t="s">
        <v>91</v>
      </c>
      <c r="P209" s="2" t="s">
        <v>90</v>
      </c>
      <c r="Q209" s="1">
        <v>0.27304725725677459</v>
      </c>
      <c r="R209" s="1">
        <v>596.84440233595251</v>
      </c>
      <c r="S209" s="1">
        <v>4.5748482550579637E-2</v>
      </c>
      <c r="T209" s="1">
        <f t="shared" si="27"/>
        <v>0.6</v>
      </c>
      <c r="U209" s="1">
        <f t="shared" si="28"/>
        <v>41</v>
      </c>
      <c r="V209" s="1">
        <f t="shared" si="29"/>
        <v>0.41</v>
      </c>
      <c r="W209" s="1">
        <f t="shared" si="30"/>
        <v>0.41</v>
      </c>
      <c r="X209" s="1">
        <f t="shared" si="31"/>
        <v>0.98</v>
      </c>
      <c r="Y209" s="1">
        <f t="shared" si="32"/>
        <v>40.18</v>
      </c>
      <c r="Z209" s="1">
        <f t="shared" si="33"/>
        <v>10.971038796577202</v>
      </c>
    </row>
    <row r="210" spans="13:26" x14ac:dyDescent="0.25">
      <c r="M210" s="2">
        <v>2022</v>
      </c>
      <c r="N210" s="2" t="s">
        <v>59</v>
      </c>
      <c r="O210" s="2" t="s">
        <v>89</v>
      </c>
      <c r="P210" s="2" t="str">
        <f>O210</f>
        <v>S1</v>
      </c>
      <c r="Q210" s="1">
        <v>98.831053237526902</v>
      </c>
      <c r="R210" s="1">
        <v>596.84440233595251</v>
      </c>
      <c r="S210" s="1">
        <v>16.558931079979661</v>
      </c>
      <c r="T210" s="1">
        <f t="shared" si="27"/>
        <v>0.6</v>
      </c>
      <c r="U210" s="1">
        <f t="shared" si="28"/>
        <v>109</v>
      </c>
      <c r="V210" s="1">
        <f t="shared" si="29"/>
        <v>1.0900000000000001</v>
      </c>
      <c r="W210" s="1">
        <f t="shared" si="30"/>
        <v>0.6</v>
      </c>
      <c r="X210" s="1">
        <f t="shared" si="31"/>
        <v>1.1699999999999997</v>
      </c>
      <c r="Y210" s="1">
        <f t="shared" si="32"/>
        <v>70.199999999999989</v>
      </c>
      <c r="Z210" s="1">
        <f t="shared" si="33"/>
        <v>6937.9399372743874</v>
      </c>
    </row>
    <row r="211" spans="13:26" x14ac:dyDescent="0.25">
      <c r="M211" s="2">
        <v>2022</v>
      </c>
      <c r="N211" s="2" t="s">
        <v>59</v>
      </c>
      <c r="O211" s="2" t="s">
        <v>88</v>
      </c>
      <c r="P211" s="2" t="str">
        <f>O211</f>
        <v>S2</v>
      </c>
      <c r="Q211" s="1">
        <v>367.91646789178282</v>
      </c>
      <c r="R211" s="1">
        <v>596.84440233595251</v>
      </c>
      <c r="S211" s="1">
        <v>61.643615396545087</v>
      </c>
      <c r="T211" s="1">
        <f t="shared" si="27"/>
        <v>0.6</v>
      </c>
      <c r="U211" s="1">
        <f t="shared" si="28"/>
        <v>81</v>
      </c>
      <c r="V211" s="1">
        <f t="shared" si="29"/>
        <v>0.81</v>
      </c>
      <c r="W211" s="1">
        <f t="shared" si="30"/>
        <v>0.6</v>
      </c>
      <c r="X211" s="1">
        <f t="shared" si="31"/>
        <v>1.04</v>
      </c>
      <c r="Y211" s="1">
        <f t="shared" si="32"/>
        <v>62.4</v>
      </c>
      <c r="Z211" s="1">
        <f t="shared" si="33"/>
        <v>22957.987596447249</v>
      </c>
    </row>
    <row r="212" spans="13:26" x14ac:dyDescent="0.25">
      <c r="M212" s="2">
        <v>2022</v>
      </c>
      <c r="N212" s="2" t="s">
        <v>59</v>
      </c>
      <c r="O212" s="2" t="s">
        <v>87</v>
      </c>
      <c r="P212" s="2" t="str">
        <f>O212</f>
        <v>S3</v>
      </c>
      <c r="Q212" s="1">
        <v>129.82383394938611</v>
      </c>
      <c r="R212" s="1">
        <v>596.84440233595251</v>
      </c>
      <c r="S212" s="1">
        <v>21.751705040924659</v>
      </c>
      <c r="T212" s="1">
        <f t="shared" si="27"/>
        <v>0.6</v>
      </c>
      <c r="U212" s="1">
        <f t="shared" si="28"/>
        <v>59</v>
      </c>
      <c r="V212" s="1">
        <f t="shared" si="29"/>
        <v>0.59</v>
      </c>
      <c r="W212" s="1">
        <f t="shared" si="30"/>
        <v>0.59</v>
      </c>
      <c r="X212" s="1">
        <f t="shared" si="31"/>
        <v>0.99999999999999978</v>
      </c>
      <c r="Y212" s="1">
        <f t="shared" si="32"/>
        <v>58.999999999999986</v>
      </c>
      <c r="Z212" s="1">
        <f t="shared" si="33"/>
        <v>7659.6062030137791</v>
      </c>
    </row>
    <row r="213" spans="13:26" x14ac:dyDescent="0.25">
      <c r="M213" s="2">
        <v>2022</v>
      </c>
      <c r="N213" s="2" t="s">
        <v>58</v>
      </c>
      <c r="O213" s="2" t="s">
        <v>91</v>
      </c>
      <c r="P213" s="2" t="s">
        <v>90</v>
      </c>
      <c r="Q213" s="1">
        <v>0.510724725922025</v>
      </c>
      <c r="R213" s="1">
        <v>147.90441562365609</v>
      </c>
      <c r="S213" s="1">
        <v>0.34530728766176122</v>
      </c>
      <c r="T213" s="1">
        <f t="shared" si="27"/>
        <v>1</v>
      </c>
      <c r="U213" s="1">
        <f t="shared" si="28"/>
        <v>41</v>
      </c>
      <c r="V213" s="1">
        <f t="shared" si="29"/>
        <v>0.41</v>
      </c>
      <c r="W213" s="1">
        <f t="shared" si="30"/>
        <v>0.41</v>
      </c>
      <c r="X213" s="1">
        <f t="shared" si="31"/>
        <v>0.98</v>
      </c>
      <c r="Y213" s="1">
        <f t="shared" si="32"/>
        <v>40.18</v>
      </c>
      <c r="Z213" s="1">
        <f t="shared" si="33"/>
        <v>20.520919487546966</v>
      </c>
    </row>
    <row r="214" spans="13:26" x14ac:dyDescent="0.25">
      <c r="M214" s="2">
        <v>2022</v>
      </c>
      <c r="N214" s="2" t="s">
        <v>58</v>
      </c>
      <c r="O214" s="2" t="s">
        <v>89</v>
      </c>
      <c r="P214" s="2" t="str">
        <f>O214</f>
        <v>S1</v>
      </c>
      <c r="Q214" s="1">
        <v>21.657352576372801</v>
      </c>
      <c r="R214" s="1">
        <v>147.90441562365609</v>
      </c>
      <c r="S214" s="1">
        <v>14.64280324901191</v>
      </c>
      <c r="T214" s="1">
        <f t="shared" si="27"/>
        <v>1</v>
      </c>
      <c r="U214" s="1">
        <f t="shared" si="28"/>
        <v>109</v>
      </c>
      <c r="V214" s="1">
        <f t="shared" si="29"/>
        <v>1.0900000000000001</v>
      </c>
      <c r="W214" s="1">
        <f t="shared" si="30"/>
        <v>1</v>
      </c>
      <c r="X214" s="1">
        <f t="shared" si="31"/>
        <v>1.1699999999999997</v>
      </c>
      <c r="Y214" s="1">
        <f t="shared" si="32"/>
        <v>116.99999999999997</v>
      </c>
      <c r="Z214" s="1">
        <f t="shared" si="33"/>
        <v>2533.9102514356173</v>
      </c>
    </row>
    <row r="215" spans="13:26" x14ac:dyDescent="0.25">
      <c r="M215" s="2">
        <v>2022</v>
      </c>
      <c r="N215" s="2" t="s">
        <v>58</v>
      </c>
      <c r="O215" s="2" t="s">
        <v>88</v>
      </c>
      <c r="P215" s="2" t="str">
        <f>O215</f>
        <v>S2</v>
      </c>
      <c r="Q215" s="1">
        <v>103.9683090520862</v>
      </c>
      <c r="R215" s="1">
        <v>147.90441562365609</v>
      </c>
      <c r="S215" s="1">
        <v>70.294256336899608</v>
      </c>
      <c r="T215" s="1">
        <f t="shared" si="27"/>
        <v>1</v>
      </c>
      <c r="U215" s="1">
        <f t="shared" si="28"/>
        <v>81</v>
      </c>
      <c r="V215" s="1">
        <f t="shared" si="29"/>
        <v>0.81</v>
      </c>
      <c r="W215" s="1">
        <f t="shared" si="30"/>
        <v>0.81</v>
      </c>
      <c r="X215" s="1">
        <f t="shared" si="31"/>
        <v>1.04</v>
      </c>
      <c r="Y215" s="1">
        <f t="shared" si="32"/>
        <v>84.240000000000009</v>
      </c>
      <c r="Z215" s="1">
        <f t="shared" si="33"/>
        <v>8758.290354547742</v>
      </c>
    </row>
    <row r="216" spans="13:26" x14ac:dyDescent="0.25">
      <c r="M216" s="2">
        <v>2022</v>
      </c>
      <c r="N216" s="2" t="s">
        <v>58</v>
      </c>
      <c r="O216" s="2" t="s">
        <v>87</v>
      </c>
      <c r="P216" s="2" t="str">
        <f>O216</f>
        <v>S3</v>
      </c>
      <c r="Q216" s="1">
        <v>21.768029269275061</v>
      </c>
      <c r="R216" s="1">
        <v>147.90441562365609</v>
      </c>
      <c r="S216" s="1">
        <v>14.717633126426721</v>
      </c>
      <c r="T216" s="1">
        <f t="shared" si="27"/>
        <v>1</v>
      </c>
      <c r="U216" s="1">
        <f t="shared" si="28"/>
        <v>59</v>
      </c>
      <c r="V216" s="1">
        <f t="shared" si="29"/>
        <v>0.59</v>
      </c>
      <c r="W216" s="1">
        <f t="shared" si="30"/>
        <v>0.59</v>
      </c>
      <c r="X216" s="1">
        <f t="shared" si="31"/>
        <v>0.99999999999999978</v>
      </c>
      <c r="Y216" s="1">
        <f t="shared" si="32"/>
        <v>58.999999999999986</v>
      </c>
      <c r="Z216" s="1">
        <f t="shared" si="33"/>
        <v>1284.3137268872283</v>
      </c>
    </row>
    <row r="217" spans="13:26" x14ac:dyDescent="0.25">
      <c r="M217" s="2">
        <v>2023</v>
      </c>
      <c r="N217" s="2" t="s">
        <v>65</v>
      </c>
      <c r="O217" s="2" t="s">
        <v>92</v>
      </c>
      <c r="P217" s="2" t="s">
        <v>90</v>
      </c>
      <c r="Q217" s="1">
        <v>1.8977526839733281</v>
      </c>
      <c r="R217" s="1">
        <v>291.17195202384909</v>
      </c>
      <c r="S217" s="1">
        <v>0.65176356128487523</v>
      </c>
      <c r="T217" s="1">
        <f t="shared" si="27"/>
        <v>1</v>
      </c>
      <c r="U217" s="1">
        <f t="shared" si="28"/>
        <v>41</v>
      </c>
      <c r="V217" s="1">
        <f t="shared" si="29"/>
        <v>0.41</v>
      </c>
      <c r="W217" s="1">
        <f t="shared" si="30"/>
        <v>0.41</v>
      </c>
      <c r="X217" s="1">
        <f t="shared" si="31"/>
        <v>0.98</v>
      </c>
      <c r="Y217" s="1">
        <f t="shared" si="32"/>
        <v>40.18</v>
      </c>
      <c r="Z217" s="1">
        <f t="shared" si="33"/>
        <v>76.251702842048317</v>
      </c>
    </row>
    <row r="218" spans="13:26" x14ac:dyDescent="0.25">
      <c r="M218" s="2">
        <v>2023</v>
      </c>
      <c r="N218" s="2" t="s">
        <v>65</v>
      </c>
      <c r="O218" s="2" t="s">
        <v>91</v>
      </c>
      <c r="P218" s="2" t="s">
        <v>90</v>
      </c>
      <c r="Q218" s="1">
        <v>0.116391038263466</v>
      </c>
      <c r="R218" s="1">
        <v>291.17195202384909</v>
      </c>
      <c r="S218" s="1">
        <v>3.9973300125395572E-2</v>
      </c>
      <c r="T218" s="1">
        <f t="shared" si="27"/>
        <v>1</v>
      </c>
      <c r="U218" s="1">
        <f t="shared" si="28"/>
        <v>41</v>
      </c>
      <c r="V218" s="1">
        <f t="shared" si="29"/>
        <v>0.41</v>
      </c>
      <c r="W218" s="1">
        <f t="shared" si="30"/>
        <v>0.41</v>
      </c>
      <c r="X218" s="1">
        <f t="shared" si="31"/>
        <v>0.98</v>
      </c>
      <c r="Y218" s="1">
        <f t="shared" si="32"/>
        <v>40.18</v>
      </c>
      <c r="Z218" s="1">
        <f t="shared" si="33"/>
        <v>4.6765919174260642</v>
      </c>
    </row>
    <row r="219" spans="13:26" x14ac:dyDescent="0.25">
      <c r="M219" s="2">
        <v>2023</v>
      </c>
      <c r="N219" s="2" t="s">
        <v>65</v>
      </c>
      <c r="O219" s="2" t="s">
        <v>89</v>
      </c>
      <c r="P219" s="2" t="str">
        <f>O219</f>
        <v>S1</v>
      </c>
      <c r="Q219" s="1">
        <v>49.92205319917818</v>
      </c>
      <c r="R219" s="1">
        <v>291.17195202384909</v>
      </c>
      <c r="S219" s="1">
        <v>17.14521362795589</v>
      </c>
      <c r="T219" s="1">
        <f t="shared" si="27"/>
        <v>1</v>
      </c>
      <c r="U219" s="1">
        <f t="shared" si="28"/>
        <v>109</v>
      </c>
      <c r="V219" s="1">
        <f t="shared" si="29"/>
        <v>1.0900000000000001</v>
      </c>
      <c r="W219" s="1">
        <f t="shared" si="30"/>
        <v>1</v>
      </c>
      <c r="X219" s="1">
        <f t="shared" si="31"/>
        <v>1.1699999999999997</v>
      </c>
      <c r="Y219" s="1">
        <f t="shared" si="32"/>
        <v>116.99999999999997</v>
      </c>
      <c r="Z219" s="1">
        <f t="shared" si="33"/>
        <v>5840.8802243038454</v>
      </c>
    </row>
    <row r="220" spans="13:26" x14ac:dyDescent="0.25">
      <c r="M220" s="2">
        <v>2023</v>
      </c>
      <c r="N220" s="2" t="s">
        <v>65</v>
      </c>
      <c r="O220" s="2" t="s">
        <v>88</v>
      </c>
      <c r="P220" s="2" t="str">
        <f>O220</f>
        <v>S2</v>
      </c>
      <c r="Q220" s="1">
        <v>156.4064185232771</v>
      </c>
      <c r="R220" s="1">
        <v>291.17195202384909</v>
      </c>
      <c r="S220" s="1">
        <v>53.716169238191704</v>
      </c>
      <c r="T220" s="1">
        <f t="shared" si="27"/>
        <v>1</v>
      </c>
      <c r="U220" s="1">
        <f t="shared" si="28"/>
        <v>81</v>
      </c>
      <c r="V220" s="1">
        <f t="shared" si="29"/>
        <v>0.81</v>
      </c>
      <c r="W220" s="1">
        <f t="shared" si="30"/>
        <v>0.81</v>
      </c>
      <c r="X220" s="1">
        <f t="shared" si="31"/>
        <v>1.04</v>
      </c>
      <c r="Y220" s="1">
        <f t="shared" si="32"/>
        <v>84.240000000000009</v>
      </c>
      <c r="Z220" s="1">
        <f t="shared" si="33"/>
        <v>13175.676696400864</v>
      </c>
    </row>
    <row r="221" spans="13:26" x14ac:dyDescent="0.25">
      <c r="M221" s="2">
        <v>2023</v>
      </c>
      <c r="N221" s="2" t="s">
        <v>65</v>
      </c>
      <c r="O221" s="2" t="s">
        <v>87</v>
      </c>
      <c r="P221" s="2" t="str">
        <f>O221</f>
        <v>S3</v>
      </c>
      <c r="Q221" s="1">
        <v>82.829336579157015</v>
      </c>
      <c r="R221" s="1">
        <v>291.17195202384909</v>
      </c>
      <c r="S221" s="1">
        <v>28.446880272442129</v>
      </c>
      <c r="T221" s="1">
        <f t="shared" si="27"/>
        <v>1</v>
      </c>
      <c r="U221" s="1">
        <f t="shared" si="28"/>
        <v>59</v>
      </c>
      <c r="V221" s="1">
        <f t="shared" si="29"/>
        <v>0.59</v>
      </c>
      <c r="W221" s="1">
        <f t="shared" si="30"/>
        <v>0.59</v>
      </c>
      <c r="X221" s="1">
        <f t="shared" si="31"/>
        <v>0.99999999999999978</v>
      </c>
      <c r="Y221" s="1">
        <f t="shared" si="32"/>
        <v>58.999999999999986</v>
      </c>
      <c r="Z221" s="1">
        <f t="shared" si="33"/>
        <v>4886.9308581702626</v>
      </c>
    </row>
    <row r="222" spans="13:26" x14ac:dyDescent="0.25">
      <c r="M222" s="2">
        <v>2023</v>
      </c>
      <c r="N222" s="2" t="s">
        <v>64</v>
      </c>
      <c r="O222" s="2" t="s">
        <v>91</v>
      </c>
      <c r="P222" s="2" t="s">
        <v>90</v>
      </c>
      <c r="Q222" s="1">
        <v>2.395712466219154</v>
      </c>
      <c r="R222" s="1">
        <v>93.320024159054441</v>
      </c>
      <c r="S222" s="1">
        <v>2.5672008637030652</v>
      </c>
      <c r="T222" s="1">
        <f t="shared" si="27"/>
        <v>0.6</v>
      </c>
      <c r="U222" s="1">
        <f t="shared" si="28"/>
        <v>41</v>
      </c>
      <c r="V222" s="1">
        <f t="shared" si="29"/>
        <v>0.41</v>
      </c>
      <c r="W222" s="1">
        <f t="shared" si="30"/>
        <v>0.41</v>
      </c>
      <c r="X222" s="1">
        <f t="shared" si="31"/>
        <v>0.98</v>
      </c>
      <c r="Y222" s="1">
        <f t="shared" si="32"/>
        <v>40.18</v>
      </c>
      <c r="Z222" s="1">
        <f t="shared" si="33"/>
        <v>96.259726892685606</v>
      </c>
    </row>
    <row r="223" spans="13:26" x14ac:dyDescent="0.25">
      <c r="M223" s="2">
        <v>2023</v>
      </c>
      <c r="N223" s="2" t="s">
        <v>64</v>
      </c>
      <c r="O223" s="2" t="s">
        <v>89</v>
      </c>
      <c r="P223" s="2" t="str">
        <f>O223</f>
        <v>S1</v>
      </c>
      <c r="Q223" s="1">
        <v>5.6030118129227517</v>
      </c>
      <c r="R223" s="1">
        <v>93.320024159054441</v>
      </c>
      <c r="S223" s="1">
        <v>6.0040831144374662</v>
      </c>
      <c r="T223" s="1">
        <f t="shared" si="27"/>
        <v>0.6</v>
      </c>
      <c r="U223" s="1">
        <f t="shared" si="28"/>
        <v>109</v>
      </c>
      <c r="V223" s="1">
        <f t="shared" si="29"/>
        <v>1.0900000000000001</v>
      </c>
      <c r="W223" s="1">
        <f t="shared" si="30"/>
        <v>0.6</v>
      </c>
      <c r="X223" s="1">
        <f t="shared" si="31"/>
        <v>1.1699999999999997</v>
      </c>
      <c r="Y223" s="1">
        <f t="shared" si="32"/>
        <v>70.199999999999989</v>
      </c>
      <c r="Z223" s="1">
        <f t="shared" si="33"/>
        <v>393.3314292671771</v>
      </c>
    </row>
    <row r="224" spans="13:26" x14ac:dyDescent="0.25">
      <c r="M224" s="2">
        <v>2023</v>
      </c>
      <c r="N224" s="2" t="s">
        <v>64</v>
      </c>
      <c r="O224" s="2" t="s">
        <v>88</v>
      </c>
      <c r="P224" s="2" t="str">
        <f>O224</f>
        <v>S2</v>
      </c>
      <c r="Q224" s="1">
        <v>41.328396844298922</v>
      </c>
      <c r="R224" s="1">
        <v>93.320024159054441</v>
      </c>
      <c r="S224" s="1">
        <v>44.286740404030432</v>
      </c>
      <c r="T224" s="1">
        <f t="shared" si="27"/>
        <v>0.6</v>
      </c>
      <c r="U224" s="1">
        <f t="shared" si="28"/>
        <v>81</v>
      </c>
      <c r="V224" s="1">
        <f t="shared" si="29"/>
        <v>0.81</v>
      </c>
      <c r="W224" s="1">
        <f t="shared" si="30"/>
        <v>0.6</v>
      </c>
      <c r="X224" s="1">
        <f t="shared" si="31"/>
        <v>1.04</v>
      </c>
      <c r="Y224" s="1">
        <f t="shared" si="32"/>
        <v>62.4</v>
      </c>
      <c r="Z224" s="1">
        <f t="shared" si="33"/>
        <v>2578.8919630842529</v>
      </c>
    </row>
    <row r="225" spans="13:26" x14ac:dyDescent="0.25">
      <c r="M225" s="2">
        <v>2023</v>
      </c>
      <c r="N225" s="2" t="s">
        <v>64</v>
      </c>
      <c r="O225" s="2" t="s">
        <v>87</v>
      </c>
      <c r="P225" s="2" t="str">
        <f>O225</f>
        <v>S3</v>
      </c>
      <c r="Q225" s="1">
        <v>43.992903035613622</v>
      </c>
      <c r="R225" s="1">
        <v>93.320024159054441</v>
      </c>
      <c r="S225" s="1">
        <v>47.14197561782904</v>
      </c>
      <c r="T225" s="1">
        <f t="shared" si="27"/>
        <v>0.6</v>
      </c>
      <c r="U225" s="1">
        <f t="shared" si="28"/>
        <v>59</v>
      </c>
      <c r="V225" s="1">
        <f t="shared" si="29"/>
        <v>0.59</v>
      </c>
      <c r="W225" s="1">
        <f t="shared" si="30"/>
        <v>0.59</v>
      </c>
      <c r="X225" s="1">
        <f t="shared" si="31"/>
        <v>0.99999999999999978</v>
      </c>
      <c r="Y225" s="1">
        <f t="shared" si="32"/>
        <v>58.999999999999986</v>
      </c>
      <c r="Z225" s="1">
        <f t="shared" si="33"/>
        <v>2595.5812791012031</v>
      </c>
    </row>
    <row r="226" spans="13:26" x14ac:dyDescent="0.25">
      <c r="M226" s="2">
        <v>2023</v>
      </c>
      <c r="N226" s="2" t="s">
        <v>63</v>
      </c>
      <c r="O226" s="2" t="s">
        <v>92</v>
      </c>
      <c r="P226" s="2" t="s">
        <v>90</v>
      </c>
      <c r="Q226" s="1">
        <v>0.13728521239821001</v>
      </c>
      <c r="R226" s="1">
        <v>106.5153859793645</v>
      </c>
      <c r="S226" s="1">
        <v>0.12888768240938139</v>
      </c>
      <c r="T226" s="1">
        <f t="shared" si="27"/>
        <v>0.7</v>
      </c>
      <c r="U226" s="1">
        <f t="shared" si="28"/>
        <v>41</v>
      </c>
      <c r="V226" s="1">
        <f t="shared" si="29"/>
        <v>0.41</v>
      </c>
      <c r="W226" s="1">
        <f t="shared" si="30"/>
        <v>0.41</v>
      </c>
      <c r="X226" s="1">
        <f t="shared" si="31"/>
        <v>0.98</v>
      </c>
      <c r="Y226" s="1">
        <f t="shared" si="32"/>
        <v>40.18</v>
      </c>
      <c r="Z226" s="1">
        <f t="shared" si="33"/>
        <v>5.5161198341600786</v>
      </c>
    </row>
    <row r="227" spans="13:26" x14ac:dyDescent="0.25">
      <c r="M227" s="2">
        <v>2023</v>
      </c>
      <c r="N227" s="2" t="s">
        <v>63</v>
      </c>
      <c r="O227" s="2" t="s">
        <v>91</v>
      </c>
      <c r="P227" s="2" t="s">
        <v>90</v>
      </c>
      <c r="Q227" s="1">
        <v>0.84052104396595462</v>
      </c>
      <c r="R227" s="1">
        <v>106.5153859793645</v>
      </c>
      <c r="S227" s="1">
        <v>0.78910763570700582</v>
      </c>
      <c r="T227" s="1">
        <f t="shared" si="27"/>
        <v>0.7</v>
      </c>
      <c r="U227" s="1">
        <f t="shared" si="28"/>
        <v>41</v>
      </c>
      <c r="V227" s="1">
        <f t="shared" si="29"/>
        <v>0.41</v>
      </c>
      <c r="W227" s="1">
        <f t="shared" si="30"/>
        <v>0.41</v>
      </c>
      <c r="X227" s="1">
        <f t="shared" si="31"/>
        <v>0.98</v>
      </c>
      <c r="Y227" s="1">
        <f t="shared" si="32"/>
        <v>40.18</v>
      </c>
      <c r="Z227" s="1">
        <f t="shared" si="33"/>
        <v>33.772135546552057</v>
      </c>
    </row>
    <row r="228" spans="13:26" x14ac:dyDescent="0.25">
      <c r="M228" s="2">
        <v>2023</v>
      </c>
      <c r="N228" s="2" t="s">
        <v>63</v>
      </c>
      <c r="O228" s="2" t="s">
        <v>89</v>
      </c>
      <c r="P228" s="2" t="str">
        <f>O228</f>
        <v>S1</v>
      </c>
      <c r="Q228" s="1">
        <v>19.16080253004348</v>
      </c>
      <c r="R228" s="1">
        <v>106.5153859793645</v>
      </c>
      <c r="S228" s="1">
        <v>17.988765053863251</v>
      </c>
      <c r="T228" s="1">
        <f t="shared" si="27"/>
        <v>0.7</v>
      </c>
      <c r="U228" s="1">
        <f t="shared" si="28"/>
        <v>109</v>
      </c>
      <c r="V228" s="1">
        <f t="shared" si="29"/>
        <v>1.0900000000000001</v>
      </c>
      <c r="W228" s="1">
        <f t="shared" si="30"/>
        <v>0.7</v>
      </c>
      <c r="X228" s="1">
        <f t="shared" si="31"/>
        <v>1.1699999999999997</v>
      </c>
      <c r="Y228" s="1">
        <f t="shared" si="32"/>
        <v>81.899999999999977</v>
      </c>
      <c r="Z228" s="1">
        <f t="shared" si="33"/>
        <v>1569.2697272105606</v>
      </c>
    </row>
    <row r="229" spans="13:26" x14ac:dyDescent="0.25">
      <c r="M229" s="2">
        <v>2023</v>
      </c>
      <c r="N229" s="2" t="s">
        <v>63</v>
      </c>
      <c r="O229" s="2" t="s">
        <v>88</v>
      </c>
      <c r="P229" s="2" t="str">
        <f>O229</f>
        <v>S2</v>
      </c>
      <c r="Q229" s="1">
        <v>68.168214136618218</v>
      </c>
      <c r="R229" s="1">
        <v>106.5153859793645</v>
      </c>
      <c r="S229" s="1">
        <v>63.99846699126136</v>
      </c>
      <c r="T229" s="1">
        <f t="shared" si="27"/>
        <v>0.7</v>
      </c>
      <c r="U229" s="1">
        <f t="shared" si="28"/>
        <v>81</v>
      </c>
      <c r="V229" s="1">
        <f t="shared" si="29"/>
        <v>0.81</v>
      </c>
      <c r="W229" s="1">
        <f t="shared" si="30"/>
        <v>0.7</v>
      </c>
      <c r="X229" s="1">
        <f t="shared" si="31"/>
        <v>1.04</v>
      </c>
      <c r="Y229" s="1">
        <f t="shared" si="32"/>
        <v>72.8</v>
      </c>
      <c r="Z229" s="1">
        <f t="shared" si="33"/>
        <v>4962.6459891458062</v>
      </c>
    </row>
    <row r="230" spans="13:26" x14ac:dyDescent="0.25">
      <c r="M230" s="2">
        <v>2023</v>
      </c>
      <c r="N230" s="2" t="s">
        <v>63</v>
      </c>
      <c r="O230" s="2" t="s">
        <v>87</v>
      </c>
      <c r="P230" s="2" t="str">
        <f>O230</f>
        <v>S3</v>
      </c>
      <c r="Q230" s="1">
        <v>18.20856305633863</v>
      </c>
      <c r="R230" s="1">
        <v>106.5153859793645</v>
      </c>
      <c r="S230" s="1">
        <v>17.094772636759</v>
      </c>
      <c r="T230" s="1">
        <f t="shared" si="27"/>
        <v>0.7</v>
      </c>
      <c r="U230" s="1">
        <f t="shared" si="28"/>
        <v>59</v>
      </c>
      <c r="V230" s="1">
        <f t="shared" si="29"/>
        <v>0.59</v>
      </c>
      <c r="W230" s="1">
        <f t="shared" si="30"/>
        <v>0.59</v>
      </c>
      <c r="X230" s="1">
        <f t="shared" si="31"/>
        <v>0.99999999999999978</v>
      </c>
      <c r="Y230" s="1">
        <f t="shared" si="32"/>
        <v>58.999999999999986</v>
      </c>
      <c r="Z230" s="1">
        <f t="shared" si="33"/>
        <v>1074.3052203239788</v>
      </c>
    </row>
    <row r="231" spans="13:26" x14ac:dyDescent="0.25">
      <c r="M231" s="2">
        <v>2023</v>
      </c>
      <c r="N231" s="2" t="s">
        <v>62</v>
      </c>
      <c r="O231" s="2" t="s">
        <v>91</v>
      </c>
      <c r="P231" s="2" t="s">
        <v>90</v>
      </c>
      <c r="Q231" s="1">
        <v>0.19488702910159861</v>
      </c>
      <c r="R231" s="1">
        <v>41.279659431150392</v>
      </c>
      <c r="S231" s="1">
        <v>0.47211394615948138</v>
      </c>
      <c r="T231" s="1">
        <f t="shared" si="27"/>
        <v>1</v>
      </c>
      <c r="U231" s="1">
        <f t="shared" si="28"/>
        <v>41</v>
      </c>
      <c r="V231" s="1">
        <f t="shared" si="29"/>
        <v>0.41</v>
      </c>
      <c r="W231" s="1">
        <f t="shared" si="30"/>
        <v>0.41</v>
      </c>
      <c r="X231" s="1">
        <f t="shared" si="31"/>
        <v>0.98</v>
      </c>
      <c r="Y231" s="1">
        <f t="shared" si="32"/>
        <v>40.18</v>
      </c>
      <c r="Z231" s="1">
        <f t="shared" si="33"/>
        <v>7.8305608293022324</v>
      </c>
    </row>
    <row r="232" spans="13:26" x14ac:dyDescent="0.25">
      <c r="M232" s="2">
        <v>2023</v>
      </c>
      <c r="N232" s="2" t="s">
        <v>62</v>
      </c>
      <c r="O232" s="2" t="s">
        <v>89</v>
      </c>
      <c r="P232" s="2" t="str">
        <f t="shared" ref="P232:P237" si="35">O232</f>
        <v>S1</v>
      </c>
      <c r="Q232" s="1">
        <v>3.8555269707811699</v>
      </c>
      <c r="R232" s="1">
        <v>41.279659431150392</v>
      </c>
      <c r="S232" s="1">
        <v>9.3400164243402628</v>
      </c>
      <c r="T232" s="1">
        <f t="shared" si="27"/>
        <v>1</v>
      </c>
      <c r="U232" s="1">
        <f t="shared" si="28"/>
        <v>109</v>
      </c>
      <c r="V232" s="1">
        <f t="shared" si="29"/>
        <v>1.0900000000000001</v>
      </c>
      <c r="W232" s="1">
        <f t="shared" si="30"/>
        <v>1</v>
      </c>
      <c r="X232" s="1">
        <f t="shared" si="31"/>
        <v>1.1699999999999997</v>
      </c>
      <c r="Y232" s="1">
        <f t="shared" si="32"/>
        <v>116.99999999999997</v>
      </c>
      <c r="Z232" s="1">
        <f t="shared" si="33"/>
        <v>451.09665558139676</v>
      </c>
    </row>
    <row r="233" spans="13:26" x14ac:dyDescent="0.25">
      <c r="M233" s="2">
        <v>2023</v>
      </c>
      <c r="N233" s="2" t="s">
        <v>62</v>
      </c>
      <c r="O233" s="2" t="s">
        <v>88</v>
      </c>
      <c r="P233" s="2" t="str">
        <f t="shared" si="35"/>
        <v>S2</v>
      </c>
      <c r="Q233" s="1">
        <v>33.377219081740911</v>
      </c>
      <c r="R233" s="1">
        <v>41.279659431150392</v>
      </c>
      <c r="S233" s="1">
        <v>80.856333462271365</v>
      </c>
      <c r="T233" s="1">
        <f t="shared" si="27"/>
        <v>1</v>
      </c>
      <c r="U233" s="1">
        <f t="shared" si="28"/>
        <v>81</v>
      </c>
      <c r="V233" s="1">
        <f t="shared" si="29"/>
        <v>0.81</v>
      </c>
      <c r="W233" s="1">
        <f t="shared" si="30"/>
        <v>0.81</v>
      </c>
      <c r="X233" s="1">
        <f t="shared" si="31"/>
        <v>1.04</v>
      </c>
      <c r="Y233" s="1">
        <f t="shared" si="32"/>
        <v>84.240000000000009</v>
      </c>
      <c r="Z233" s="1">
        <f t="shared" si="33"/>
        <v>2811.6969354458547</v>
      </c>
    </row>
    <row r="234" spans="13:26" x14ac:dyDescent="0.25">
      <c r="M234" s="2">
        <v>2023</v>
      </c>
      <c r="N234" s="2" t="s">
        <v>62</v>
      </c>
      <c r="O234" s="2" t="s">
        <v>87</v>
      </c>
      <c r="P234" s="2" t="str">
        <f t="shared" si="35"/>
        <v>S3</v>
      </c>
      <c r="Q234" s="1">
        <v>3.852026349526704</v>
      </c>
      <c r="R234" s="1">
        <v>41.279659431150392</v>
      </c>
      <c r="S234" s="1">
        <v>9.3315361672288759</v>
      </c>
      <c r="T234" s="1">
        <f t="shared" si="27"/>
        <v>1</v>
      </c>
      <c r="U234" s="1">
        <f t="shared" si="28"/>
        <v>59</v>
      </c>
      <c r="V234" s="1">
        <f t="shared" si="29"/>
        <v>0.59</v>
      </c>
      <c r="W234" s="1">
        <f t="shared" si="30"/>
        <v>0.59</v>
      </c>
      <c r="X234" s="1">
        <f t="shared" si="31"/>
        <v>0.99999999999999978</v>
      </c>
      <c r="Y234" s="1">
        <f t="shared" si="32"/>
        <v>58.999999999999986</v>
      </c>
      <c r="Z234" s="1">
        <f t="shared" si="33"/>
        <v>227.26955462207547</v>
      </c>
    </row>
    <row r="235" spans="13:26" x14ac:dyDescent="0.25">
      <c r="M235" s="2">
        <v>2023</v>
      </c>
      <c r="N235" s="2" t="s">
        <v>61</v>
      </c>
      <c r="O235" s="2" t="s">
        <v>89</v>
      </c>
      <c r="P235" s="2" t="str">
        <f t="shared" si="35"/>
        <v>S1</v>
      </c>
      <c r="Q235" s="1">
        <v>24.85384205907026</v>
      </c>
      <c r="R235" s="1">
        <v>180.47155515731691</v>
      </c>
      <c r="S235" s="1">
        <v>13.77161184066108</v>
      </c>
      <c r="T235" s="1">
        <f t="shared" si="27"/>
        <v>0.6</v>
      </c>
      <c r="U235" s="1">
        <f t="shared" si="28"/>
        <v>109</v>
      </c>
      <c r="V235" s="1">
        <f t="shared" si="29"/>
        <v>1.0900000000000001</v>
      </c>
      <c r="W235" s="1">
        <f t="shared" si="30"/>
        <v>0.6</v>
      </c>
      <c r="X235" s="1">
        <f t="shared" si="31"/>
        <v>1.1699999999999997</v>
      </c>
      <c r="Y235" s="1">
        <f t="shared" si="32"/>
        <v>70.199999999999989</v>
      </c>
      <c r="Z235" s="1">
        <f t="shared" si="33"/>
        <v>1744.7397125467319</v>
      </c>
    </row>
    <row r="236" spans="13:26" x14ac:dyDescent="0.25">
      <c r="M236" s="2">
        <v>2023</v>
      </c>
      <c r="N236" s="2" t="s">
        <v>61</v>
      </c>
      <c r="O236" s="2" t="s">
        <v>88</v>
      </c>
      <c r="P236" s="2" t="str">
        <f t="shared" si="35"/>
        <v>S2</v>
      </c>
      <c r="Q236" s="1">
        <v>98.814663795268459</v>
      </c>
      <c r="R236" s="1">
        <v>180.47155515731691</v>
      </c>
      <c r="S236" s="1">
        <v>54.753594664340199</v>
      </c>
      <c r="T236" s="1">
        <f t="shared" si="27"/>
        <v>0.6</v>
      </c>
      <c r="U236" s="1">
        <f t="shared" si="28"/>
        <v>81</v>
      </c>
      <c r="V236" s="1">
        <f t="shared" si="29"/>
        <v>0.81</v>
      </c>
      <c r="W236" s="1">
        <f t="shared" si="30"/>
        <v>0.6</v>
      </c>
      <c r="X236" s="1">
        <f t="shared" si="31"/>
        <v>1.04</v>
      </c>
      <c r="Y236" s="1">
        <f t="shared" si="32"/>
        <v>62.4</v>
      </c>
      <c r="Z236" s="1">
        <f t="shared" si="33"/>
        <v>6166.0350208247519</v>
      </c>
    </row>
    <row r="237" spans="13:26" x14ac:dyDescent="0.25">
      <c r="M237" s="2">
        <v>2023</v>
      </c>
      <c r="N237" s="2" t="s">
        <v>61</v>
      </c>
      <c r="O237" s="2" t="s">
        <v>87</v>
      </c>
      <c r="P237" s="2" t="str">
        <f t="shared" si="35"/>
        <v>S3</v>
      </c>
      <c r="Q237" s="1">
        <v>56.803049302978224</v>
      </c>
      <c r="R237" s="1">
        <v>180.47155515731691</v>
      </c>
      <c r="S237" s="1">
        <v>31.474793494998721</v>
      </c>
      <c r="T237" s="1">
        <f t="shared" si="27"/>
        <v>0.6</v>
      </c>
      <c r="U237" s="1">
        <f t="shared" si="28"/>
        <v>59</v>
      </c>
      <c r="V237" s="1">
        <f t="shared" si="29"/>
        <v>0.59</v>
      </c>
      <c r="W237" s="1">
        <f t="shared" si="30"/>
        <v>0.59</v>
      </c>
      <c r="X237" s="1">
        <f t="shared" si="31"/>
        <v>0.99999999999999978</v>
      </c>
      <c r="Y237" s="1">
        <f t="shared" si="32"/>
        <v>58.999999999999986</v>
      </c>
      <c r="Z237" s="1">
        <f t="shared" si="33"/>
        <v>3351.3799088757146</v>
      </c>
    </row>
    <row r="238" spans="13:26" x14ac:dyDescent="0.25">
      <c r="M238" s="2">
        <v>2023</v>
      </c>
      <c r="N238" s="2" t="s">
        <v>60</v>
      </c>
      <c r="O238" s="2" t="s">
        <v>92</v>
      </c>
      <c r="P238" s="2" t="s">
        <v>90</v>
      </c>
      <c r="Q238" s="1">
        <v>0.14015298306918239</v>
      </c>
      <c r="R238" s="1">
        <v>264.1548858315553</v>
      </c>
      <c r="S238" s="1">
        <v>5.3057123144999982E-2</v>
      </c>
      <c r="T238" s="1">
        <f t="shared" si="27"/>
        <v>0.6</v>
      </c>
      <c r="U238" s="1">
        <f t="shared" si="28"/>
        <v>41</v>
      </c>
      <c r="V238" s="1">
        <f t="shared" si="29"/>
        <v>0.41</v>
      </c>
      <c r="W238" s="1">
        <f t="shared" si="30"/>
        <v>0.41</v>
      </c>
      <c r="X238" s="1">
        <f t="shared" si="31"/>
        <v>0.98</v>
      </c>
      <c r="Y238" s="1">
        <f t="shared" si="32"/>
        <v>40.18</v>
      </c>
      <c r="Z238" s="1">
        <f t="shared" si="33"/>
        <v>5.6313468597197485</v>
      </c>
    </row>
    <row r="239" spans="13:26" x14ac:dyDescent="0.25">
      <c r="M239" s="2">
        <v>2023</v>
      </c>
      <c r="N239" s="2" t="s">
        <v>60</v>
      </c>
      <c r="O239" s="2" t="s">
        <v>91</v>
      </c>
      <c r="P239" s="2" t="s">
        <v>90</v>
      </c>
      <c r="Q239" s="1">
        <v>4.7423552851432023E-2</v>
      </c>
      <c r="R239" s="1">
        <v>264.1548858315553</v>
      </c>
      <c r="S239" s="1">
        <v>1.7952934204545731E-2</v>
      </c>
      <c r="T239" s="1">
        <f t="shared" si="27"/>
        <v>0.6</v>
      </c>
      <c r="U239" s="1">
        <f t="shared" si="28"/>
        <v>41</v>
      </c>
      <c r="V239" s="1">
        <f t="shared" si="29"/>
        <v>0.41</v>
      </c>
      <c r="W239" s="1">
        <f t="shared" si="30"/>
        <v>0.41</v>
      </c>
      <c r="X239" s="1">
        <f t="shared" si="31"/>
        <v>0.98</v>
      </c>
      <c r="Y239" s="1">
        <f t="shared" si="32"/>
        <v>40.18</v>
      </c>
      <c r="Z239" s="1">
        <f t="shared" si="33"/>
        <v>1.9054783535705386</v>
      </c>
    </row>
    <row r="240" spans="13:26" x14ac:dyDescent="0.25">
      <c r="M240" s="2">
        <v>2023</v>
      </c>
      <c r="N240" s="2" t="s">
        <v>60</v>
      </c>
      <c r="O240" s="2" t="s">
        <v>89</v>
      </c>
      <c r="P240" s="2" t="str">
        <f>O240</f>
        <v>S1</v>
      </c>
      <c r="Q240" s="1">
        <v>26.10341828218376</v>
      </c>
      <c r="R240" s="1">
        <v>264.1548858315553</v>
      </c>
      <c r="S240" s="1">
        <v>9.8818608635651852</v>
      </c>
      <c r="T240" s="1">
        <f t="shared" si="27"/>
        <v>0.6</v>
      </c>
      <c r="U240" s="1">
        <f t="shared" si="28"/>
        <v>109</v>
      </c>
      <c r="V240" s="1">
        <f t="shared" si="29"/>
        <v>1.0900000000000001</v>
      </c>
      <c r="W240" s="1">
        <f t="shared" si="30"/>
        <v>0.6</v>
      </c>
      <c r="X240" s="1">
        <f t="shared" si="31"/>
        <v>1.1699999999999997</v>
      </c>
      <c r="Y240" s="1">
        <f t="shared" si="32"/>
        <v>70.199999999999989</v>
      </c>
      <c r="Z240" s="1">
        <f t="shared" si="33"/>
        <v>1832.4599634092997</v>
      </c>
    </row>
    <row r="241" spans="13:26" x14ac:dyDescent="0.25">
      <c r="M241" s="2">
        <v>2023</v>
      </c>
      <c r="N241" s="2" t="s">
        <v>60</v>
      </c>
      <c r="O241" s="2" t="s">
        <v>88</v>
      </c>
      <c r="P241" s="2" t="str">
        <f>O241</f>
        <v>S2</v>
      </c>
      <c r="Q241" s="1">
        <v>139.15634345817739</v>
      </c>
      <c r="R241" s="1">
        <v>264.1548858315553</v>
      </c>
      <c r="S241" s="1">
        <v>52.679829494773678</v>
      </c>
      <c r="T241" s="1">
        <f t="shared" si="27"/>
        <v>0.6</v>
      </c>
      <c r="U241" s="1">
        <f t="shared" si="28"/>
        <v>81</v>
      </c>
      <c r="V241" s="1">
        <f t="shared" si="29"/>
        <v>0.81</v>
      </c>
      <c r="W241" s="1">
        <f t="shared" si="30"/>
        <v>0.6</v>
      </c>
      <c r="X241" s="1">
        <f t="shared" si="31"/>
        <v>1.04</v>
      </c>
      <c r="Y241" s="1">
        <f t="shared" si="32"/>
        <v>62.4</v>
      </c>
      <c r="Z241" s="1">
        <f t="shared" si="33"/>
        <v>8683.355831790268</v>
      </c>
    </row>
    <row r="242" spans="13:26" x14ac:dyDescent="0.25">
      <c r="M242" s="2">
        <v>2023</v>
      </c>
      <c r="N242" s="2" t="s">
        <v>60</v>
      </c>
      <c r="O242" s="2" t="s">
        <v>87</v>
      </c>
      <c r="P242" s="2" t="str">
        <f>O242</f>
        <v>S3</v>
      </c>
      <c r="Q242" s="1">
        <v>98.707547555273536</v>
      </c>
      <c r="R242" s="1">
        <v>264.1548858315553</v>
      </c>
      <c r="S242" s="1">
        <v>37.367299584311603</v>
      </c>
      <c r="T242" s="1">
        <f t="shared" si="27"/>
        <v>0.6</v>
      </c>
      <c r="U242" s="1">
        <f t="shared" si="28"/>
        <v>59</v>
      </c>
      <c r="V242" s="1">
        <f t="shared" si="29"/>
        <v>0.59</v>
      </c>
      <c r="W242" s="1">
        <f t="shared" si="30"/>
        <v>0.59</v>
      </c>
      <c r="X242" s="1">
        <f t="shared" si="31"/>
        <v>0.99999999999999978</v>
      </c>
      <c r="Y242" s="1">
        <f t="shared" si="32"/>
        <v>58.999999999999986</v>
      </c>
      <c r="Z242" s="1">
        <f t="shared" si="33"/>
        <v>5823.7453057611374</v>
      </c>
    </row>
    <row r="243" spans="13:26" x14ac:dyDescent="0.25">
      <c r="M243" s="2">
        <v>2023</v>
      </c>
      <c r="N243" s="2" t="s">
        <v>59</v>
      </c>
      <c r="O243" s="2" t="s">
        <v>91</v>
      </c>
      <c r="P243" s="2" t="s">
        <v>90</v>
      </c>
      <c r="Q243" s="1">
        <v>0.27304725725677459</v>
      </c>
      <c r="R243" s="1">
        <v>608.73221969324538</v>
      </c>
      <c r="S243" s="1">
        <v>4.4855069014478909E-2</v>
      </c>
      <c r="T243" s="1">
        <f t="shared" si="27"/>
        <v>0.6</v>
      </c>
      <c r="U243" s="1">
        <f t="shared" si="28"/>
        <v>41</v>
      </c>
      <c r="V243" s="1">
        <f t="shared" si="29"/>
        <v>0.41</v>
      </c>
      <c r="W243" s="1">
        <f t="shared" si="30"/>
        <v>0.41</v>
      </c>
      <c r="X243" s="1">
        <f t="shared" si="31"/>
        <v>0.98</v>
      </c>
      <c r="Y243" s="1">
        <f t="shared" si="32"/>
        <v>40.18</v>
      </c>
      <c r="Z243" s="1">
        <f t="shared" si="33"/>
        <v>10.971038796577202</v>
      </c>
    </row>
    <row r="244" spans="13:26" x14ac:dyDescent="0.25">
      <c r="M244" s="2">
        <v>2023</v>
      </c>
      <c r="N244" s="2" t="s">
        <v>59</v>
      </c>
      <c r="O244" s="2" t="s">
        <v>89</v>
      </c>
      <c r="P244" s="2" t="str">
        <f>O244</f>
        <v>S1</v>
      </c>
      <c r="Q244" s="1">
        <v>100.7759475933287</v>
      </c>
      <c r="R244" s="1">
        <v>608.73221969324538</v>
      </c>
      <c r="S244" s="1">
        <v>16.555053984839521</v>
      </c>
      <c r="T244" s="1">
        <f t="shared" si="27"/>
        <v>0.6</v>
      </c>
      <c r="U244" s="1">
        <f t="shared" si="28"/>
        <v>109</v>
      </c>
      <c r="V244" s="1">
        <f t="shared" si="29"/>
        <v>1.0900000000000001</v>
      </c>
      <c r="W244" s="1">
        <f t="shared" si="30"/>
        <v>0.6</v>
      </c>
      <c r="X244" s="1">
        <f t="shared" si="31"/>
        <v>1.1699999999999997</v>
      </c>
      <c r="Y244" s="1">
        <f t="shared" si="32"/>
        <v>70.199999999999989</v>
      </c>
      <c r="Z244" s="1">
        <f t="shared" si="33"/>
        <v>7074.4715210516733</v>
      </c>
    </row>
    <row r="245" spans="13:26" x14ac:dyDescent="0.25">
      <c r="M245" s="2">
        <v>2023</v>
      </c>
      <c r="N245" s="2" t="s">
        <v>59</v>
      </c>
      <c r="O245" s="2" t="s">
        <v>88</v>
      </c>
      <c r="P245" s="2" t="str">
        <f>O245</f>
        <v>S2</v>
      </c>
      <c r="Q245" s="1">
        <v>376.76074176918462</v>
      </c>
      <c r="R245" s="1">
        <v>608.73221969324538</v>
      </c>
      <c r="S245" s="1">
        <v>61.89268936003473</v>
      </c>
      <c r="T245" s="1">
        <f t="shared" si="27"/>
        <v>0.6</v>
      </c>
      <c r="U245" s="1">
        <f t="shared" si="28"/>
        <v>81</v>
      </c>
      <c r="V245" s="1">
        <f t="shared" si="29"/>
        <v>0.81</v>
      </c>
      <c r="W245" s="1">
        <f t="shared" si="30"/>
        <v>0.6</v>
      </c>
      <c r="X245" s="1">
        <f t="shared" si="31"/>
        <v>1.04</v>
      </c>
      <c r="Y245" s="1">
        <f t="shared" si="32"/>
        <v>62.4</v>
      </c>
      <c r="Z245" s="1">
        <f t="shared" si="33"/>
        <v>23509.870286397119</v>
      </c>
    </row>
    <row r="246" spans="13:26" x14ac:dyDescent="0.25">
      <c r="M246" s="2">
        <v>2023</v>
      </c>
      <c r="N246" s="2" t="s">
        <v>59</v>
      </c>
      <c r="O246" s="2" t="s">
        <v>87</v>
      </c>
      <c r="P246" s="2" t="str">
        <f>O246</f>
        <v>S3</v>
      </c>
      <c r="Q246" s="1">
        <v>130.92248307347541</v>
      </c>
      <c r="R246" s="1">
        <v>608.73221969324538</v>
      </c>
      <c r="S246" s="1">
        <v>21.507401586111271</v>
      </c>
      <c r="T246" s="1">
        <f t="shared" si="27"/>
        <v>0.6</v>
      </c>
      <c r="U246" s="1">
        <f t="shared" si="28"/>
        <v>59</v>
      </c>
      <c r="V246" s="1">
        <f t="shared" si="29"/>
        <v>0.59</v>
      </c>
      <c r="W246" s="1">
        <f t="shared" si="30"/>
        <v>0.59</v>
      </c>
      <c r="X246" s="1">
        <f t="shared" si="31"/>
        <v>0.99999999999999978</v>
      </c>
      <c r="Y246" s="1">
        <f t="shared" si="32"/>
        <v>58.999999999999986</v>
      </c>
      <c r="Z246" s="1">
        <f t="shared" si="33"/>
        <v>7724.4265013350469</v>
      </c>
    </row>
    <row r="247" spans="13:26" x14ac:dyDescent="0.25">
      <c r="M247" s="2">
        <v>2023</v>
      </c>
      <c r="N247" s="2" t="s">
        <v>58</v>
      </c>
      <c r="O247" s="2" t="s">
        <v>91</v>
      </c>
      <c r="P247" s="2" t="s">
        <v>90</v>
      </c>
      <c r="Q247" s="1">
        <v>0.510724725922025</v>
      </c>
      <c r="R247" s="1">
        <v>147.90441562365609</v>
      </c>
      <c r="S247" s="1">
        <v>0.34530728766176122</v>
      </c>
      <c r="T247" s="1">
        <f t="shared" si="27"/>
        <v>1</v>
      </c>
      <c r="U247" s="1">
        <f t="shared" si="28"/>
        <v>41</v>
      </c>
      <c r="V247" s="1">
        <f t="shared" si="29"/>
        <v>0.41</v>
      </c>
      <c r="W247" s="1">
        <f t="shared" si="30"/>
        <v>0.41</v>
      </c>
      <c r="X247" s="1">
        <f t="shared" si="31"/>
        <v>0.98</v>
      </c>
      <c r="Y247" s="1">
        <f t="shared" si="32"/>
        <v>40.18</v>
      </c>
      <c r="Z247" s="1">
        <f t="shared" si="33"/>
        <v>20.520919487546966</v>
      </c>
    </row>
    <row r="248" spans="13:26" x14ac:dyDescent="0.25">
      <c r="M248" s="2">
        <v>2023</v>
      </c>
      <c r="N248" s="2" t="s">
        <v>58</v>
      </c>
      <c r="O248" s="2" t="s">
        <v>89</v>
      </c>
      <c r="P248" s="2" t="str">
        <f>O248</f>
        <v>S1</v>
      </c>
      <c r="Q248" s="1">
        <v>21.657352576372801</v>
      </c>
      <c r="R248" s="1">
        <v>147.90441562365609</v>
      </c>
      <c r="S248" s="1">
        <v>14.64280324901191</v>
      </c>
      <c r="T248" s="1">
        <f t="shared" si="27"/>
        <v>1</v>
      </c>
      <c r="U248" s="1">
        <f t="shared" si="28"/>
        <v>109</v>
      </c>
      <c r="V248" s="1">
        <f t="shared" si="29"/>
        <v>1.0900000000000001</v>
      </c>
      <c r="W248" s="1">
        <f t="shared" si="30"/>
        <v>1</v>
      </c>
      <c r="X248" s="1">
        <f t="shared" si="31"/>
        <v>1.1699999999999997</v>
      </c>
      <c r="Y248" s="1">
        <f t="shared" si="32"/>
        <v>116.99999999999997</v>
      </c>
      <c r="Z248" s="1">
        <f t="shared" si="33"/>
        <v>2533.9102514356173</v>
      </c>
    </row>
    <row r="249" spans="13:26" x14ac:dyDescent="0.25">
      <c r="M249" s="2">
        <v>2023</v>
      </c>
      <c r="N249" s="2" t="s">
        <v>58</v>
      </c>
      <c r="O249" s="2" t="s">
        <v>88</v>
      </c>
      <c r="P249" s="2" t="str">
        <f>O249</f>
        <v>S2</v>
      </c>
      <c r="Q249" s="1">
        <v>103.9683090520862</v>
      </c>
      <c r="R249" s="1">
        <v>147.90441562365609</v>
      </c>
      <c r="S249" s="1">
        <v>70.294256336899608</v>
      </c>
      <c r="T249" s="1">
        <f t="shared" si="27"/>
        <v>1</v>
      </c>
      <c r="U249" s="1">
        <f t="shared" si="28"/>
        <v>81</v>
      </c>
      <c r="V249" s="1">
        <f t="shared" si="29"/>
        <v>0.81</v>
      </c>
      <c r="W249" s="1">
        <f t="shared" si="30"/>
        <v>0.81</v>
      </c>
      <c r="X249" s="1">
        <f t="shared" si="31"/>
        <v>1.04</v>
      </c>
      <c r="Y249" s="1">
        <f t="shared" si="32"/>
        <v>84.240000000000009</v>
      </c>
      <c r="Z249" s="1">
        <f t="shared" si="33"/>
        <v>8758.290354547742</v>
      </c>
    </row>
    <row r="250" spans="13:26" x14ac:dyDescent="0.25">
      <c r="M250" s="2">
        <v>2023</v>
      </c>
      <c r="N250" s="2" t="s">
        <v>58</v>
      </c>
      <c r="O250" s="2" t="s">
        <v>87</v>
      </c>
      <c r="P250" s="2" t="str">
        <f>O250</f>
        <v>S3</v>
      </c>
      <c r="Q250" s="1">
        <v>21.768029269275061</v>
      </c>
      <c r="R250" s="1">
        <v>147.90441562365609</v>
      </c>
      <c r="S250" s="1">
        <v>14.717633126426721</v>
      </c>
      <c r="T250" s="1">
        <f t="shared" si="27"/>
        <v>1</v>
      </c>
      <c r="U250" s="1">
        <f t="shared" si="28"/>
        <v>59</v>
      </c>
      <c r="V250" s="1">
        <f t="shared" si="29"/>
        <v>0.59</v>
      </c>
      <c r="W250" s="1">
        <f t="shared" si="30"/>
        <v>0.59</v>
      </c>
      <c r="X250" s="1">
        <f t="shared" si="31"/>
        <v>0.99999999999999978</v>
      </c>
      <c r="Y250" s="1">
        <f t="shared" si="32"/>
        <v>58.999999999999986</v>
      </c>
      <c r="Z250" s="1">
        <f t="shared" si="33"/>
        <v>1284.3137268872283</v>
      </c>
    </row>
    <row r="251" spans="13:26" x14ac:dyDescent="0.25">
      <c r="M251" s="2">
        <v>2024</v>
      </c>
      <c r="N251" s="2" t="s">
        <v>65</v>
      </c>
      <c r="O251" s="2" t="s">
        <v>92</v>
      </c>
      <c r="P251" s="2" t="s">
        <v>90</v>
      </c>
      <c r="Q251" s="1">
        <v>1.8977526839733281</v>
      </c>
      <c r="R251" s="1">
        <v>291.17195202384909</v>
      </c>
      <c r="S251" s="1">
        <v>0.65176356128487523</v>
      </c>
      <c r="T251" s="1">
        <f t="shared" si="27"/>
        <v>1</v>
      </c>
      <c r="U251" s="1">
        <f t="shared" si="28"/>
        <v>41</v>
      </c>
      <c r="V251" s="1">
        <f t="shared" si="29"/>
        <v>0.41</v>
      </c>
      <c r="W251" s="1">
        <f t="shared" si="30"/>
        <v>0.41</v>
      </c>
      <c r="X251" s="1">
        <f t="shared" si="31"/>
        <v>0.98</v>
      </c>
      <c r="Y251" s="1">
        <f t="shared" si="32"/>
        <v>40.18</v>
      </c>
      <c r="Z251" s="1">
        <f t="shared" si="33"/>
        <v>76.251702842048317</v>
      </c>
    </row>
    <row r="252" spans="13:26" x14ac:dyDescent="0.25">
      <c r="M252" s="2">
        <v>2024</v>
      </c>
      <c r="N252" s="2" t="s">
        <v>65</v>
      </c>
      <c r="O252" s="2" t="s">
        <v>91</v>
      </c>
      <c r="P252" s="2" t="s">
        <v>90</v>
      </c>
      <c r="Q252" s="1">
        <v>0.116391038263466</v>
      </c>
      <c r="R252" s="1">
        <v>291.17195202384909</v>
      </c>
      <c r="S252" s="1">
        <v>3.9973300125395572E-2</v>
      </c>
      <c r="T252" s="1">
        <f t="shared" si="27"/>
        <v>1</v>
      </c>
      <c r="U252" s="1">
        <f t="shared" si="28"/>
        <v>41</v>
      </c>
      <c r="V252" s="1">
        <f t="shared" si="29"/>
        <v>0.41</v>
      </c>
      <c r="W252" s="1">
        <f t="shared" si="30"/>
        <v>0.41</v>
      </c>
      <c r="X252" s="1">
        <f t="shared" si="31"/>
        <v>0.98</v>
      </c>
      <c r="Y252" s="1">
        <f t="shared" si="32"/>
        <v>40.18</v>
      </c>
      <c r="Z252" s="1">
        <f t="shared" si="33"/>
        <v>4.6765919174260642</v>
      </c>
    </row>
    <row r="253" spans="13:26" x14ac:dyDescent="0.25">
      <c r="M253" s="2">
        <v>2024</v>
      </c>
      <c r="N253" s="2" t="s">
        <v>65</v>
      </c>
      <c r="O253" s="2" t="s">
        <v>89</v>
      </c>
      <c r="P253" s="2" t="str">
        <f>O253</f>
        <v>S1</v>
      </c>
      <c r="Q253" s="1">
        <v>49.92205319917818</v>
      </c>
      <c r="R253" s="1">
        <v>291.17195202384909</v>
      </c>
      <c r="S253" s="1">
        <v>17.14521362795589</v>
      </c>
      <c r="T253" s="1">
        <f t="shared" si="27"/>
        <v>1</v>
      </c>
      <c r="U253" s="1">
        <f t="shared" si="28"/>
        <v>109</v>
      </c>
      <c r="V253" s="1">
        <f t="shared" si="29"/>
        <v>1.0900000000000001</v>
      </c>
      <c r="W253" s="1">
        <f t="shared" si="30"/>
        <v>1</v>
      </c>
      <c r="X253" s="1">
        <f t="shared" si="31"/>
        <v>1.1699999999999997</v>
      </c>
      <c r="Y253" s="1">
        <f t="shared" si="32"/>
        <v>116.99999999999997</v>
      </c>
      <c r="Z253" s="1">
        <f t="shared" si="33"/>
        <v>5840.8802243038454</v>
      </c>
    </row>
    <row r="254" spans="13:26" x14ac:dyDescent="0.25">
      <c r="M254" s="2">
        <v>2024</v>
      </c>
      <c r="N254" s="2" t="s">
        <v>65</v>
      </c>
      <c r="O254" s="2" t="s">
        <v>88</v>
      </c>
      <c r="P254" s="2" t="str">
        <f>O254</f>
        <v>S2</v>
      </c>
      <c r="Q254" s="1">
        <v>156.4064185232771</v>
      </c>
      <c r="R254" s="1">
        <v>291.17195202384909</v>
      </c>
      <c r="S254" s="1">
        <v>53.716169238191704</v>
      </c>
      <c r="T254" s="1">
        <f t="shared" si="27"/>
        <v>1</v>
      </c>
      <c r="U254" s="1">
        <f t="shared" si="28"/>
        <v>81</v>
      </c>
      <c r="V254" s="1">
        <f t="shared" si="29"/>
        <v>0.81</v>
      </c>
      <c r="W254" s="1">
        <f t="shared" si="30"/>
        <v>0.81</v>
      </c>
      <c r="X254" s="1">
        <f t="shared" si="31"/>
        <v>1.04</v>
      </c>
      <c r="Y254" s="1">
        <f t="shared" si="32"/>
        <v>84.240000000000009</v>
      </c>
      <c r="Z254" s="1">
        <f t="shared" si="33"/>
        <v>13175.676696400864</v>
      </c>
    </row>
    <row r="255" spans="13:26" x14ac:dyDescent="0.25">
      <c r="M255" s="2">
        <v>2024</v>
      </c>
      <c r="N255" s="2" t="s">
        <v>65</v>
      </c>
      <c r="O255" s="2" t="s">
        <v>87</v>
      </c>
      <c r="P255" s="2" t="str">
        <f>O255</f>
        <v>S3</v>
      </c>
      <c r="Q255" s="1">
        <v>82.829336579157015</v>
      </c>
      <c r="R255" s="1">
        <v>291.17195202384909</v>
      </c>
      <c r="S255" s="1">
        <v>28.446880272442129</v>
      </c>
      <c r="T255" s="1">
        <f t="shared" si="27"/>
        <v>1</v>
      </c>
      <c r="U255" s="1">
        <f t="shared" si="28"/>
        <v>59</v>
      </c>
      <c r="V255" s="1">
        <f t="shared" si="29"/>
        <v>0.59</v>
      </c>
      <c r="W255" s="1">
        <f t="shared" si="30"/>
        <v>0.59</v>
      </c>
      <c r="X255" s="1">
        <f t="shared" si="31"/>
        <v>0.99999999999999978</v>
      </c>
      <c r="Y255" s="1">
        <f t="shared" si="32"/>
        <v>58.999999999999986</v>
      </c>
      <c r="Z255" s="1">
        <f t="shared" si="33"/>
        <v>4886.9308581702626</v>
      </c>
    </row>
    <row r="256" spans="13:26" x14ac:dyDescent="0.25">
      <c r="M256" s="2">
        <v>2024</v>
      </c>
      <c r="N256" s="2" t="s">
        <v>64</v>
      </c>
      <c r="O256" s="2" t="s">
        <v>91</v>
      </c>
      <c r="P256" s="2" t="s">
        <v>90</v>
      </c>
      <c r="Q256" s="1">
        <v>2.395712466219154</v>
      </c>
      <c r="R256" s="1">
        <v>93.320024159054441</v>
      </c>
      <c r="S256" s="1">
        <v>2.5672008637030652</v>
      </c>
      <c r="T256" s="1">
        <f t="shared" si="27"/>
        <v>0.6</v>
      </c>
      <c r="U256" s="1">
        <f t="shared" si="28"/>
        <v>41</v>
      </c>
      <c r="V256" s="1">
        <f t="shared" si="29"/>
        <v>0.41</v>
      </c>
      <c r="W256" s="1">
        <f t="shared" si="30"/>
        <v>0.41</v>
      </c>
      <c r="X256" s="1">
        <f t="shared" si="31"/>
        <v>0.98</v>
      </c>
      <c r="Y256" s="1">
        <f t="shared" si="32"/>
        <v>40.18</v>
      </c>
      <c r="Z256" s="1">
        <f t="shared" si="33"/>
        <v>96.259726892685606</v>
      </c>
    </row>
    <row r="257" spans="13:26" x14ac:dyDescent="0.25">
      <c r="M257" s="2">
        <v>2024</v>
      </c>
      <c r="N257" s="2" t="s">
        <v>64</v>
      </c>
      <c r="O257" s="2" t="s">
        <v>89</v>
      </c>
      <c r="P257" s="2" t="str">
        <f>O257</f>
        <v>S1</v>
      </c>
      <c r="Q257" s="1">
        <v>5.6030118129227517</v>
      </c>
      <c r="R257" s="1">
        <v>93.320024159054441</v>
      </c>
      <c r="S257" s="1">
        <v>6.0040831144374662</v>
      </c>
      <c r="T257" s="1">
        <f t="shared" si="27"/>
        <v>0.6</v>
      </c>
      <c r="U257" s="1">
        <f t="shared" si="28"/>
        <v>109</v>
      </c>
      <c r="V257" s="1">
        <f t="shared" si="29"/>
        <v>1.0900000000000001</v>
      </c>
      <c r="W257" s="1">
        <f t="shared" si="30"/>
        <v>0.6</v>
      </c>
      <c r="X257" s="1">
        <f t="shared" si="31"/>
        <v>1.1699999999999997</v>
      </c>
      <c r="Y257" s="1">
        <f t="shared" si="32"/>
        <v>70.199999999999989</v>
      </c>
      <c r="Z257" s="1">
        <f t="shared" si="33"/>
        <v>393.3314292671771</v>
      </c>
    </row>
    <row r="258" spans="13:26" x14ac:dyDescent="0.25">
      <c r="M258" s="2">
        <v>2024</v>
      </c>
      <c r="N258" s="2" t="s">
        <v>64</v>
      </c>
      <c r="O258" s="2" t="s">
        <v>88</v>
      </c>
      <c r="P258" s="2" t="str">
        <f>O258</f>
        <v>S2</v>
      </c>
      <c r="Q258" s="1">
        <v>41.328396844298922</v>
      </c>
      <c r="R258" s="1">
        <v>93.320024159054441</v>
      </c>
      <c r="S258" s="1">
        <v>44.286740404030432</v>
      </c>
      <c r="T258" s="1">
        <f t="shared" si="27"/>
        <v>0.6</v>
      </c>
      <c r="U258" s="1">
        <f t="shared" si="28"/>
        <v>81</v>
      </c>
      <c r="V258" s="1">
        <f t="shared" si="29"/>
        <v>0.81</v>
      </c>
      <c r="W258" s="1">
        <f t="shared" si="30"/>
        <v>0.6</v>
      </c>
      <c r="X258" s="1">
        <f t="shared" si="31"/>
        <v>1.04</v>
      </c>
      <c r="Y258" s="1">
        <f t="shared" si="32"/>
        <v>62.4</v>
      </c>
      <c r="Z258" s="1">
        <f t="shared" si="33"/>
        <v>2578.8919630842529</v>
      </c>
    </row>
    <row r="259" spans="13:26" x14ac:dyDescent="0.25">
      <c r="M259" s="2">
        <v>2024</v>
      </c>
      <c r="N259" s="2" t="s">
        <v>64</v>
      </c>
      <c r="O259" s="2" t="s">
        <v>87</v>
      </c>
      <c r="P259" s="2" t="str">
        <f>O259</f>
        <v>S3</v>
      </c>
      <c r="Q259" s="1">
        <v>43.992903035613622</v>
      </c>
      <c r="R259" s="1">
        <v>93.320024159054441</v>
      </c>
      <c r="S259" s="1">
        <v>47.14197561782904</v>
      </c>
      <c r="T259" s="1">
        <f t="shared" si="27"/>
        <v>0.6</v>
      </c>
      <c r="U259" s="1">
        <f t="shared" si="28"/>
        <v>59</v>
      </c>
      <c r="V259" s="1">
        <f t="shared" si="29"/>
        <v>0.59</v>
      </c>
      <c r="W259" s="1">
        <f t="shared" si="30"/>
        <v>0.59</v>
      </c>
      <c r="X259" s="1">
        <f t="shared" si="31"/>
        <v>0.99999999999999978</v>
      </c>
      <c r="Y259" s="1">
        <f t="shared" si="32"/>
        <v>58.999999999999986</v>
      </c>
      <c r="Z259" s="1">
        <f t="shared" si="33"/>
        <v>2595.5812791012031</v>
      </c>
    </row>
    <row r="260" spans="13:26" x14ac:dyDescent="0.25">
      <c r="M260" s="2">
        <v>2024</v>
      </c>
      <c r="N260" s="2" t="s">
        <v>63</v>
      </c>
      <c r="O260" s="2" t="s">
        <v>92</v>
      </c>
      <c r="P260" s="2" t="s">
        <v>90</v>
      </c>
      <c r="Q260" s="1">
        <v>0.13728521239821001</v>
      </c>
      <c r="R260" s="1">
        <v>134.04475416045031</v>
      </c>
      <c r="S260" s="1">
        <v>0.1024174450227876</v>
      </c>
      <c r="T260" s="1">
        <f t="shared" ref="T260:T317" si="36">VLOOKUP(N260,$B:$C,2,FALSE)</f>
        <v>0.7</v>
      </c>
      <c r="U260" s="1">
        <f t="shared" ref="U260:U317" si="37">VLOOKUP(P260,$E:$F,2,FALSE)</f>
        <v>41</v>
      </c>
      <c r="V260" s="1">
        <f t="shared" ref="V260:V317" si="38">U260/100</f>
        <v>0.41</v>
      </c>
      <c r="W260" s="1">
        <f t="shared" ref="W260:W317" si="39">MIN(T260,V260)</f>
        <v>0.41</v>
      </c>
      <c r="X260" s="1">
        <f t="shared" ref="X260:X317" si="40">VLOOKUP(P260,$E:$K,7,FALSE)</f>
        <v>0.98</v>
      </c>
      <c r="Y260" s="1">
        <f t="shared" ref="Y260:Y317" si="41">X260*W260*100</f>
        <v>40.18</v>
      </c>
      <c r="Z260" s="1">
        <f t="shared" ref="Z260:Z317" si="42">(Y260*Q260)</f>
        <v>5.5161198341600786</v>
      </c>
    </row>
    <row r="261" spans="13:26" x14ac:dyDescent="0.25">
      <c r="M261" s="2">
        <v>2024</v>
      </c>
      <c r="N261" s="2" t="s">
        <v>63</v>
      </c>
      <c r="O261" s="2" t="s">
        <v>91</v>
      </c>
      <c r="P261" s="2" t="s">
        <v>90</v>
      </c>
      <c r="Q261" s="1">
        <v>0.84052104396595462</v>
      </c>
      <c r="R261" s="1">
        <v>134.04475416045031</v>
      </c>
      <c r="S261" s="1">
        <v>0.62704508597170383</v>
      </c>
      <c r="T261" s="1">
        <f t="shared" si="36"/>
        <v>0.7</v>
      </c>
      <c r="U261" s="1">
        <f t="shared" si="37"/>
        <v>41</v>
      </c>
      <c r="V261" s="1">
        <f t="shared" si="38"/>
        <v>0.41</v>
      </c>
      <c r="W261" s="1">
        <f t="shared" si="39"/>
        <v>0.41</v>
      </c>
      <c r="X261" s="1">
        <f t="shared" si="40"/>
        <v>0.98</v>
      </c>
      <c r="Y261" s="1">
        <f t="shared" si="41"/>
        <v>40.18</v>
      </c>
      <c r="Z261" s="1">
        <f t="shared" si="42"/>
        <v>33.772135546552057</v>
      </c>
    </row>
    <row r="262" spans="13:26" x14ac:dyDescent="0.25">
      <c r="M262" s="2">
        <v>2024</v>
      </c>
      <c r="N262" s="2" t="s">
        <v>63</v>
      </c>
      <c r="O262" s="2" t="s">
        <v>89</v>
      </c>
      <c r="P262" s="2" t="str">
        <f>O262</f>
        <v>S1</v>
      </c>
      <c r="Q262" s="1">
        <v>20.967632178062939</v>
      </c>
      <c r="R262" s="1">
        <v>134.04475416045031</v>
      </c>
      <c r="S262" s="1">
        <v>15.642262399142369</v>
      </c>
      <c r="T262" s="1">
        <f t="shared" si="36"/>
        <v>0.7</v>
      </c>
      <c r="U262" s="1">
        <f t="shared" si="37"/>
        <v>109</v>
      </c>
      <c r="V262" s="1">
        <f t="shared" si="38"/>
        <v>1.0900000000000001</v>
      </c>
      <c r="W262" s="1">
        <f t="shared" si="39"/>
        <v>0.7</v>
      </c>
      <c r="X262" s="1">
        <f t="shared" si="40"/>
        <v>1.1699999999999997</v>
      </c>
      <c r="Y262" s="1">
        <f t="shared" si="41"/>
        <v>81.899999999999977</v>
      </c>
      <c r="Z262" s="1">
        <f t="shared" si="42"/>
        <v>1717.2490753833542</v>
      </c>
    </row>
    <row r="263" spans="13:26" x14ac:dyDescent="0.25">
      <c r="M263" s="2">
        <v>2024</v>
      </c>
      <c r="N263" s="2" t="s">
        <v>63</v>
      </c>
      <c r="O263" s="2" t="s">
        <v>88</v>
      </c>
      <c r="P263" s="2" t="str">
        <f>O263</f>
        <v>S2</v>
      </c>
      <c r="Q263" s="1">
        <v>92.254835090409941</v>
      </c>
      <c r="R263" s="1">
        <v>134.04475416045031</v>
      </c>
      <c r="S263" s="1">
        <v>68.823905618851569</v>
      </c>
      <c r="T263" s="1">
        <f t="shared" si="36"/>
        <v>0.7</v>
      </c>
      <c r="U263" s="1">
        <f t="shared" si="37"/>
        <v>81</v>
      </c>
      <c r="V263" s="1">
        <f t="shared" si="38"/>
        <v>0.81</v>
      </c>
      <c r="W263" s="1">
        <f t="shared" si="39"/>
        <v>0.7</v>
      </c>
      <c r="X263" s="1">
        <f t="shared" si="40"/>
        <v>1.04</v>
      </c>
      <c r="Y263" s="1">
        <f t="shared" si="41"/>
        <v>72.8</v>
      </c>
      <c r="Z263" s="1">
        <f t="shared" si="42"/>
        <v>6716.1519945818436</v>
      </c>
    </row>
    <row r="264" spans="13:26" x14ac:dyDescent="0.25">
      <c r="M264" s="2">
        <v>2024</v>
      </c>
      <c r="N264" s="2" t="s">
        <v>63</v>
      </c>
      <c r="O264" s="2" t="s">
        <v>87</v>
      </c>
      <c r="P264" s="2" t="str">
        <f>O264</f>
        <v>S3</v>
      </c>
      <c r="Q264" s="1">
        <v>19.844480635613259</v>
      </c>
      <c r="R264" s="1">
        <v>134.04475416045031</v>
      </c>
      <c r="S264" s="1">
        <v>14.80436945101156</v>
      </c>
      <c r="T264" s="1">
        <f t="shared" si="36"/>
        <v>0.7</v>
      </c>
      <c r="U264" s="1">
        <f t="shared" si="37"/>
        <v>59</v>
      </c>
      <c r="V264" s="1">
        <f t="shared" si="38"/>
        <v>0.59</v>
      </c>
      <c r="W264" s="1">
        <f t="shared" si="39"/>
        <v>0.59</v>
      </c>
      <c r="X264" s="1">
        <f t="shared" si="40"/>
        <v>0.99999999999999978</v>
      </c>
      <c r="Y264" s="1">
        <f t="shared" si="41"/>
        <v>58.999999999999986</v>
      </c>
      <c r="Z264" s="1">
        <f t="shared" si="42"/>
        <v>1170.824357501182</v>
      </c>
    </row>
    <row r="265" spans="13:26" x14ac:dyDescent="0.25">
      <c r="M265" s="2">
        <v>2024</v>
      </c>
      <c r="N265" s="2" t="s">
        <v>62</v>
      </c>
      <c r="O265" s="2" t="s">
        <v>91</v>
      </c>
      <c r="P265" s="2" t="s">
        <v>90</v>
      </c>
      <c r="Q265" s="1">
        <v>0.19469610815628829</v>
      </c>
      <c r="R265" s="1">
        <v>38.340081074907708</v>
      </c>
      <c r="S265" s="1">
        <v>0.50781350142660575</v>
      </c>
      <c r="T265" s="1">
        <f t="shared" si="36"/>
        <v>1</v>
      </c>
      <c r="U265" s="1">
        <f t="shared" si="37"/>
        <v>41</v>
      </c>
      <c r="V265" s="1">
        <f t="shared" si="38"/>
        <v>0.41</v>
      </c>
      <c r="W265" s="1">
        <f t="shared" si="39"/>
        <v>0.41</v>
      </c>
      <c r="X265" s="1">
        <f t="shared" si="40"/>
        <v>0.98</v>
      </c>
      <c r="Y265" s="1">
        <f t="shared" si="41"/>
        <v>40.18</v>
      </c>
      <c r="Z265" s="1">
        <f t="shared" si="42"/>
        <v>7.8228896257196636</v>
      </c>
    </row>
    <row r="266" spans="13:26" x14ac:dyDescent="0.25">
      <c r="M266" s="2">
        <v>2024</v>
      </c>
      <c r="N266" s="2" t="s">
        <v>62</v>
      </c>
      <c r="O266" s="2" t="s">
        <v>89</v>
      </c>
      <c r="P266" s="2" t="str">
        <f t="shared" ref="P266:P271" si="43">O266</f>
        <v>S1</v>
      </c>
      <c r="Q266" s="1">
        <v>3.8442771508025788</v>
      </c>
      <c r="R266" s="1">
        <v>38.340081074907708</v>
      </c>
      <c r="S266" s="1">
        <v>10.026784093887921</v>
      </c>
      <c r="T266" s="1">
        <f t="shared" si="36"/>
        <v>1</v>
      </c>
      <c r="U266" s="1">
        <f t="shared" si="37"/>
        <v>109</v>
      </c>
      <c r="V266" s="1">
        <f t="shared" si="38"/>
        <v>1.0900000000000001</v>
      </c>
      <c r="W266" s="1">
        <f t="shared" si="39"/>
        <v>1</v>
      </c>
      <c r="X266" s="1">
        <f t="shared" si="40"/>
        <v>1.1699999999999997</v>
      </c>
      <c r="Y266" s="1">
        <f t="shared" si="41"/>
        <v>116.99999999999997</v>
      </c>
      <c r="Z266" s="1">
        <f t="shared" si="42"/>
        <v>449.78042664390159</v>
      </c>
    </row>
    <row r="267" spans="13:26" x14ac:dyDescent="0.25">
      <c r="M267" s="2">
        <v>2024</v>
      </c>
      <c r="N267" s="2" t="s">
        <v>62</v>
      </c>
      <c r="O267" s="2" t="s">
        <v>88</v>
      </c>
      <c r="P267" s="2" t="str">
        <f t="shared" si="43"/>
        <v>S2</v>
      </c>
      <c r="Q267" s="1">
        <v>31.18687984220163</v>
      </c>
      <c r="R267" s="1">
        <v>38.340081074907708</v>
      </c>
      <c r="S267" s="1">
        <v>81.342759242656882</v>
      </c>
      <c r="T267" s="1">
        <f t="shared" si="36"/>
        <v>1</v>
      </c>
      <c r="U267" s="1">
        <f t="shared" si="37"/>
        <v>81</v>
      </c>
      <c r="V267" s="1">
        <f t="shared" si="38"/>
        <v>0.81</v>
      </c>
      <c r="W267" s="1">
        <f t="shared" si="39"/>
        <v>0.81</v>
      </c>
      <c r="X267" s="1">
        <f t="shared" si="40"/>
        <v>1.04</v>
      </c>
      <c r="Y267" s="1">
        <f t="shared" si="41"/>
        <v>84.240000000000009</v>
      </c>
      <c r="Z267" s="1">
        <f t="shared" si="42"/>
        <v>2627.1827579070655</v>
      </c>
    </row>
    <row r="268" spans="13:26" x14ac:dyDescent="0.25">
      <c r="M268" s="2">
        <v>2024</v>
      </c>
      <c r="N268" s="2" t="s">
        <v>62</v>
      </c>
      <c r="O268" s="2" t="s">
        <v>87</v>
      </c>
      <c r="P268" s="2" t="str">
        <f t="shared" si="43"/>
        <v>S3</v>
      </c>
      <c r="Q268" s="1">
        <v>3.1142279737472029</v>
      </c>
      <c r="R268" s="1">
        <v>38.340081074907708</v>
      </c>
      <c r="S268" s="1">
        <v>8.1226431620285773</v>
      </c>
      <c r="T268" s="1">
        <f t="shared" si="36"/>
        <v>1</v>
      </c>
      <c r="U268" s="1">
        <f t="shared" si="37"/>
        <v>59</v>
      </c>
      <c r="V268" s="1">
        <f t="shared" si="38"/>
        <v>0.59</v>
      </c>
      <c r="W268" s="1">
        <f t="shared" si="39"/>
        <v>0.59</v>
      </c>
      <c r="X268" s="1">
        <f t="shared" si="40"/>
        <v>0.99999999999999978</v>
      </c>
      <c r="Y268" s="1">
        <f t="shared" si="41"/>
        <v>58.999999999999986</v>
      </c>
      <c r="Z268" s="1">
        <f t="shared" si="42"/>
        <v>183.73945045108493</v>
      </c>
    </row>
    <row r="269" spans="13:26" x14ac:dyDescent="0.25">
      <c r="M269" s="2">
        <v>2024</v>
      </c>
      <c r="N269" s="2" t="s">
        <v>61</v>
      </c>
      <c r="O269" s="2" t="s">
        <v>89</v>
      </c>
      <c r="P269" s="2" t="str">
        <f t="shared" si="43"/>
        <v>S1</v>
      </c>
      <c r="Q269" s="1">
        <v>34.353808964377897</v>
      </c>
      <c r="R269" s="1">
        <v>217.29429224631139</v>
      </c>
      <c r="S269" s="1">
        <v>15.809807339732849</v>
      </c>
      <c r="T269" s="1">
        <f t="shared" si="36"/>
        <v>0.6</v>
      </c>
      <c r="U269" s="1">
        <f t="shared" si="37"/>
        <v>109</v>
      </c>
      <c r="V269" s="1">
        <f t="shared" si="38"/>
        <v>1.0900000000000001</v>
      </c>
      <c r="W269" s="1">
        <f t="shared" si="39"/>
        <v>0.6</v>
      </c>
      <c r="X269" s="1">
        <f t="shared" si="40"/>
        <v>1.1699999999999997</v>
      </c>
      <c r="Y269" s="1">
        <f t="shared" si="41"/>
        <v>70.199999999999989</v>
      </c>
      <c r="Z269" s="1">
        <f t="shared" si="42"/>
        <v>2411.6373892993279</v>
      </c>
    </row>
    <row r="270" spans="13:26" x14ac:dyDescent="0.25">
      <c r="M270" s="2">
        <v>2024</v>
      </c>
      <c r="N270" s="2" t="s">
        <v>61</v>
      </c>
      <c r="O270" s="2" t="s">
        <v>88</v>
      </c>
      <c r="P270" s="2" t="str">
        <f t="shared" si="43"/>
        <v>S2</v>
      </c>
      <c r="Q270" s="1">
        <v>121.5330781208624</v>
      </c>
      <c r="R270" s="1">
        <v>217.29429224631139</v>
      </c>
      <c r="S270" s="1">
        <v>55.930175093186513</v>
      </c>
      <c r="T270" s="1">
        <f t="shared" si="36"/>
        <v>0.6</v>
      </c>
      <c r="U270" s="1">
        <f t="shared" si="37"/>
        <v>81</v>
      </c>
      <c r="V270" s="1">
        <f t="shared" si="38"/>
        <v>0.81</v>
      </c>
      <c r="W270" s="1">
        <f t="shared" si="39"/>
        <v>0.6</v>
      </c>
      <c r="X270" s="1">
        <f t="shared" si="40"/>
        <v>1.04</v>
      </c>
      <c r="Y270" s="1">
        <f t="shared" si="41"/>
        <v>62.4</v>
      </c>
      <c r="Z270" s="1">
        <f t="shared" si="42"/>
        <v>7583.6640747418132</v>
      </c>
    </row>
    <row r="271" spans="13:26" x14ac:dyDescent="0.25">
      <c r="M271" s="2">
        <v>2024</v>
      </c>
      <c r="N271" s="2" t="s">
        <v>61</v>
      </c>
      <c r="O271" s="2" t="s">
        <v>87</v>
      </c>
      <c r="P271" s="2" t="str">
        <f t="shared" si="43"/>
        <v>S3</v>
      </c>
      <c r="Q271" s="1">
        <v>61.407405161071168</v>
      </c>
      <c r="R271" s="1">
        <v>217.29429224631139</v>
      </c>
      <c r="S271" s="1">
        <v>28.260017567080649</v>
      </c>
      <c r="T271" s="1">
        <f t="shared" si="36"/>
        <v>0.6</v>
      </c>
      <c r="U271" s="1">
        <f t="shared" si="37"/>
        <v>59</v>
      </c>
      <c r="V271" s="1">
        <f t="shared" si="38"/>
        <v>0.59</v>
      </c>
      <c r="W271" s="1">
        <f t="shared" si="39"/>
        <v>0.59</v>
      </c>
      <c r="X271" s="1">
        <f t="shared" si="40"/>
        <v>0.99999999999999978</v>
      </c>
      <c r="Y271" s="1">
        <f t="shared" si="41"/>
        <v>58.999999999999986</v>
      </c>
      <c r="Z271" s="1">
        <f t="shared" si="42"/>
        <v>3623.036904503198</v>
      </c>
    </row>
    <row r="272" spans="13:26" x14ac:dyDescent="0.25">
      <c r="M272" s="2">
        <v>2024</v>
      </c>
      <c r="N272" s="2" t="s">
        <v>60</v>
      </c>
      <c r="O272" s="2" t="s">
        <v>92</v>
      </c>
      <c r="P272" s="2" t="s">
        <v>90</v>
      </c>
      <c r="Q272" s="1">
        <v>0.14015298306918239</v>
      </c>
      <c r="R272" s="1">
        <v>242.59431091087831</v>
      </c>
      <c r="S272" s="1">
        <v>5.7772576175815743E-2</v>
      </c>
      <c r="T272" s="1">
        <f t="shared" si="36"/>
        <v>0.6</v>
      </c>
      <c r="U272" s="1">
        <f t="shared" si="37"/>
        <v>41</v>
      </c>
      <c r="V272" s="1">
        <f t="shared" si="38"/>
        <v>0.41</v>
      </c>
      <c r="W272" s="1">
        <f t="shared" si="39"/>
        <v>0.41</v>
      </c>
      <c r="X272" s="1">
        <f t="shared" si="40"/>
        <v>0.98</v>
      </c>
      <c r="Y272" s="1">
        <f t="shared" si="41"/>
        <v>40.18</v>
      </c>
      <c r="Z272" s="1">
        <f t="shared" si="42"/>
        <v>5.6313468597197485</v>
      </c>
    </row>
    <row r="273" spans="13:26" x14ac:dyDescent="0.25">
      <c r="M273" s="2">
        <v>2024</v>
      </c>
      <c r="N273" s="2" t="s">
        <v>60</v>
      </c>
      <c r="O273" s="2" t="s">
        <v>91</v>
      </c>
      <c r="P273" s="2" t="s">
        <v>90</v>
      </c>
      <c r="Q273" s="1">
        <v>4.7423552851432023E-2</v>
      </c>
      <c r="R273" s="1">
        <v>242.59431091087831</v>
      </c>
      <c r="S273" s="1">
        <v>1.9548501641843519E-2</v>
      </c>
      <c r="T273" s="1">
        <f t="shared" si="36"/>
        <v>0.6</v>
      </c>
      <c r="U273" s="1">
        <f t="shared" si="37"/>
        <v>41</v>
      </c>
      <c r="V273" s="1">
        <f t="shared" si="38"/>
        <v>0.41</v>
      </c>
      <c r="W273" s="1">
        <f t="shared" si="39"/>
        <v>0.41</v>
      </c>
      <c r="X273" s="1">
        <f t="shared" si="40"/>
        <v>0.98</v>
      </c>
      <c r="Y273" s="1">
        <f t="shared" si="41"/>
        <v>40.18</v>
      </c>
      <c r="Z273" s="1">
        <f t="shared" si="42"/>
        <v>1.9054783535705386</v>
      </c>
    </row>
    <row r="274" spans="13:26" x14ac:dyDescent="0.25">
      <c r="M274" s="2">
        <v>2024</v>
      </c>
      <c r="N274" s="2" t="s">
        <v>60</v>
      </c>
      <c r="O274" s="2" t="s">
        <v>89</v>
      </c>
      <c r="P274" s="2" t="str">
        <f>O274</f>
        <v>S1</v>
      </c>
      <c r="Q274" s="1">
        <v>21.278022829534841</v>
      </c>
      <c r="R274" s="1">
        <v>242.59431091087831</v>
      </c>
      <c r="S274" s="1">
        <v>8.7710312536355115</v>
      </c>
      <c r="T274" s="1">
        <f t="shared" si="36"/>
        <v>0.6</v>
      </c>
      <c r="U274" s="1">
        <f t="shared" si="37"/>
        <v>109</v>
      </c>
      <c r="V274" s="1">
        <f t="shared" si="38"/>
        <v>1.0900000000000001</v>
      </c>
      <c r="W274" s="1">
        <f t="shared" si="39"/>
        <v>0.6</v>
      </c>
      <c r="X274" s="1">
        <f t="shared" si="40"/>
        <v>1.1699999999999997</v>
      </c>
      <c r="Y274" s="1">
        <f t="shared" si="41"/>
        <v>70.199999999999989</v>
      </c>
      <c r="Z274" s="1">
        <f t="shared" si="42"/>
        <v>1493.7172026333456</v>
      </c>
    </row>
    <row r="275" spans="13:26" x14ac:dyDescent="0.25">
      <c r="M275" s="2">
        <v>2024</v>
      </c>
      <c r="N275" s="2" t="s">
        <v>60</v>
      </c>
      <c r="O275" s="2" t="s">
        <v>88</v>
      </c>
      <c r="P275" s="2" t="str">
        <f>O275</f>
        <v>S2</v>
      </c>
      <c r="Q275" s="1">
        <v>124.0740360517208</v>
      </c>
      <c r="R275" s="1">
        <v>242.59431091087831</v>
      </c>
      <c r="S275" s="1">
        <v>51.144660229605229</v>
      </c>
      <c r="T275" s="1">
        <f t="shared" si="36"/>
        <v>0.6</v>
      </c>
      <c r="U275" s="1">
        <f t="shared" si="37"/>
        <v>81</v>
      </c>
      <c r="V275" s="1">
        <f t="shared" si="38"/>
        <v>0.81</v>
      </c>
      <c r="W275" s="1">
        <f t="shared" si="39"/>
        <v>0.6</v>
      </c>
      <c r="X275" s="1">
        <f t="shared" si="40"/>
        <v>1.04</v>
      </c>
      <c r="Y275" s="1">
        <f t="shared" si="41"/>
        <v>62.4</v>
      </c>
      <c r="Z275" s="1">
        <f t="shared" si="42"/>
        <v>7742.2198496273777</v>
      </c>
    </row>
    <row r="276" spans="13:26" x14ac:dyDescent="0.25">
      <c r="M276" s="2">
        <v>2024</v>
      </c>
      <c r="N276" s="2" t="s">
        <v>60</v>
      </c>
      <c r="O276" s="2" t="s">
        <v>87</v>
      </c>
      <c r="P276" s="2" t="str">
        <f>O276</f>
        <v>S3</v>
      </c>
      <c r="Q276" s="1">
        <v>97.054675493702007</v>
      </c>
      <c r="R276" s="1">
        <v>242.59431091087831</v>
      </c>
      <c r="S276" s="1">
        <v>40.006987438941607</v>
      </c>
      <c r="T276" s="1">
        <f t="shared" si="36"/>
        <v>0.6</v>
      </c>
      <c r="U276" s="1">
        <f t="shared" si="37"/>
        <v>59</v>
      </c>
      <c r="V276" s="1">
        <f t="shared" si="38"/>
        <v>0.59</v>
      </c>
      <c r="W276" s="1">
        <f t="shared" si="39"/>
        <v>0.59</v>
      </c>
      <c r="X276" s="1">
        <f t="shared" si="40"/>
        <v>0.99999999999999978</v>
      </c>
      <c r="Y276" s="1">
        <f t="shared" si="41"/>
        <v>58.999999999999986</v>
      </c>
      <c r="Z276" s="1">
        <f t="shared" si="42"/>
        <v>5726.2258541284173</v>
      </c>
    </row>
    <row r="277" spans="13:26" x14ac:dyDescent="0.25">
      <c r="M277" s="2">
        <v>2024</v>
      </c>
      <c r="N277" s="2" t="s">
        <v>59</v>
      </c>
      <c r="O277" s="2" t="s">
        <v>91</v>
      </c>
      <c r="P277" s="2" t="s">
        <v>90</v>
      </c>
      <c r="Q277" s="1">
        <v>0.27323817820208501</v>
      </c>
      <c r="R277" s="1">
        <v>584.14242986840225</v>
      </c>
      <c r="S277" s="1">
        <v>4.6775951245938613E-2</v>
      </c>
      <c r="T277" s="1">
        <f t="shared" si="36"/>
        <v>0.6</v>
      </c>
      <c r="U277" s="1">
        <f t="shared" si="37"/>
        <v>41</v>
      </c>
      <c r="V277" s="1">
        <f t="shared" si="38"/>
        <v>0.41</v>
      </c>
      <c r="W277" s="1">
        <f t="shared" si="39"/>
        <v>0.41</v>
      </c>
      <c r="X277" s="1">
        <f t="shared" si="40"/>
        <v>0.98</v>
      </c>
      <c r="Y277" s="1">
        <f t="shared" si="41"/>
        <v>40.18</v>
      </c>
      <c r="Z277" s="1">
        <f t="shared" si="42"/>
        <v>10.978710000159776</v>
      </c>
    </row>
    <row r="278" spans="13:26" x14ac:dyDescent="0.25">
      <c r="M278" s="2">
        <v>2024</v>
      </c>
      <c r="N278" s="2" t="s">
        <v>59</v>
      </c>
      <c r="O278" s="2" t="s">
        <v>89</v>
      </c>
      <c r="P278" s="2" t="str">
        <f>O278</f>
        <v>S1</v>
      </c>
      <c r="Q278" s="1">
        <v>98.980367765287781</v>
      </c>
      <c r="R278" s="1">
        <v>584.14242986840225</v>
      </c>
      <c r="S278" s="1">
        <v>16.94456055650442</v>
      </c>
      <c r="T278" s="1">
        <f t="shared" si="36"/>
        <v>0.6</v>
      </c>
      <c r="U278" s="1">
        <f t="shared" si="37"/>
        <v>109</v>
      </c>
      <c r="V278" s="1">
        <f t="shared" si="38"/>
        <v>1.0900000000000001</v>
      </c>
      <c r="W278" s="1">
        <f t="shared" si="39"/>
        <v>0.6</v>
      </c>
      <c r="X278" s="1">
        <f t="shared" si="40"/>
        <v>1.1699999999999997</v>
      </c>
      <c r="Y278" s="1">
        <f t="shared" si="41"/>
        <v>70.199999999999989</v>
      </c>
      <c r="Z278" s="1">
        <f t="shared" si="42"/>
        <v>6948.4218171232014</v>
      </c>
    </row>
    <row r="279" spans="13:26" x14ac:dyDescent="0.25">
      <c r="M279" s="2">
        <v>2024</v>
      </c>
      <c r="N279" s="2" t="s">
        <v>59</v>
      </c>
      <c r="O279" s="2" t="s">
        <v>88</v>
      </c>
      <c r="P279" s="2" t="str">
        <f>O279</f>
        <v>S2</v>
      </c>
      <c r="Q279" s="1">
        <v>354.86446005493212</v>
      </c>
      <c r="R279" s="1">
        <v>584.14242986840225</v>
      </c>
      <c r="S279" s="1">
        <v>60.749646303706669</v>
      </c>
      <c r="T279" s="1">
        <f t="shared" si="36"/>
        <v>0.6</v>
      </c>
      <c r="U279" s="1">
        <f t="shared" si="37"/>
        <v>81</v>
      </c>
      <c r="V279" s="1">
        <f t="shared" si="38"/>
        <v>0.81</v>
      </c>
      <c r="W279" s="1">
        <f t="shared" si="39"/>
        <v>0.6</v>
      </c>
      <c r="X279" s="1">
        <f t="shared" si="40"/>
        <v>1.04</v>
      </c>
      <c r="Y279" s="1">
        <f t="shared" si="41"/>
        <v>62.4</v>
      </c>
      <c r="Z279" s="1">
        <f t="shared" si="42"/>
        <v>22143.542307427764</v>
      </c>
    </row>
    <row r="280" spans="13:26" x14ac:dyDescent="0.25">
      <c r="M280" s="2">
        <v>2024</v>
      </c>
      <c r="N280" s="2" t="s">
        <v>59</v>
      </c>
      <c r="O280" s="2" t="s">
        <v>87</v>
      </c>
      <c r="P280" s="2" t="str">
        <f>O280</f>
        <v>S3</v>
      </c>
      <c r="Q280" s="1">
        <v>130.02436386998019</v>
      </c>
      <c r="R280" s="1">
        <v>584.14242986840225</v>
      </c>
      <c r="S280" s="1">
        <v>22.25901718854297</v>
      </c>
      <c r="T280" s="1">
        <f t="shared" si="36"/>
        <v>0.6</v>
      </c>
      <c r="U280" s="1">
        <f t="shared" si="37"/>
        <v>59</v>
      </c>
      <c r="V280" s="1">
        <f t="shared" si="38"/>
        <v>0.59</v>
      </c>
      <c r="W280" s="1">
        <f t="shared" si="39"/>
        <v>0.59</v>
      </c>
      <c r="X280" s="1">
        <f t="shared" si="40"/>
        <v>0.99999999999999978</v>
      </c>
      <c r="Y280" s="1">
        <f t="shared" si="41"/>
        <v>58.999999999999986</v>
      </c>
      <c r="Z280" s="1">
        <f t="shared" si="42"/>
        <v>7671.4374683288297</v>
      </c>
    </row>
    <row r="281" spans="13:26" x14ac:dyDescent="0.25">
      <c r="M281" s="2">
        <v>2024</v>
      </c>
      <c r="N281" s="2" t="s">
        <v>58</v>
      </c>
      <c r="O281" s="2" t="s">
        <v>91</v>
      </c>
      <c r="P281" s="2" t="s">
        <v>90</v>
      </c>
      <c r="Q281" s="1">
        <v>0.510724725922025</v>
      </c>
      <c r="R281" s="1">
        <v>147.90441562365609</v>
      </c>
      <c r="S281" s="1">
        <v>0.34530728766176122</v>
      </c>
      <c r="T281" s="1">
        <f t="shared" si="36"/>
        <v>1</v>
      </c>
      <c r="U281" s="1">
        <f t="shared" si="37"/>
        <v>41</v>
      </c>
      <c r="V281" s="1">
        <f t="shared" si="38"/>
        <v>0.41</v>
      </c>
      <c r="W281" s="1">
        <f t="shared" si="39"/>
        <v>0.41</v>
      </c>
      <c r="X281" s="1">
        <f t="shared" si="40"/>
        <v>0.98</v>
      </c>
      <c r="Y281" s="1">
        <f t="shared" si="41"/>
        <v>40.18</v>
      </c>
      <c r="Z281" s="1">
        <f t="shared" si="42"/>
        <v>20.520919487546966</v>
      </c>
    </row>
    <row r="282" spans="13:26" x14ac:dyDescent="0.25">
      <c r="M282" s="2">
        <v>2024</v>
      </c>
      <c r="N282" s="2" t="s">
        <v>58</v>
      </c>
      <c r="O282" s="2" t="s">
        <v>89</v>
      </c>
      <c r="P282" s="2" t="str">
        <f>O282</f>
        <v>S1</v>
      </c>
      <c r="Q282" s="1">
        <v>21.657352576372801</v>
      </c>
      <c r="R282" s="1">
        <v>147.90441562365609</v>
      </c>
      <c r="S282" s="1">
        <v>14.64280324901191</v>
      </c>
      <c r="T282" s="1">
        <f t="shared" si="36"/>
        <v>1</v>
      </c>
      <c r="U282" s="1">
        <f t="shared" si="37"/>
        <v>109</v>
      </c>
      <c r="V282" s="1">
        <f t="shared" si="38"/>
        <v>1.0900000000000001</v>
      </c>
      <c r="W282" s="1">
        <f t="shared" si="39"/>
        <v>1</v>
      </c>
      <c r="X282" s="1">
        <f t="shared" si="40"/>
        <v>1.1699999999999997</v>
      </c>
      <c r="Y282" s="1">
        <f t="shared" si="41"/>
        <v>116.99999999999997</v>
      </c>
      <c r="Z282" s="1">
        <f t="shared" si="42"/>
        <v>2533.9102514356173</v>
      </c>
    </row>
    <row r="283" spans="13:26" x14ac:dyDescent="0.25">
      <c r="M283" s="2">
        <v>2024</v>
      </c>
      <c r="N283" s="2" t="s">
        <v>58</v>
      </c>
      <c r="O283" s="2" t="s">
        <v>88</v>
      </c>
      <c r="P283" s="2" t="str">
        <f>O283</f>
        <v>S2</v>
      </c>
      <c r="Q283" s="1">
        <v>103.9683090520862</v>
      </c>
      <c r="R283" s="1">
        <v>147.90441562365609</v>
      </c>
      <c r="S283" s="1">
        <v>70.294256336899608</v>
      </c>
      <c r="T283" s="1">
        <f t="shared" si="36"/>
        <v>1</v>
      </c>
      <c r="U283" s="1">
        <f t="shared" si="37"/>
        <v>81</v>
      </c>
      <c r="V283" s="1">
        <f t="shared" si="38"/>
        <v>0.81</v>
      </c>
      <c r="W283" s="1">
        <f t="shared" si="39"/>
        <v>0.81</v>
      </c>
      <c r="X283" s="1">
        <f t="shared" si="40"/>
        <v>1.04</v>
      </c>
      <c r="Y283" s="1">
        <f t="shared" si="41"/>
        <v>84.240000000000009</v>
      </c>
      <c r="Z283" s="1">
        <f t="shared" si="42"/>
        <v>8758.290354547742</v>
      </c>
    </row>
    <row r="284" spans="13:26" x14ac:dyDescent="0.25">
      <c r="M284" s="2">
        <v>2024</v>
      </c>
      <c r="N284" s="2" t="s">
        <v>58</v>
      </c>
      <c r="O284" s="2" t="s">
        <v>87</v>
      </c>
      <c r="P284" s="2" t="str">
        <f>O284</f>
        <v>S3</v>
      </c>
      <c r="Q284" s="1">
        <v>21.768029269275061</v>
      </c>
      <c r="R284" s="1">
        <v>147.90441562365609</v>
      </c>
      <c r="S284" s="1">
        <v>14.717633126426721</v>
      </c>
      <c r="T284" s="1">
        <f t="shared" si="36"/>
        <v>1</v>
      </c>
      <c r="U284" s="1">
        <f t="shared" si="37"/>
        <v>59</v>
      </c>
      <c r="V284" s="1">
        <f t="shared" si="38"/>
        <v>0.59</v>
      </c>
      <c r="W284" s="1">
        <f t="shared" si="39"/>
        <v>0.59</v>
      </c>
      <c r="X284" s="1">
        <f t="shared" si="40"/>
        <v>0.99999999999999978</v>
      </c>
      <c r="Y284" s="1">
        <f t="shared" si="41"/>
        <v>58.999999999999986</v>
      </c>
      <c r="Z284" s="1">
        <f t="shared" si="42"/>
        <v>1284.3137268872283</v>
      </c>
    </row>
    <row r="285" spans="13:26" x14ac:dyDescent="0.25">
      <c r="M285" s="2">
        <v>2025</v>
      </c>
      <c r="N285" s="2" t="s">
        <v>65</v>
      </c>
      <c r="O285" s="2" t="s">
        <v>92</v>
      </c>
      <c r="P285" s="2" t="s">
        <v>90</v>
      </c>
      <c r="Q285" s="1">
        <v>1.8977526839733281</v>
      </c>
      <c r="R285" s="1">
        <v>291.17195202384909</v>
      </c>
      <c r="S285" s="1">
        <v>0.65176356128487523</v>
      </c>
      <c r="T285" s="1">
        <f t="shared" si="36"/>
        <v>1</v>
      </c>
      <c r="U285" s="1">
        <f t="shared" si="37"/>
        <v>41</v>
      </c>
      <c r="V285" s="1">
        <f t="shared" si="38"/>
        <v>0.41</v>
      </c>
      <c r="W285" s="1">
        <f t="shared" si="39"/>
        <v>0.41</v>
      </c>
      <c r="X285" s="1">
        <f t="shared" si="40"/>
        <v>0.98</v>
      </c>
      <c r="Y285" s="1">
        <f t="shared" si="41"/>
        <v>40.18</v>
      </c>
      <c r="Z285" s="1">
        <f t="shared" si="42"/>
        <v>76.251702842048317</v>
      </c>
    </row>
    <row r="286" spans="13:26" x14ac:dyDescent="0.25">
      <c r="M286" s="2">
        <v>2025</v>
      </c>
      <c r="N286" s="2" t="s">
        <v>65</v>
      </c>
      <c r="O286" s="2" t="s">
        <v>91</v>
      </c>
      <c r="P286" s="2" t="s">
        <v>90</v>
      </c>
      <c r="Q286" s="1">
        <v>0.116391038263466</v>
      </c>
      <c r="R286" s="1">
        <v>291.17195202384909</v>
      </c>
      <c r="S286" s="1">
        <v>3.9973300125395572E-2</v>
      </c>
      <c r="T286" s="1">
        <f t="shared" si="36"/>
        <v>1</v>
      </c>
      <c r="U286" s="1">
        <f t="shared" si="37"/>
        <v>41</v>
      </c>
      <c r="V286" s="1">
        <f t="shared" si="38"/>
        <v>0.41</v>
      </c>
      <c r="W286" s="1">
        <f t="shared" si="39"/>
        <v>0.41</v>
      </c>
      <c r="X286" s="1">
        <f t="shared" si="40"/>
        <v>0.98</v>
      </c>
      <c r="Y286" s="1">
        <f t="shared" si="41"/>
        <v>40.18</v>
      </c>
      <c r="Z286" s="1">
        <f t="shared" si="42"/>
        <v>4.6765919174260642</v>
      </c>
    </row>
    <row r="287" spans="13:26" x14ac:dyDescent="0.25">
      <c r="M287" s="2">
        <v>2025</v>
      </c>
      <c r="N287" s="2" t="s">
        <v>65</v>
      </c>
      <c r="O287" s="2" t="s">
        <v>89</v>
      </c>
      <c r="P287" s="2" t="str">
        <f>O287</f>
        <v>S1</v>
      </c>
      <c r="Q287" s="1">
        <v>49.92205319917818</v>
      </c>
      <c r="R287" s="1">
        <v>291.17195202384909</v>
      </c>
      <c r="S287" s="1">
        <v>17.14521362795589</v>
      </c>
      <c r="T287" s="1">
        <f t="shared" si="36"/>
        <v>1</v>
      </c>
      <c r="U287" s="1">
        <f t="shared" si="37"/>
        <v>109</v>
      </c>
      <c r="V287" s="1">
        <f t="shared" si="38"/>
        <v>1.0900000000000001</v>
      </c>
      <c r="W287" s="1">
        <f t="shared" si="39"/>
        <v>1</v>
      </c>
      <c r="X287" s="1">
        <f t="shared" si="40"/>
        <v>1.1699999999999997</v>
      </c>
      <c r="Y287" s="1">
        <f t="shared" si="41"/>
        <v>116.99999999999997</v>
      </c>
      <c r="Z287" s="1">
        <f t="shared" si="42"/>
        <v>5840.8802243038454</v>
      </c>
    </row>
    <row r="288" spans="13:26" x14ac:dyDescent="0.25">
      <c r="M288" s="2">
        <v>2025</v>
      </c>
      <c r="N288" s="2" t="s">
        <v>65</v>
      </c>
      <c r="O288" s="2" t="s">
        <v>88</v>
      </c>
      <c r="P288" s="2" t="str">
        <f>O288</f>
        <v>S2</v>
      </c>
      <c r="Q288" s="1">
        <v>156.4064185232771</v>
      </c>
      <c r="R288" s="1">
        <v>291.17195202384909</v>
      </c>
      <c r="S288" s="1">
        <v>53.716169238191704</v>
      </c>
      <c r="T288" s="1">
        <f t="shared" si="36"/>
        <v>1</v>
      </c>
      <c r="U288" s="1">
        <f t="shared" si="37"/>
        <v>81</v>
      </c>
      <c r="V288" s="1">
        <f t="shared" si="38"/>
        <v>0.81</v>
      </c>
      <c r="W288" s="1">
        <f t="shared" si="39"/>
        <v>0.81</v>
      </c>
      <c r="X288" s="1">
        <f t="shared" si="40"/>
        <v>1.04</v>
      </c>
      <c r="Y288" s="1">
        <f t="shared" si="41"/>
        <v>84.240000000000009</v>
      </c>
      <c r="Z288" s="1">
        <f t="shared" si="42"/>
        <v>13175.676696400864</v>
      </c>
    </row>
    <row r="289" spans="13:26" x14ac:dyDescent="0.25">
      <c r="M289" s="2">
        <v>2025</v>
      </c>
      <c r="N289" s="2" t="s">
        <v>65</v>
      </c>
      <c r="O289" s="2" t="s">
        <v>87</v>
      </c>
      <c r="P289" s="2" t="str">
        <f>O289</f>
        <v>S3</v>
      </c>
      <c r="Q289" s="1">
        <v>82.829336579157015</v>
      </c>
      <c r="R289" s="1">
        <v>291.17195202384909</v>
      </c>
      <c r="S289" s="1">
        <v>28.446880272442129</v>
      </c>
      <c r="T289" s="1">
        <f t="shared" si="36"/>
        <v>1</v>
      </c>
      <c r="U289" s="1">
        <f t="shared" si="37"/>
        <v>59</v>
      </c>
      <c r="V289" s="1">
        <f t="shared" si="38"/>
        <v>0.59</v>
      </c>
      <c r="W289" s="1">
        <f t="shared" si="39"/>
        <v>0.59</v>
      </c>
      <c r="X289" s="1">
        <f t="shared" si="40"/>
        <v>0.99999999999999978</v>
      </c>
      <c r="Y289" s="1">
        <f t="shared" si="41"/>
        <v>58.999999999999986</v>
      </c>
      <c r="Z289" s="1">
        <f t="shared" si="42"/>
        <v>4886.9308581702626</v>
      </c>
    </row>
    <row r="290" spans="13:26" x14ac:dyDescent="0.25">
      <c r="M290" s="2">
        <v>2025</v>
      </c>
      <c r="N290" s="2" t="s">
        <v>64</v>
      </c>
      <c r="O290" s="2" t="s">
        <v>91</v>
      </c>
      <c r="P290" s="2" t="s">
        <v>90</v>
      </c>
      <c r="Q290" s="1">
        <v>2.395712466219154</v>
      </c>
      <c r="R290" s="1">
        <v>110.1550521446958</v>
      </c>
      <c r="S290" s="1">
        <v>2.1748548246994881</v>
      </c>
      <c r="T290" s="1">
        <f t="shared" si="36"/>
        <v>0.6</v>
      </c>
      <c r="U290" s="1">
        <f t="shared" si="37"/>
        <v>41</v>
      </c>
      <c r="V290" s="1">
        <f t="shared" si="38"/>
        <v>0.41</v>
      </c>
      <c r="W290" s="1">
        <f t="shared" si="39"/>
        <v>0.41</v>
      </c>
      <c r="X290" s="1">
        <f t="shared" si="40"/>
        <v>0.98</v>
      </c>
      <c r="Y290" s="1">
        <f t="shared" si="41"/>
        <v>40.18</v>
      </c>
      <c r="Z290" s="1">
        <f t="shared" si="42"/>
        <v>96.259726892685606</v>
      </c>
    </row>
    <row r="291" spans="13:26" x14ac:dyDescent="0.25">
      <c r="M291" s="2">
        <v>2025</v>
      </c>
      <c r="N291" s="2" t="s">
        <v>64</v>
      </c>
      <c r="O291" s="2" t="s">
        <v>89</v>
      </c>
      <c r="P291" s="2" t="str">
        <f>O291</f>
        <v>S1</v>
      </c>
      <c r="Q291" s="1">
        <v>5.6030118129227517</v>
      </c>
      <c r="R291" s="1">
        <v>110.1550521446958</v>
      </c>
      <c r="S291" s="1">
        <v>5.0864773824107772</v>
      </c>
      <c r="T291" s="1">
        <f t="shared" si="36"/>
        <v>0.6</v>
      </c>
      <c r="U291" s="1">
        <f t="shared" si="37"/>
        <v>109</v>
      </c>
      <c r="V291" s="1">
        <f t="shared" si="38"/>
        <v>1.0900000000000001</v>
      </c>
      <c r="W291" s="1">
        <f t="shared" si="39"/>
        <v>0.6</v>
      </c>
      <c r="X291" s="1">
        <f t="shared" si="40"/>
        <v>1.1699999999999997</v>
      </c>
      <c r="Y291" s="1">
        <f t="shared" si="41"/>
        <v>70.199999999999989</v>
      </c>
      <c r="Z291" s="1">
        <f t="shared" si="42"/>
        <v>393.3314292671771</v>
      </c>
    </row>
    <row r="292" spans="13:26" x14ac:dyDescent="0.25">
      <c r="M292" s="2">
        <v>2025</v>
      </c>
      <c r="N292" s="2" t="s">
        <v>64</v>
      </c>
      <c r="O292" s="2" t="s">
        <v>88</v>
      </c>
      <c r="P292" s="2" t="str">
        <f>O292</f>
        <v>S2</v>
      </c>
      <c r="Q292" s="1">
        <v>56.298065223017034</v>
      </c>
      <c r="R292" s="1">
        <v>110.1550521446958</v>
      </c>
      <c r="S292" s="1">
        <v>51.108019221002998</v>
      </c>
      <c r="T292" s="1">
        <f t="shared" si="36"/>
        <v>0.6</v>
      </c>
      <c r="U292" s="1">
        <f t="shared" si="37"/>
        <v>81</v>
      </c>
      <c r="V292" s="1">
        <f t="shared" si="38"/>
        <v>0.81</v>
      </c>
      <c r="W292" s="1">
        <f t="shared" si="39"/>
        <v>0.6</v>
      </c>
      <c r="X292" s="1">
        <f t="shared" si="40"/>
        <v>1.04</v>
      </c>
      <c r="Y292" s="1">
        <f t="shared" si="41"/>
        <v>62.4</v>
      </c>
      <c r="Z292" s="1">
        <f t="shared" si="42"/>
        <v>3512.9992699162626</v>
      </c>
    </row>
    <row r="293" spans="13:26" x14ac:dyDescent="0.25">
      <c r="M293" s="2">
        <v>2025</v>
      </c>
      <c r="N293" s="2" t="s">
        <v>64</v>
      </c>
      <c r="O293" s="2" t="s">
        <v>87</v>
      </c>
      <c r="P293" s="2" t="str">
        <f>O293</f>
        <v>S3</v>
      </c>
      <c r="Q293" s="1">
        <v>45.858262642536907</v>
      </c>
      <c r="R293" s="1">
        <v>110.1550521446958</v>
      </c>
      <c r="S293" s="1">
        <v>41.630648571886738</v>
      </c>
      <c r="T293" s="1">
        <f t="shared" si="36"/>
        <v>0.6</v>
      </c>
      <c r="U293" s="1">
        <f t="shared" si="37"/>
        <v>59</v>
      </c>
      <c r="V293" s="1">
        <f t="shared" si="38"/>
        <v>0.59</v>
      </c>
      <c r="W293" s="1">
        <f t="shared" si="39"/>
        <v>0.59</v>
      </c>
      <c r="X293" s="1">
        <f t="shared" si="40"/>
        <v>0.99999999999999978</v>
      </c>
      <c r="Y293" s="1">
        <f t="shared" si="41"/>
        <v>58.999999999999986</v>
      </c>
      <c r="Z293" s="1">
        <f t="shared" si="42"/>
        <v>2705.637495909677</v>
      </c>
    </row>
    <row r="294" spans="13:26" x14ac:dyDescent="0.25">
      <c r="M294" s="2">
        <v>2025</v>
      </c>
      <c r="N294" s="2" t="s">
        <v>63</v>
      </c>
      <c r="O294" s="2" t="s">
        <v>91</v>
      </c>
      <c r="P294" s="2" t="s">
        <v>90</v>
      </c>
      <c r="Q294" s="1">
        <v>0.81306150372221875</v>
      </c>
      <c r="R294" s="1">
        <v>209.4542030099409</v>
      </c>
      <c r="S294" s="1">
        <v>0.38818104007377219</v>
      </c>
      <c r="T294" s="1">
        <f t="shared" si="36"/>
        <v>0.7</v>
      </c>
      <c r="U294" s="1">
        <f t="shared" si="37"/>
        <v>41</v>
      </c>
      <c r="V294" s="1">
        <f t="shared" si="38"/>
        <v>0.41</v>
      </c>
      <c r="W294" s="1">
        <f t="shared" si="39"/>
        <v>0.41</v>
      </c>
      <c r="X294" s="1">
        <f t="shared" si="40"/>
        <v>0.98</v>
      </c>
      <c r="Y294" s="1">
        <f t="shared" si="41"/>
        <v>40.18</v>
      </c>
      <c r="Z294" s="1">
        <f t="shared" si="42"/>
        <v>32.668811219558748</v>
      </c>
    </row>
    <row r="295" spans="13:26" x14ac:dyDescent="0.25">
      <c r="M295" s="2">
        <v>2025</v>
      </c>
      <c r="N295" s="2" t="s">
        <v>63</v>
      </c>
      <c r="O295" s="2" t="s">
        <v>89</v>
      </c>
      <c r="P295" s="2" t="str">
        <f>O295</f>
        <v>S1</v>
      </c>
      <c r="Q295" s="1">
        <v>29.55008152111424</v>
      </c>
      <c r="R295" s="1">
        <v>209.4542030099409</v>
      </c>
      <c r="S295" s="1">
        <v>14.108134903223579</v>
      </c>
      <c r="T295" s="1">
        <f t="shared" si="36"/>
        <v>0.7</v>
      </c>
      <c r="U295" s="1">
        <f t="shared" si="37"/>
        <v>109</v>
      </c>
      <c r="V295" s="1">
        <f t="shared" si="38"/>
        <v>1.0900000000000001</v>
      </c>
      <c r="W295" s="1">
        <f t="shared" si="39"/>
        <v>0.7</v>
      </c>
      <c r="X295" s="1">
        <f t="shared" si="40"/>
        <v>1.1699999999999997</v>
      </c>
      <c r="Y295" s="1">
        <f t="shared" si="41"/>
        <v>81.899999999999977</v>
      </c>
      <c r="Z295" s="1">
        <f t="shared" si="42"/>
        <v>2420.1516765792558</v>
      </c>
    </row>
    <row r="296" spans="13:26" x14ac:dyDescent="0.25">
      <c r="M296" s="2">
        <v>2025</v>
      </c>
      <c r="N296" s="2" t="s">
        <v>63</v>
      </c>
      <c r="O296" s="2" t="s">
        <v>88</v>
      </c>
      <c r="P296" s="2" t="str">
        <f>O296</f>
        <v>S2</v>
      </c>
      <c r="Q296" s="1">
        <v>105.63082898820559</v>
      </c>
      <c r="R296" s="1">
        <v>209.4542030099409</v>
      </c>
      <c r="S296" s="1">
        <v>50.431467819813733</v>
      </c>
      <c r="T296" s="1">
        <f t="shared" si="36"/>
        <v>0.7</v>
      </c>
      <c r="U296" s="1">
        <f t="shared" si="37"/>
        <v>81</v>
      </c>
      <c r="V296" s="1">
        <f t="shared" si="38"/>
        <v>0.81</v>
      </c>
      <c r="W296" s="1">
        <f t="shared" si="39"/>
        <v>0.7</v>
      </c>
      <c r="X296" s="1">
        <f t="shared" si="40"/>
        <v>1.04</v>
      </c>
      <c r="Y296" s="1">
        <f t="shared" si="41"/>
        <v>72.8</v>
      </c>
      <c r="Z296" s="1">
        <f t="shared" si="42"/>
        <v>7689.9243503413672</v>
      </c>
    </row>
    <row r="297" spans="13:26" x14ac:dyDescent="0.25">
      <c r="M297" s="2">
        <v>2025</v>
      </c>
      <c r="N297" s="2" t="s">
        <v>63</v>
      </c>
      <c r="O297" s="2" t="s">
        <v>87</v>
      </c>
      <c r="P297" s="2" t="str">
        <f>O297</f>
        <v>S3</v>
      </c>
      <c r="Q297" s="1">
        <v>73.460230996898758</v>
      </c>
      <c r="R297" s="1">
        <v>209.4542030099409</v>
      </c>
      <c r="S297" s="1">
        <v>35.072216236888913</v>
      </c>
      <c r="T297" s="1">
        <f t="shared" si="36"/>
        <v>0.7</v>
      </c>
      <c r="U297" s="1">
        <f t="shared" si="37"/>
        <v>59</v>
      </c>
      <c r="V297" s="1">
        <f t="shared" si="38"/>
        <v>0.59</v>
      </c>
      <c r="W297" s="1">
        <f t="shared" si="39"/>
        <v>0.59</v>
      </c>
      <c r="X297" s="1">
        <f t="shared" si="40"/>
        <v>0.99999999999999978</v>
      </c>
      <c r="Y297" s="1">
        <f t="shared" si="41"/>
        <v>58.999999999999986</v>
      </c>
      <c r="Z297" s="1">
        <f t="shared" si="42"/>
        <v>4334.1536288170255</v>
      </c>
    </row>
    <row r="298" spans="13:26" x14ac:dyDescent="0.25">
      <c r="M298" s="2">
        <v>2025</v>
      </c>
      <c r="N298" s="2" t="s">
        <v>62</v>
      </c>
      <c r="O298" s="2" t="s">
        <v>91</v>
      </c>
      <c r="P298" s="2" t="s">
        <v>90</v>
      </c>
      <c r="Q298" s="1">
        <v>0.19469610815628829</v>
      </c>
      <c r="R298" s="1">
        <v>38.340081074907708</v>
      </c>
      <c r="S298" s="1">
        <v>0.50781350142660575</v>
      </c>
      <c r="T298" s="1">
        <f t="shared" si="36"/>
        <v>1</v>
      </c>
      <c r="U298" s="1">
        <f t="shared" si="37"/>
        <v>41</v>
      </c>
      <c r="V298" s="1">
        <f t="shared" si="38"/>
        <v>0.41</v>
      </c>
      <c r="W298" s="1">
        <f t="shared" si="39"/>
        <v>0.41</v>
      </c>
      <c r="X298" s="1">
        <f t="shared" si="40"/>
        <v>0.98</v>
      </c>
      <c r="Y298" s="1">
        <f t="shared" si="41"/>
        <v>40.18</v>
      </c>
      <c r="Z298" s="1">
        <f t="shared" si="42"/>
        <v>7.8228896257196636</v>
      </c>
    </row>
    <row r="299" spans="13:26" x14ac:dyDescent="0.25">
      <c r="M299" s="2">
        <v>2025</v>
      </c>
      <c r="N299" s="2" t="s">
        <v>62</v>
      </c>
      <c r="O299" s="2" t="s">
        <v>89</v>
      </c>
      <c r="P299" s="2" t="str">
        <f t="shared" ref="P299:P304" si="44">O299</f>
        <v>S1</v>
      </c>
      <c r="Q299" s="1">
        <v>3.8442771508025788</v>
      </c>
      <c r="R299" s="1">
        <v>38.340081074907708</v>
      </c>
      <c r="S299" s="1">
        <v>10.026784093887921</v>
      </c>
      <c r="T299" s="1">
        <f t="shared" si="36"/>
        <v>1</v>
      </c>
      <c r="U299" s="1">
        <f t="shared" si="37"/>
        <v>109</v>
      </c>
      <c r="V299" s="1">
        <f t="shared" si="38"/>
        <v>1.0900000000000001</v>
      </c>
      <c r="W299" s="1">
        <f t="shared" si="39"/>
        <v>1</v>
      </c>
      <c r="X299" s="1">
        <f t="shared" si="40"/>
        <v>1.1699999999999997</v>
      </c>
      <c r="Y299" s="1">
        <f t="shared" si="41"/>
        <v>116.99999999999997</v>
      </c>
      <c r="Z299" s="1">
        <f t="shared" si="42"/>
        <v>449.78042664390159</v>
      </c>
    </row>
    <row r="300" spans="13:26" x14ac:dyDescent="0.25">
      <c r="M300" s="2">
        <v>2025</v>
      </c>
      <c r="N300" s="2" t="s">
        <v>62</v>
      </c>
      <c r="O300" s="2" t="s">
        <v>88</v>
      </c>
      <c r="P300" s="2" t="str">
        <f t="shared" si="44"/>
        <v>S2</v>
      </c>
      <c r="Q300" s="1">
        <v>31.18687984220163</v>
      </c>
      <c r="R300" s="1">
        <v>38.340081074907708</v>
      </c>
      <c r="S300" s="1">
        <v>81.342759242656882</v>
      </c>
      <c r="T300" s="1">
        <f t="shared" si="36"/>
        <v>1</v>
      </c>
      <c r="U300" s="1">
        <f t="shared" si="37"/>
        <v>81</v>
      </c>
      <c r="V300" s="1">
        <f t="shared" si="38"/>
        <v>0.81</v>
      </c>
      <c r="W300" s="1">
        <f t="shared" si="39"/>
        <v>0.81</v>
      </c>
      <c r="X300" s="1">
        <f t="shared" si="40"/>
        <v>1.04</v>
      </c>
      <c r="Y300" s="1">
        <f t="shared" si="41"/>
        <v>84.240000000000009</v>
      </c>
      <c r="Z300" s="1">
        <f t="shared" si="42"/>
        <v>2627.1827579070655</v>
      </c>
    </row>
    <row r="301" spans="13:26" x14ac:dyDescent="0.25">
      <c r="M301" s="2">
        <v>2025</v>
      </c>
      <c r="N301" s="2" t="s">
        <v>62</v>
      </c>
      <c r="O301" s="2" t="s">
        <v>87</v>
      </c>
      <c r="P301" s="2" t="str">
        <f t="shared" si="44"/>
        <v>S3</v>
      </c>
      <c r="Q301" s="1">
        <v>3.1142279737472029</v>
      </c>
      <c r="R301" s="1">
        <v>38.340081074907708</v>
      </c>
      <c r="S301" s="1">
        <v>8.1226431620285773</v>
      </c>
      <c r="T301" s="1">
        <f t="shared" si="36"/>
        <v>1</v>
      </c>
      <c r="U301" s="1">
        <f t="shared" si="37"/>
        <v>59</v>
      </c>
      <c r="V301" s="1">
        <f t="shared" si="38"/>
        <v>0.59</v>
      </c>
      <c r="W301" s="1">
        <f t="shared" si="39"/>
        <v>0.59</v>
      </c>
      <c r="X301" s="1">
        <f t="shared" si="40"/>
        <v>0.99999999999999978</v>
      </c>
      <c r="Y301" s="1">
        <f t="shared" si="41"/>
        <v>58.999999999999986</v>
      </c>
      <c r="Z301" s="1">
        <f t="shared" si="42"/>
        <v>183.73945045108493</v>
      </c>
    </row>
    <row r="302" spans="13:26" x14ac:dyDescent="0.25">
      <c r="M302" s="2">
        <v>2025</v>
      </c>
      <c r="N302" s="2" t="s">
        <v>61</v>
      </c>
      <c r="O302" s="2" t="s">
        <v>89</v>
      </c>
      <c r="P302" s="2" t="str">
        <f t="shared" si="44"/>
        <v>S1</v>
      </c>
      <c r="Q302" s="1">
        <v>18.16700169715169</v>
      </c>
      <c r="R302" s="1">
        <v>123.1593343465393</v>
      </c>
      <c r="S302" s="1">
        <v>14.750811859728261</v>
      </c>
      <c r="T302" s="1">
        <f t="shared" si="36"/>
        <v>0.6</v>
      </c>
      <c r="U302" s="1">
        <f t="shared" si="37"/>
        <v>109</v>
      </c>
      <c r="V302" s="1">
        <f t="shared" si="38"/>
        <v>1.0900000000000001</v>
      </c>
      <c r="W302" s="1">
        <f t="shared" si="39"/>
        <v>0.6</v>
      </c>
      <c r="X302" s="1">
        <f t="shared" si="40"/>
        <v>1.1699999999999997</v>
      </c>
      <c r="Y302" s="1">
        <f t="shared" si="41"/>
        <v>70.199999999999989</v>
      </c>
      <c r="Z302" s="1">
        <f t="shared" si="42"/>
        <v>1275.3235191400483</v>
      </c>
    </row>
    <row r="303" spans="13:26" x14ac:dyDescent="0.25">
      <c r="M303" s="2">
        <v>2025</v>
      </c>
      <c r="N303" s="2" t="s">
        <v>61</v>
      </c>
      <c r="O303" s="2" t="s">
        <v>88</v>
      </c>
      <c r="P303" s="2" t="str">
        <f t="shared" si="44"/>
        <v>S2</v>
      </c>
      <c r="Q303" s="1">
        <v>91.406271258640587</v>
      </c>
      <c r="R303" s="1">
        <v>123.1593343465393</v>
      </c>
      <c r="S303" s="1">
        <v>74.217899717975442</v>
      </c>
      <c r="T303" s="1">
        <f t="shared" si="36"/>
        <v>0.6</v>
      </c>
      <c r="U303" s="1">
        <f t="shared" si="37"/>
        <v>81</v>
      </c>
      <c r="V303" s="1">
        <f t="shared" si="38"/>
        <v>0.81</v>
      </c>
      <c r="W303" s="1">
        <f t="shared" si="39"/>
        <v>0.6</v>
      </c>
      <c r="X303" s="1">
        <f t="shared" si="40"/>
        <v>1.04</v>
      </c>
      <c r="Y303" s="1">
        <f t="shared" si="41"/>
        <v>62.4</v>
      </c>
      <c r="Z303" s="1">
        <f t="shared" si="42"/>
        <v>5703.7513265391726</v>
      </c>
    </row>
    <row r="304" spans="13:26" x14ac:dyDescent="0.25">
      <c r="M304" s="2">
        <v>2025</v>
      </c>
      <c r="N304" s="2" t="s">
        <v>61</v>
      </c>
      <c r="O304" s="2" t="s">
        <v>87</v>
      </c>
      <c r="P304" s="2" t="str">
        <f t="shared" si="44"/>
        <v>S3</v>
      </c>
      <c r="Q304" s="1">
        <v>13.58606139074698</v>
      </c>
      <c r="R304" s="1">
        <v>123.1593343465393</v>
      </c>
      <c r="S304" s="1">
        <v>11.03128842229631</v>
      </c>
      <c r="T304" s="1">
        <f t="shared" si="36"/>
        <v>0.6</v>
      </c>
      <c r="U304" s="1">
        <f t="shared" si="37"/>
        <v>59</v>
      </c>
      <c r="V304" s="1">
        <f t="shared" si="38"/>
        <v>0.59</v>
      </c>
      <c r="W304" s="1">
        <f t="shared" si="39"/>
        <v>0.59</v>
      </c>
      <c r="X304" s="1">
        <f t="shared" si="40"/>
        <v>0.99999999999999978</v>
      </c>
      <c r="Y304" s="1">
        <f t="shared" si="41"/>
        <v>58.999999999999986</v>
      </c>
      <c r="Z304" s="1">
        <f t="shared" si="42"/>
        <v>801.57762205407164</v>
      </c>
    </row>
    <row r="305" spans="13:26" x14ac:dyDescent="0.25">
      <c r="M305" s="2">
        <v>2025</v>
      </c>
      <c r="N305" s="2" t="s">
        <v>60</v>
      </c>
      <c r="O305" s="2" t="s">
        <v>92</v>
      </c>
      <c r="P305" s="2" t="s">
        <v>90</v>
      </c>
      <c r="Q305" s="1">
        <v>0.14015298306918239</v>
      </c>
      <c r="R305" s="1">
        <v>243.7005266998307</v>
      </c>
      <c r="S305" s="1">
        <v>5.7510332442494372E-2</v>
      </c>
      <c r="T305" s="1">
        <f t="shared" si="36"/>
        <v>0.6</v>
      </c>
      <c r="U305" s="1">
        <f t="shared" si="37"/>
        <v>41</v>
      </c>
      <c r="V305" s="1">
        <f t="shared" si="38"/>
        <v>0.41</v>
      </c>
      <c r="W305" s="1">
        <f t="shared" si="39"/>
        <v>0.41</v>
      </c>
      <c r="X305" s="1">
        <f t="shared" si="40"/>
        <v>0.98</v>
      </c>
      <c r="Y305" s="1">
        <f t="shared" si="41"/>
        <v>40.18</v>
      </c>
      <c r="Z305" s="1">
        <f t="shared" si="42"/>
        <v>5.6313468597197485</v>
      </c>
    </row>
    <row r="306" spans="13:26" x14ac:dyDescent="0.25">
      <c r="M306" s="2">
        <v>2025</v>
      </c>
      <c r="N306" s="2" t="s">
        <v>60</v>
      </c>
      <c r="O306" s="2" t="s">
        <v>91</v>
      </c>
      <c r="P306" s="2" t="s">
        <v>90</v>
      </c>
      <c r="Q306" s="1">
        <v>4.7423552851432023E-2</v>
      </c>
      <c r="R306" s="1">
        <v>243.7005266998307</v>
      </c>
      <c r="S306" s="1">
        <v>1.9459766252308618E-2</v>
      </c>
      <c r="T306" s="1">
        <f t="shared" si="36"/>
        <v>0.6</v>
      </c>
      <c r="U306" s="1">
        <f t="shared" si="37"/>
        <v>41</v>
      </c>
      <c r="V306" s="1">
        <f t="shared" si="38"/>
        <v>0.41</v>
      </c>
      <c r="W306" s="1">
        <f t="shared" si="39"/>
        <v>0.41</v>
      </c>
      <c r="X306" s="1">
        <f t="shared" si="40"/>
        <v>0.98</v>
      </c>
      <c r="Y306" s="1">
        <f t="shared" si="41"/>
        <v>40.18</v>
      </c>
      <c r="Z306" s="1">
        <f t="shared" si="42"/>
        <v>1.9054783535705386</v>
      </c>
    </row>
    <row r="307" spans="13:26" x14ac:dyDescent="0.25">
      <c r="M307" s="2">
        <v>2025</v>
      </c>
      <c r="N307" s="2" t="s">
        <v>60</v>
      </c>
      <c r="O307" s="2" t="s">
        <v>89</v>
      </c>
      <c r="P307" s="2" t="str">
        <f>O307</f>
        <v>S1</v>
      </c>
      <c r="Q307" s="1">
        <v>23.595083198839301</v>
      </c>
      <c r="R307" s="1">
        <v>243.7005266998307</v>
      </c>
      <c r="S307" s="1">
        <v>9.6819992629321163</v>
      </c>
      <c r="T307" s="1">
        <f t="shared" si="36"/>
        <v>0.6</v>
      </c>
      <c r="U307" s="1">
        <f t="shared" si="37"/>
        <v>109</v>
      </c>
      <c r="V307" s="1">
        <f t="shared" si="38"/>
        <v>1.0900000000000001</v>
      </c>
      <c r="W307" s="1">
        <f t="shared" si="39"/>
        <v>0.6</v>
      </c>
      <c r="X307" s="1">
        <f t="shared" si="40"/>
        <v>1.1699999999999997</v>
      </c>
      <c r="Y307" s="1">
        <f t="shared" si="41"/>
        <v>70.199999999999989</v>
      </c>
      <c r="Z307" s="1">
        <f t="shared" si="42"/>
        <v>1656.3748405585186</v>
      </c>
    </row>
    <row r="308" spans="13:26" x14ac:dyDescent="0.25">
      <c r="M308" s="2">
        <v>2025</v>
      </c>
      <c r="N308" s="2" t="s">
        <v>60</v>
      </c>
      <c r="O308" s="2" t="s">
        <v>88</v>
      </c>
      <c r="P308" s="2" t="str">
        <f>O308</f>
        <v>S2</v>
      </c>
      <c r="Q308" s="1">
        <v>129.70036591949119</v>
      </c>
      <c r="R308" s="1">
        <v>243.7005266998307</v>
      </c>
      <c r="S308" s="1">
        <v>53.221208700646329</v>
      </c>
      <c r="T308" s="1">
        <f t="shared" si="36"/>
        <v>0.6</v>
      </c>
      <c r="U308" s="1">
        <f t="shared" si="37"/>
        <v>81</v>
      </c>
      <c r="V308" s="1">
        <f t="shared" si="38"/>
        <v>0.81</v>
      </c>
      <c r="W308" s="1">
        <f t="shared" si="39"/>
        <v>0.6</v>
      </c>
      <c r="X308" s="1">
        <f t="shared" si="40"/>
        <v>1.04</v>
      </c>
      <c r="Y308" s="1">
        <f t="shared" si="41"/>
        <v>62.4</v>
      </c>
      <c r="Z308" s="1">
        <f t="shared" si="42"/>
        <v>8093.3028333762504</v>
      </c>
    </row>
    <row r="309" spans="13:26" x14ac:dyDescent="0.25">
      <c r="M309" s="2">
        <v>2025</v>
      </c>
      <c r="N309" s="2" t="s">
        <v>60</v>
      </c>
      <c r="O309" s="2" t="s">
        <v>87</v>
      </c>
      <c r="P309" s="2" t="str">
        <f>O309</f>
        <v>S3</v>
      </c>
      <c r="Q309" s="1">
        <v>90.217501045579581</v>
      </c>
      <c r="R309" s="1">
        <v>243.7005266998307</v>
      </c>
      <c r="S309" s="1">
        <v>37.019821937726753</v>
      </c>
      <c r="T309" s="1">
        <f t="shared" si="36"/>
        <v>0.6</v>
      </c>
      <c r="U309" s="1">
        <f t="shared" si="37"/>
        <v>59</v>
      </c>
      <c r="V309" s="1">
        <f t="shared" si="38"/>
        <v>0.59</v>
      </c>
      <c r="W309" s="1">
        <f t="shared" si="39"/>
        <v>0.59</v>
      </c>
      <c r="X309" s="1">
        <f t="shared" si="40"/>
        <v>0.99999999999999978</v>
      </c>
      <c r="Y309" s="1">
        <f t="shared" si="41"/>
        <v>58.999999999999986</v>
      </c>
      <c r="Z309" s="1">
        <f t="shared" si="42"/>
        <v>5322.8325616891943</v>
      </c>
    </row>
    <row r="310" spans="13:26" x14ac:dyDescent="0.25">
      <c r="M310" s="2">
        <v>2025</v>
      </c>
      <c r="N310" s="2" t="s">
        <v>59</v>
      </c>
      <c r="O310" s="2" t="s">
        <v>91</v>
      </c>
      <c r="P310" s="2" t="s">
        <v>90</v>
      </c>
      <c r="Q310" s="1">
        <v>0.30069771844582088</v>
      </c>
      <c r="R310" s="1">
        <v>597.03875580456929</v>
      </c>
      <c r="S310" s="1">
        <v>5.0364857477401229E-2</v>
      </c>
      <c r="T310" s="1">
        <f t="shared" si="36"/>
        <v>0.6</v>
      </c>
      <c r="U310" s="1">
        <f t="shared" si="37"/>
        <v>41</v>
      </c>
      <c r="V310" s="1">
        <f t="shared" si="38"/>
        <v>0.41</v>
      </c>
      <c r="W310" s="1">
        <f t="shared" si="39"/>
        <v>0.41</v>
      </c>
      <c r="X310" s="1">
        <f t="shared" si="40"/>
        <v>0.98</v>
      </c>
      <c r="Y310" s="1">
        <f t="shared" si="41"/>
        <v>40.18</v>
      </c>
      <c r="Z310" s="1">
        <f t="shared" si="42"/>
        <v>12.082034327153083</v>
      </c>
    </row>
    <row r="311" spans="13:26" x14ac:dyDescent="0.25">
      <c r="M311" s="2">
        <v>2025</v>
      </c>
      <c r="N311" s="2" t="s">
        <v>59</v>
      </c>
      <c r="O311" s="2" t="s">
        <v>89</v>
      </c>
      <c r="P311" s="2" t="str">
        <f>O311</f>
        <v>S1</v>
      </c>
      <c r="Q311" s="1">
        <v>107.1077992113611</v>
      </c>
      <c r="R311" s="1">
        <v>597.03875580456929</v>
      </c>
      <c r="S311" s="1">
        <v>17.939840281728891</v>
      </c>
      <c r="T311" s="1">
        <f t="shared" si="36"/>
        <v>0.6</v>
      </c>
      <c r="U311" s="1">
        <f t="shared" si="37"/>
        <v>109</v>
      </c>
      <c r="V311" s="1">
        <f t="shared" si="38"/>
        <v>1.0900000000000001</v>
      </c>
      <c r="W311" s="1">
        <f t="shared" si="39"/>
        <v>0.6</v>
      </c>
      <c r="X311" s="1">
        <f t="shared" si="40"/>
        <v>1.1699999999999997</v>
      </c>
      <c r="Y311" s="1">
        <f t="shared" si="41"/>
        <v>70.199999999999989</v>
      </c>
      <c r="Z311" s="1">
        <f t="shared" si="42"/>
        <v>7518.9675046375478</v>
      </c>
    </row>
    <row r="312" spans="13:26" x14ac:dyDescent="0.25">
      <c r="M312" s="2">
        <v>2025</v>
      </c>
      <c r="N312" s="2" t="s">
        <v>59</v>
      </c>
      <c r="O312" s="2" t="s">
        <v>88</v>
      </c>
      <c r="P312" s="2" t="str">
        <f>O312</f>
        <v>S2</v>
      </c>
      <c r="Q312" s="1">
        <v>359.00532473805117</v>
      </c>
      <c r="R312" s="1">
        <v>597.03875580456929</v>
      </c>
      <c r="S312" s="1">
        <v>60.130991706602977</v>
      </c>
      <c r="T312" s="1">
        <f t="shared" si="36"/>
        <v>0.6</v>
      </c>
      <c r="U312" s="1">
        <f t="shared" si="37"/>
        <v>81</v>
      </c>
      <c r="V312" s="1">
        <f t="shared" si="38"/>
        <v>0.81</v>
      </c>
      <c r="W312" s="1">
        <f t="shared" si="39"/>
        <v>0.6</v>
      </c>
      <c r="X312" s="1">
        <f t="shared" si="40"/>
        <v>1.04</v>
      </c>
      <c r="Y312" s="1">
        <f t="shared" si="41"/>
        <v>62.4</v>
      </c>
      <c r="Z312" s="1">
        <f t="shared" si="42"/>
        <v>22401.932263654391</v>
      </c>
    </row>
    <row r="313" spans="13:26" x14ac:dyDescent="0.25">
      <c r="M313" s="2">
        <v>2025</v>
      </c>
      <c r="N313" s="2" t="s">
        <v>59</v>
      </c>
      <c r="O313" s="2" t="s">
        <v>87</v>
      </c>
      <c r="P313" s="2" t="str">
        <f>O313</f>
        <v>S3</v>
      </c>
      <c r="Q313" s="1">
        <v>130.62493413671109</v>
      </c>
      <c r="R313" s="1">
        <v>597.03875580456929</v>
      </c>
      <c r="S313" s="1">
        <v>21.87880315419072</v>
      </c>
      <c r="T313" s="1">
        <f t="shared" si="36"/>
        <v>0.6</v>
      </c>
      <c r="U313" s="1">
        <f t="shared" si="37"/>
        <v>59</v>
      </c>
      <c r="V313" s="1">
        <f t="shared" si="38"/>
        <v>0.59</v>
      </c>
      <c r="W313" s="1">
        <f t="shared" si="39"/>
        <v>0.59</v>
      </c>
      <c r="X313" s="1">
        <f t="shared" si="40"/>
        <v>0.99999999999999978</v>
      </c>
      <c r="Y313" s="1">
        <f t="shared" si="41"/>
        <v>58.999999999999986</v>
      </c>
      <c r="Z313" s="1">
        <f t="shared" si="42"/>
        <v>7706.8711140659525</v>
      </c>
    </row>
    <row r="314" spans="13:26" x14ac:dyDescent="0.25">
      <c r="M314" s="2">
        <v>2025</v>
      </c>
      <c r="N314" s="2" t="s">
        <v>58</v>
      </c>
      <c r="O314" s="2" t="s">
        <v>91</v>
      </c>
      <c r="P314" s="2" t="s">
        <v>90</v>
      </c>
      <c r="Q314" s="1">
        <v>0.510724725922025</v>
      </c>
      <c r="R314" s="1">
        <v>147.90441562365609</v>
      </c>
      <c r="S314" s="1">
        <v>0.34530728766176122</v>
      </c>
      <c r="T314" s="1">
        <f t="shared" si="36"/>
        <v>1</v>
      </c>
      <c r="U314" s="1">
        <f t="shared" si="37"/>
        <v>41</v>
      </c>
      <c r="V314" s="1">
        <f t="shared" si="38"/>
        <v>0.41</v>
      </c>
      <c r="W314" s="1">
        <f t="shared" si="39"/>
        <v>0.41</v>
      </c>
      <c r="X314" s="1">
        <f t="shared" si="40"/>
        <v>0.98</v>
      </c>
      <c r="Y314" s="1">
        <f t="shared" si="41"/>
        <v>40.18</v>
      </c>
      <c r="Z314" s="1">
        <f t="shared" si="42"/>
        <v>20.520919487546966</v>
      </c>
    </row>
    <row r="315" spans="13:26" x14ac:dyDescent="0.25">
      <c r="M315" s="2">
        <v>2025</v>
      </c>
      <c r="N315" s="2" t="s">
        <v>58</v>
      </c>
      <c r="O315" s="2" t="s">
        <v>89</v>
      </c>
      <c r="P315" s="2" t="str">
        <f>O315</f>
        <v>S1</v>
      </c>
      <c r="Q315" s="1">
        <v>21.657352576372801</v>
      </c>
      <c r="R315" s="1">
        <v>147.90441562365609</v>
      </c>
      <c r="S315" s="1">
        <v>14.64280324901191</v>
      </c>
      <c r="T315" s="1">
        <f t="shared" si="36"/>
        <v>1</v>
      </c>
      <c r="U315" s="1">
        <f t="shared" si="37"/>
        <v>109</v>
      </c>
      <c r="V315" s="1">
        <f t="shared" si="38"/>
        <v>1.0900000000000001</v>
      </c>
      <c r="W315" s="1">
        <f t="shared" si="39"/>
        <v>1</v>
      </c>
      <c r="X315" s="1">
        <f t="shared" si="40"/>
        <v>1.1699999999999997</v>
      </c>
      <c r="Y315" s="1">
        <f t="shared" si="41"/>
        <v>116.99999999999997</v>
      </c>
      <c r="Z315" s="1">
        <f t="shared" si="42"/>
        <v>2533.9102514356173</v>
      </c>
    </row>
    <row r="316" spans="13:26" x14ac:dyDescent="0.25">
      <c r="M316" s="2">
        <v>2025</v>
      </c>
      <c r="N316" s="2" t="s">
        <v>58</v>
      </c>
      <c r="O316" s="2" t="s">
        <v>88</v>
      </c>
      <c r="P316" s="2" t="str">
        <f>O316</f>
        <v>S2</v>
      </c>
      <c r="Q316" s="1">
        <v>103.9683090520862</v>
      </c>
      <c r="R316" s="1">
        <v>147.90441562365609</v>
      </c>
      <c r="S316" s="1">
        <v>70.294256336899608</v>
      </c>
      <c r="T316" s="1">
        <f t="shared" si="36"/>
        <v>1</v>
      </c>
      <c r="U316" s="1">
        <f t="shared" si="37"/>
        <v>81</v>
      </c>
      <c r="V316" s="1">
        <f t="shared" si="38"/>
        <v>0.81</v>
      </c>
      <c r="W316" s="1">
        <f t="shared" si="39"/>
        <v>0.81</v>
      </c>
      <c r="X316" s="1">
        <f t="shared" si="40"/>
        <v>1.04</v>
      </c>
      <c r="Y316" s="1">
        <f t="shared" si="41"/>
        <v>84.240000000000009</v>
      </c>
      <c r="Z316" s="1">
        <f t="shared" si="42"/>
        <v>8758.290354547742</v>
      </c>
    </row>
    <row r="317" spans="13:26" x14ac:dyDescent="0.25">
      <c r="M317" s="2">
        <v>2025</v>
      </c>
      <c r="N317" s="2" t="s">
        <v>58</v>
      </c>
      <c r="O317" s="2" t="s">
        <v>87</v>
      </c>
      <c r="P317" s="2" t="str">
        <f>O317</f>
        <v>S3</v>
      </c>
      <c r="Q317" s="1">
        <v>21.768029269275061</v>
      </c>
      <c r="R317" s="1">
        <v>147.90441562365609</v>
      </c>
      <c r="S317" s="1">
        <v>14.717633126426721</v>
      </c>
      <c r="T317" s="1">
        <f t="shared" si="36"/>
        <v>1</v>
      </c>
      <c r="U317" s="1">
        <f t="shared" si="37"/>
        <v>59</v>
      </c>
      <c r="V317" s="1">
        <f t="shared" si="38"/>
        <v>0.59</v>
      </c>
      <c r="W317" s="1">
        <f t="shared" si="39"/>
        <v>0.59</v>
      </c>
      <c r="X317" s="1">
        <f t="shared" si="40"/>
        <v>0.99999999999999978</v>
      </c>
      <c r="Y317" s="1">
        <f t="shared" si="41"/>
        <v>58.999999999999986</v>
      </c>
      <c r="Z317" s="1">
        <f t="shared" si="42"/>
        <v>1284.3137268872283</v>
      </c>
    </row>
  </sheetData>
  <autoFilter ref="M3:S317" xr:uid="{4AB2967D-FBC5-4832-8278-9FB2A0B0D0FF}"/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D6289-3F03-4AAF-B913-2E802704B496}">
  <sheetPr>
    <tabColor theme="3" tint="0.39997558519241921"/>
  </sheetPr>
  <dimension ref="B2:G7"/>
  <sheetViews>
    <sheetView showGridLines="0" workbookViewId="0">
      <selection activeCell="V21" sqref="V21"/>
    </sheetView>
  </sheetViews>
  <sheetFormatPr defaultRowHeight="15" x14ac:dyDescent="0.25"/>
  <cols>
    <col min="2" max="2" width="83.7109375" customWidth="1"/>
    <col min="3" max="3" width="9.28515625" bestFit="1" customWidth="1"/>
    <col min="4" max="5" width="10.5703125" bestFit="1" customWidth="1"/>
    <col min="6" max="6" width="9.5703125" bestFit="1" customWidth="1"/>
    <col min="7" max="7" width="9.28515625" bestFit="1" customWidth="1"/>
  </cols>
  <sheetData>
    <row r="2" spans="2:7" x14ac:dyDescent="0.25">
      <c r="B2" s="5" t="s">
        <v>147</v>
      </c>
      <c r="C2" s="5" t="s">
        <v>146</v>
      </c>
      <c r="D2" s="5" t="s">
        <v>145</v>
      </c>
      <c r="E2" s="5" t="s">
        <v>145</v>
      </c>
      <c r="F2" s="5" t="s">
        <v>144</v>
      </c>
      <c r="G2" s="5" t="s">
        <v>143</v>
      </c>
    </row>
    <row r="3" spans="2:7" x14ac:dyDescent="0.25">
      <c r="B3" s="2" t="s">
        <v>142</v>
      </c>
      <c r="C3" s="1">
        <v>1</v>
      </c>
      <c r="D3" s="1">
        <v>598.29999999999995</v>
      </c>
      <c r="E3" s="1">
        <f>D3</f>
        <v>598.29999999999995</v>
      </c>
      <c r="F3" s="1">
        <f>E3*C3</f>
        <v>598.29999999999995</v>
      </c>
      <c r="G3" s="1">
        <f>F3/$E$7</f>
        <v>0.30235496260359812</v>
      </c>
    </row>
    <row r="4" spans="2:7" x14ac:dyDescent="0.25">
      <c r="B4" s="2" t="s">
        <v>141</v>
      </c>
      <c r="C4" s="1">
        <v>0.5</v>
      </c>
      <c r="D4" s="1">
        <v>987.5</v>
      </c>
      <c r="E4" s="1">
        <f>D4-D3</f>
        <v>389.20000000000005</v>
      </c>
      <c r="F4" s="1">
        <f>E4*C4</f>
        <v>194.60000000000002</v>
      </c>
      <c r="G4" s="1">
        <f>F4/$E$7</f>
        <v>9.8342429755407329E-2</v>
      </c>
    </row>
    <row r="5" spans="2:7" x14ac:dyDescent="0.25">
      <c r="B5" s="2" t="s">
        <v>140</v>
      </c>
      <c r="C5" s="1">
        <v>0.25</v>
      </c>
      <c r="D5" s="1">
        <v>1115.5</v>
      </c>
      <c r="E5" s="1">
        <f>D5-D4</f>
        <v>128</v>
      </c>
      <c r="F5" s="1">
        <f>E5*C5</f>
        <v>32</v>
      </c>
      <c r="G5" s="1">
        <f>F5/$E$7</f>
        <v>1.6171417020416416E-2</v>
      </c>
    </row>
    <row r="6" spans="2:7" x14ac:dyDescent="0.25">
      <c r="B6" s="2" t="s">
        <v>139</v>
      </c>
      <c r="C6" s="1">
        <v>0</v>
      </c>
      <c r="D6" s="1">
        <f>D7-D5</f>
        <v>863.3</v>
      </c>
      <c r="E6" s="1">
        <f>D6</f>
        <v>863.3</v>
      </c>
      <c r="F6" s="1">
        <f>E6*C6</f>
        <v>0</v>
      </c>
      <c r="G6" s="1">
        <f>F6/$E$7</f>
        <v>0</v>
      </c>
    </row>
    <row r="7" spans="2:7" x14ac:dyDescent="0.25">
      <c r="B7" s="2" t="s">
        <v>138</v>
      </c>
      <c r="C7" s="1"/>
      <c r="D7" s="1">
        <v>1978.8</v>
      </c>
      <c r="E7" s="1">
        <f>SUM(E3:E6)</f>
        <v>1978.8</v>
      </c>
      <c r="F7" s="1">
        <f>SUM(F3:F6)</f>
        <v>824.9</v>
      </c>
      <c r="G7" s="1">
        <f>SUM(G3:G6)</f>
        <v>0.41686880937942189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87295-477F-48A5-BB43-F3F4C1B537D6}">
  <sheetPr>
    <tabColor theme="3" tint="0.39997558519241921"/>
  </sheetPr>
  <dimension ref="A1:U20"/>
  <sheetViews>
    <sheetView showGridLines="0" zoomScaleNormal="100" workbookViewId="0">
      <selection activeCell="I17" sqref="I17"/>
    </sheetView>
  </sheetViews>
  <sheetFormatPr defaultRowHeight="15" x14ac:dyDescent="0.25"/>
  <cols>
    <col min="2" max="2" width="12" customWidth="1"/>
    <col min="3" max="3" width="11.28515625" customWidth="1"/>
    <col min="4" max="4" width="10.7109375" bestFit="1" customWidth="1"/>
    <col min="5" max="5" width="22.7109375" customWidth="1"/>
    <col min="7" max="7" width="9.85546875" bestFit="1" customWidth="1"/>
    <col min="8" max="8" width="12.42578125" customWidth="1"/>
    <col min="9" max="9" width="9.85546875" bestFit="1" customWidth="1"/>
    <col min="10" max="12" width="10.5703125" bestFit="1" customWidth="1"/>
    <col min="13" max="13" width="14.28515625" customWidth="1"/>
    <col min="14" max="14" width="10.5703125" bestFit="1" customWidth="1"/>
    <col min="15" max="15" width="15.42578125" customWidth="1"/>
    <col min="16" max="19" width="10.5703125" bestFit="1" customWidth="1"/>
    <col min="20" max="20" width="9.28515625" bestFit="1" customWidth="1"/>
  </cols>
  <sheetData>
    <row r="1" spans="1:21" ht="60" customHeight="1" x14ac:dyDescent="0.25">
      <c r="A1" s="21" t="s">
        <v>137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2"/>
    </row>
    <row r="3" spans="1:21" ht="15" customHeight="1" x14ac:dyDescent="0.25">
      <c r="B3" s="5" t="s">
        <v>75</v>
      </c>
      <c r="C3" s="5" t="s">
        <v>136</v>
      </c>
      <c r="D3" s="5" t="s">
        <v>135</v>
      </c>
      <c r="E3" s="5" t="s">
        <v>134</v>
      </c>
    </row>
    <row r="4" spans="1:21" ht="15" customHeight="1" x14ac:dyDescent="0.25">
      <c r="B4" s="2" t="s">
        <v>117</v>
      </c>
      <c r="C4" s="1">
        <v>200</v>
      </c>
      <c r="D4" s="1">
        <v>550</v>
      </c>
      <c r="E4" s="1" t="s">
        <v>133</v>
      </c>
    </row>
    <row r="5" spans="1:21" ht="15" customHeight="1" x14ac:dyDescent="0.25">
      <c r="B5" s="2" t="s">
        <v>132</v>
      </c>
      <c r="C5" s="1">
        <v>200</v>
      </c>
      <c r="D5" s="1">
        <v>800</v>
      </c>
      <c r="E5" s="1" t="s">
        <v>131</v>
      </c>
    </row>
    <row r="6" spans="1:21" ht="15" customHeight="1" x14ac:dyDescent="0.25">
      <c r="B6" s="2" t="s">
        <v>115</v>
      </c>
      <c r="C6" s="1">
        <v>50</v>
      </c>
      <c r="D6" s="1">
        <v>400</v>
      </c>
      <c r="E6" s="1" t="s">
        <v>130</v>
      </c>
    </row>
    <row r="7" spans="1:21" ht="15" customHeight="1" x14ac:dyDescent="0.25"/>
    <row r="8" spans="1:21" ht="15" customHeight="1" x14ac:dyDescent="0.25">
      <c r="B8" s="26" t="s">
        <v>129</v>
      </c>
      <c r="C8" s="21" t="s">
        <v>128</v>
      </c>
      <c r="D8" s="22"/>
      <c r="E8" s="26" t="s">
        <v>127</v>
      </c>
      <c r="F8" s="26" t="s">
        <v>126</v>
      </c>
      <c r="G8" s="21" t="s">
        <v>125</v>
      </c>
      <c r="H8" s="25"/>
      <c r="I8" s="22"/>
      <c r="J8" s="21" t="s">
        <v>107</v>
      </c>
      <c r="K8" s="25"/>
      <c r="L8" s="25"/>
      <c r="M8" s="25"/>
      <c r="N8" s="25"/>
      <c r="O8" s="22"/>
      <c r="P8" s="21" t="s">
        <v>124</v>
      </c>
      <c r="Q8" s="25"/>
      <c r="R8" s="22"/>
      <c r="S8" s="26" t="s">
        <v>123</v>
      </c>
      <c r="T8" s="26" t="s">
        <v>122</v>
      </c>
    </row>
    <row r="9" spans="1:21" ht="15" customHeight="1" x14ac:dyDescent="0.25">
      <c r="B9" s="27"/>
      <c r="C9" s="5" t="s">
        <v>121</v>
      </c>
      <c r="D9" s="5" t="s">
        <v>120</v>
      </c>
      <c r="E9" s="27"/>
      <c r="F9" s="27"/>
      <c r="G9" s="5" t="s">
        <v>117</v>
      </c>
      <c r="H9" s="5" t="s">
        <v>116</v>
      </c>
      <c r="I9" s="5" t="s">
        <v>115</v>
      </c>
      <c r="J9" s="5" t="s">
        <v>117</v>
      </c>
      <c r="K9" s="5" t="s">
        <v>116</v>
      </c>
      <c r="L9" s="5" t="s">
        <v>115</v>
      </c>
      <c r="M9" s="5" t="s">
        <v>47</v>
      </c>
      <c r="N9" s="5" t="s">
        <v>119</v>
      </c>
      <c r="O9" s="5" t="s">
        <v>118</v>
      </c>
      <c r="P9" s="5" t="s">
        <v>117</v>
      </c>
      <c r="Q9" s="5" t="s">
        <v>116</v>
      </c>
      <c r="R9" s="5" t="s">
        <v>115</v>
      </c>
      <c r="S9" s="27"/>
      <c r="T9" s="27"/>
    </row>
    <row r="10" spans="1:21" ht="15" customHeight="1" x14ac:dyDescent="0.25">
      <c r="B10" s="2">
        <v>2016</v>
      </c>
      <c r="C10" s="20">
        <v>42278</v>
      </c>
      <c r="D10" s="20">
        <v>42429</v>
      </c>
      <c r="E10" s="1">
        <v>152</v>
      </c>
      <c r="F10" s="1">
        <v>359</v>
      </c>
      <c r="G10" s="3">
        <f t="shared" ref="G10:G19" si="0">IF(F10&lt;=C$4,0,IF(F10&gt;=D$4,1,(F10-C$4)/(D$4-C$4)))</f>
        <v>0.45428571428571429</v>
      </c>
      <c r="H10" s="3">
        <f t="shared" ref="H10:H19" si="1">IF(F10&lt;=C$5,0,IF(F10&gt;=D$5,1,(F10-C$5)/(D$5-C$5)))</f>
        <v>0.26500000000000001</v>
      </c>
      <c r="I10" s="3">
        <f t="shared" ref="I10:I19" si="2">IF(F10&lt;=C$6,0,IF(F10&gt;=D$6,1,(F10-C$6)/(D$6-C$6)))</f>
        <v>0.8828571428571429</v>
      </c>
      <c r="J10" s="3"/>
      <c r="K10" s="3">
        <v>144.61535345942019</v>
      </c>
      <c r="L10" s="3">
        <v>143.38018430605385</v>
      </c>
      <c r="M10" s="3">
        <v>1334.20367829974</v>
      </c>
      <c r="N10" s="3">
        <v>287.99553776547407</v>
      </c>
      <c r="O10" s="3">
        <f t="shared" ref="O10:O19" si="3">M10-N10</f>
        <v>1046.208140534266</v>
      </c>
      <c r="P10" s="3">
        <f t="shared" ref="P10:P19" si="4">G10*J10</f>
        <v>0</v>
      </c>
      <c r="Q10" s="3">
        <f t="shared" ref="Q10:Q19" si="5">H10*K10</f>
        <v>38.323068666746352</v>
      </c>
      <c r="R10" s="3">
        <f t="shared" ref="R10:R19" si="6">I10*L10</f>
        <v>126.58421985877327</v>
      </c>
      <c r="S10" s="3">
        <f t="shared" ref="S10:S19" si="7">SUM(P10:R10)</f>
        <v>164.90728852551962</v>
      </c>
      <c r="T10" s="3">
        <f t="shared" ref="T10:T19" si="8">(O10+S10)/M10</f>
        <v>0.90774403395678427</v>
      </c>
    </row>
    <row r="11" spans="1:21" ht="15" customHeight="1" x14ac:dyDescent="0.25">
      <c r="B11" s="2">
        <v>2017</v>
      </c>
      <c r="C11" s="20">
        <v>42644</v>
      </c>
      <c r="D11" s="20">
        <v>42794</v>
      </c>
      <c r="E11" s="1">
        <v>151</v>
      </c>
      <c r="F11" s="1">
        <v>756</v>
      </c>
      <c r="G11" s="3">
        <f t="shared" si="0"/>
        <v>1</v>
      </c>
      <c r="H11" s="3">
        <f t="shared" si="1"/>
        <v>0.92666666666666664</v>
      </c>
      <c r="I11" s="3">
        <f t="shared" si="2"/>
        <v>1</v>
      </c>
      <c r="J11" s="3"/>
      <c r="K11" s="3">
        <v>144.61535345942019</v>
      </c>
      <c r="L11" s="3">
        <v>147.90440064182474</v>
      </c>
      <c r="M11" s="3">
        <v>1268.2826929347732</v>
      </c>
      <c r="N11" s="3">
        <v>292.51975410124493</v>
      </c>
      <c r="O11" s="3">
        <f t="shared" si="3"/>
        <v>975.76293883352832</v>
      </c>
      <c r="P11" s="3">
        <f t="shared" si="4"/>
        <v>0</v>
      </c>
      <c r="Q11" s="3">
        <f t="shared" si="5"/>
        <v>134.0102275390627</v>
      </c>
      <c r="R11" s="3">
        <f t="shared" si="6"/>
        <v>147.90440064182474</v>
      </c>
      <c r="S11" s="3">
        <f t="shared" si="7"/>
        <v>281.91462818088746</v>
      </c>
      <c r="T11" s="3">
        <f t="shared" si="8"/>
        <v>0.99163820023766347</v>
      </c>
    </row>
    <row r="12" spans="1:21" ht="15" customHeight="1" x14ac:dyDescent="0.25">
      <c r="B12" s="2">
        <v>2018</v>
      </c>
      <c r="C12" s="20">
        <v>43009</v>
      </c>
      <c r="D12" s="20">
        <v>43159</v>
      </c>
      <c r="E12" s="1">
        <v>151</v>
      </c>
      <c r="F12" s="1">
        <v>964</v>
      </c>
      <c r="G12" s="3">
        <f t="shared" si="0"/>
        <v>1</v>
      </c>
      <c r="H12" s="3">
        <f t="shared" si="1"/>
        <v>1</v>
      </c>
      <c r="I12" s="3">
        <f t="shared" si="2"/>
        <v>1</v>
      </c>
      <c r="J12" s="3"/>
      <c r="K12" s="3">
        <v>144.61535345942019</v>
      </c>
      <c r="L12" s="3">
        <v>147.90440064182474</v>
      </c>
      <c r="M12" s="3">
        <v>1308.1205405677213</v>
      </c>
      <c r="N12" s="3">
        <v>292.51975410124493</v>
      </c>
      <c r="O12" s="3">
        <f t="shared" si="3"/>
        <v>1015.6007864664764</v>
      </c>
      <c r="P12" s="3">
        <f t="shared" si="4"/>
        <v>0</v>
      </c>
      <c r="Q12" s="3">
        <f t="shared" si="5"/>
        <v>144.61535345942019</v>
      </c>
      <c r="R12" s="3">
        <f t="shared" si="6"/>
        <v>147.90440064182474</v>
      </c>
      <c r="S12" s="3">
        <f t="shared" si="7"/>
        <v>292.51975410124493</v>
      </c>
      <c r="T12" s="3">
        <f t="shared" si="8"/>
        <v>1</v>
      </c>
    </row>
    <row r="13" spans="1:21" ht="15" customHeight="1" x14ac:dyDescent="0.25">
      <c r="B13" s="2">
        <v>2019</v>
      </c>
      <c r="C13" s="20">
        <v>43374</v>
      </c>
      <c r="D13" s="20">
        <v>43524</v>
      </c>
      <c r="E13" s="1">
        <v>151</v>
      </c>
      <c r="F13" s="1">
        <v>817</v>
      </c>
      <c r="G13" s="3">
        <f t="shared" si="0"/>
        <v>1</v>
      </c>
      <c r="H13" s="3">
        <f t="shared" si="1"/>
        <v>1</v>
      </c>
      <c r="I13" s="3">
        <f t="shared" si="2"/>
        <v>1</v>
      </c>
      <c r="J13" s="3"/>
      <c r="K13" s="3">
        <v>144.61535345942019</v>
      </c>
      <c r="L13" s="3">
        <v>172.08403854200631</v>
      </c>
      <c r="M13" s="3">
        <v>1300.2074765503171</v>
      </c>
      <c r="N13" s="3">
        <v>316.69939200142653</v>
      </c>
      <c r="O13" s="3">
        <f t="shared" si="3"/>
        <v>983.50808454889057</v>
      </c>
      <c r="P13" s="3">
        <f t="shared" si="4"/>
        <v>0</v>
      </c>
      <c r="Q13" s="3">
        <f t="shared" si="5"/>
        <v>144.61535345942019</v>
      </c>
      <c r="R13" s="3">
        <f t="shared" si="6"/>
        <v>172.08403854200631</v>
      </c>
      <c r="S13" s="3">
        <f t="shared" si="7"/>
        <v>316.69939200142653</v>
      </c>
      <c r="T13" s="3">
        <f t="shared" si="8"/>
        <v>1</v>
      </c>
    </row>
    <row r="14" spans="1:21" ht="15" customHeight="1" x14ac:dyDescent="0.25">
      <c r="B14" s="2">
        <v>2020</v>
      </c>
      <c r="C14" s="20">
        <v>43739</v>
      </c>
      <c r="D14" s="20">
        <v>43890</v>
      </c>
      <c r="E14" s="1">
        <v>152</v>
      </c>
      <c r="F14" s="1">
        <v>528</v>
      </c>
      <c r="G14" s="3">
        <f t="shared" si="0"/>
        <v>0.93714285714285717</v>
      </c>
      <c r="H14" s="3">
        <f t="shared" si="1"/>
        <v>0.54666666666666663</v>
      </c>
      <c r="I14" s="3">
        <f t="shared" si="2"/>
        <v>1</v>
      </c>
      <c r="J14" s="3"/>
      <c r="K14" s="3">
        <v>144.61535345942019</v>
      </c>
      <c r="L14" s="3">
        <v>147.90440064182474</v>
      </c>
      <c r="M14" s="3">
        <v>1281.370354750235</v>
      </c>
      <c r="N14" s="3">
        <v>292.51975410124493</v>
      </c>
      <c r="O14" s="3">
        <f t="shared" si="3"/>
        <v>988.85060064899017</v>
      </c>
      <c r="P14" s="3">
        <f t="shared" si="4"/>
        <v>0</v>
      </c>
      <c r="Q14" s="3">
        <f t="shared" si="5"/>
        <v>79.056393224483031</v>
      </c>
      <c r="R14" s="3">
        <f t="shared" si="6"/>
        <v>147.90440064182474</v>
      </c>
      <c r="S14" s="3">
        <f t="shared" si="7"/>
        <v>226.96079386630777</v>
      </c>
      <c r="T14" s="3">
        <f t="shared" si="8"/>
        <v>0.94883683706907995</v>
      </c>
    </row>
    <row r="15" spans="1:21" ht="15" customHeight="1" x14ac:dyDescent="0.25">
      <c r="B15" s="2">
        <v>2021</v>
      </c>
      <c r="C15" s="20">
        <v>44105</v>
      </c>
      <c r="D15" s="20">
        <v>44255</v>
      </c>
      <c r="E15" s="1">
        <v>151</v>
      </c>
      <c r="F15" s="1">
        <v>608</v>
      </c>
      <c r="G15" s="3">
        <f t="shared" si="0"/>
        <v>1</v>
      </c>
      <c r="H15" s="3">
        <f t="shared" si="1"/>
        <v>0.68</v>
      </c>
      <c r="I15" s="3">
        <f t="shared" si="2"/>
        <v>1</v>
      </c>
      <c r="J15" s="3"/>
      <c r="K15" s="3">
        <v>41.279650201925186</v>
      </c>
      <c r="L15" s="3">
        <v>147.90440064182474</v>
      </c>
      <c r="M15" s="3">
        <v>1267.9013202162944</v>
      </c>
      <c r="N15" s="3">
        <v>189.18405084374993</v>
      </c>
      <c r="O15" s="3">
        <f t="shared" si="3"/>
        <v>1078.7172693725445</v>
      </c>
      <c r="P15" s="3">
        <f t="shared" si="4"/>
        <v>0</v>
      </c>
      <c r="Q15" s="3">
        <f t="shared" si="5"/>
        <v>28.070162137309129</v>
      </c>
      <c r="R15" s="3">
        <f t="shared" si="6"/>
        <v>147.90440064182474</v>
      </c>
      <c r="S15" s="3">
        <f t="shared" si="7"/>
        <v>175.97456277913386</v>
      </c>
      <c r="T15" s="3">
        <f t="shared" si="8"/>
        <v>0.98958161186994997</v>
      </c>
    </row>
    <row r="16" spans="1:21" ht="15" customHeight="1" x14ac:dyDescent="0.25">
      <c r="B16" s="2">
        <v>2022</v>
      </c>
      <c r="C16" s="20">
        <v>44470</v>
      </c>
      <c r="D16" s="20">
        <v>44620</v>
      </c>
      <c r="E16" s="1">
        <v>151</v>
      </c>
      <c r="F16" s="1">
        <v>813</v>
      </c>
      <c r="G16" s="3">
        <f t="shared" si="0"/>
        <v>1</v>
      </c>
      <c r="H16" s="3">
        <f t="shared" si="1"/>
        <v>1</v>
      </c>
      <c r="I16" s="3">
        <f t="shared" si="2"/>
        <v>1</v>
      </c>
      <c r="J16" s="3">
        <v>166.53087726395432</v>
      </c>
      <c r="K16" s="3">
        <v>41.279650201925186</v>
      </c>
      <c r="L16" s="3">
        <v>147.90440064182474</v>
      </c>
      <c r="M16" s="3">
        <v>1495.446535021812</v>
      </c>
      <c r="N16" s="3">
        <v>355.71492810770428</v>
      </c>
      <c r="O16" s="3">
        <f t="shared" si="3"/>
        <v>1139.7316069141077</v>
      </c>
      <c r="P16" s="3">
        <f t="shared" si="4"/>
        <v>166.53087726395432</v>
      </c>
      <c r="Q16" s="3">
        <f t="shared" si="5"/>
        <v>41.279650201925186</v>
      </c>
      <c r="R16" s="3">
        <f t="shared" si="6"/>
        <v>147.90440064182474</v>
      </c>
      <c r="S16" s="3">
        <f t="shared" si="7"/>
        <v>355.71492810770428</v>
      </c>
      <c r="T16" s="3">
        <f t="shared" si="8"/>
        <v>1</v>
      </c>
    </row>
    <row r="17" spans="2:20" ht="15" customHeight="1" x14ac:dyDescent="0.25">
      <c r="B17" s="2">
        <v>2023</v>
      </c>
      <c r="C17" s="20">
        <v>44835</v>
      </c>
      <c r="D17" s="20">
        <v>44985</v>
      </c>
      <c r="E17" s="1">
        <v>151</v>
      </c>
      <c r="F17" s="1">
        <v>616</v>
      </c>
      <c r="G17" s="3">
        <f t="shared" si="0"/>
        <v>1</v>
      </c>
      <c r="H17" s="3">
        <f t="shared" si="1"/>
        <v>0.69333333333333336</v>
      </c>
      <c r="I17" s="3">
        <f t="shared" si="2"/>
        <v>1</v>
      </c>
      <c r="J17" s="3">
        <v>291.17192202022449</v>
      </c>
      <c r="K17" s="3">
        <v>41.279650201925186</v>
      </c>
      <c r="L17" s="3">
        <v>147.90440064182474</v>
      </c>
      <c r="M17" s="3">
        <v>1552.8369694552773</v>
      </c>
      <c r="N17" s="3">
        <v>480.35597286397439</v>
      </c>
      <c r="O17" s="3">
        <f t="shared" si="3"/>
        <v>1072.480996591303</v>
      </c>
      <c r="P17" s="3">
        <f t="shared" si="4"/>
        <v>291.17192202022449</v>
      </c>
      <c r="Q17" s="3">
        <f t="shared" si="5"/>
        <v>28.620557473334795</v>
      </c>
      <c r="R17" s="3">
        <f t="shared" si="6"/>
        <v>147.90440064182474</v>
      </c>
      <c r="S17" s="3">
        <f t="shared" si="7"/>
        <v>467.69688013538399</v>
      </c>
      <c r="T17" s="3">
        <f t="shared" si="8"/>
        <v>0.99184776446104894</v>
      </c>
    </row>
    <row r="18" spans="2:20" ht="15" customHeight="1" x14ac:dyDescent="0.25">
      <c r="B18" s="2">
        <v>2024</v>
      </c>
      <c r="C18" s="20">
        <v>45200</v>
      </c>
      <c r="D18" s="20">
        <v>45351</v>
      </c>
      <c r="E18" s="1">
        <v>152</v>
      </c>
      <c r="F18" s="1">
        <v>414</v>
      </c>
      <c r="G18" s="3">
        <f t="shared" si="0"/>
        <v>0.61142857142857143</v>
      </c>
      <c r="H18" s="3">
        <f t="shared" si="1"/>
        <v>0.35666666666666669</v>
      </c>
      <c r="I18" s="3">
        <f t="shared" si="2"/>
        <v>1</v>
      </c>
      <c r="J18" s="3">
        <v>291.17192202022449</v>
      </c>
      <c r="K18" s="3">
        <v>38.340071988129502</v>
      </c>
      <c r="L18" s="3">
        <v>147.90440064182474</v>
      </c>
      <c r="M18" s="3">
        <v>1560.0146730784852</v>
      </c>
      <c r="N18" s="3">
        <v>477.41639465017874</v>
      </c>
      <c r="O18" s="3">
        <f t="shared" si="3"/>
        <v>1082.5982784283065</v>
      </c>
      <c r="P18" s="3">
        <f t="shared" si="4"/>
        <v>178.03083232093726</v>
      </c>
      <c r="Q18" s="3">
        <f t="shared" si="5"/>
        <v>13.67462567576619</v>
      </c>
      <c r="R18" s="3">
        <f t="shared" si="6"/>
        <v>147.90440064182474</v>
      </c>
      <c r="S18" s="3">
        <f t="shared" si="7"/>
        <v>339.60985863852818</v>
      </c>
      <c r="T18" s="3">
        <f t="shared" si="8"/>
        <v>0.91166330779459448</v>
      </c>
    </row>
    <row r="19" spans="2:20" ht="15" customHeight="1" x14ac:dyDescent="0.25">
      <c r="B19" s="2">
        <v>2025</v>
      </c>
      <c r="C19" s="20">
        <v>45566</v>
      </c>
      <c r="D19" s="20">
        <v>45716</v>
      </c>
      <c r="E19" s="1">
        <v>151</v>
      </c>
      <c r="F19" s="1">
        <v>469</v>
      </c>
      <c r="G19" s="3">
        <f t="shared" si="0"/>
        <v>0.76857142857142857</v>
      </c>
      <c r="H19" s="3">
        <f t="shared" si="1"/>
        <v>0.44833333333333331</v>
      </c>
      <c r="I19" s="3">
        <f t="shared" si="2"/>
        <v>1</v>
      </c>
      <c r="J19" s="3">
        <v>291.17192202022449</v>
      </c>
      <c r="K19" s="3">
        <v>38.340071988129502</v>
      </c>
      <c r="L19" s="3">
        <v>147.90440064182474</v>
      </c>
      <c r="M19" s="3">
        <v>1483.9114781177777</v>
      </c>
      <c r="N19" s="3">
        <v>477.41639465017874</v>
      </c>
      <c r="O19" s="3">
        <f t="shared" si="3"/>
        <v>1006.495083467599</v>
      </c>
      <c r="P19" s="3">
        <f t="shared" si="4"/>
        <v>223.78642006697254</v>
      </c>
      <c r="Q19" s="3">
        <f t="shared" si="5"/>
        <v>17.189132274678059</v>
      </c>
      <c r="R19" s="3">
        <f t="shared" si="6"/>
        <v>147.90440064182474</v>
      </c>
      <c r="S19" s="3">
        <f t="shared" si="7"/>
        <v>388.87995298347533</v>
      </c>
      <c r="T19" s="3">
        <f t="shared" si="8"/>
        <v>0.94033576599932711</v>
      </c>
    </row>
    <row r="20" spans="2:20" ht="15" customHeight="1" x14ac:dyDescent="0.25"/>
  </sheetData>
  <mergeCells count="10">
    <mergeCell ref="P8:R8"/>
    <mergeCell ref="J8:O8"/>
    <mergeCell ref="S8:S9"/>
    <mergeCell ref="T8:T9"/>
    <mergeCell ref="A1:U1"/>
    <mergeCell ref="C8:D8"/>
    <mergeCell ref="G8:I8"/>
    <mergeCell ref="B8:B9"/>
    <mergeCell ref="E8:E9"/>
    <mergeCell ref="F8:F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SD_SE_CALC_INDICATORS</vt:lpstr>
      <vt:lpstr>GIR</vt:lpstr>
      <vt:lpstr>DPF</vt:lpstr>
      <vt:lpstr>PDS</vt:lpstr>
      <vt:lpstr>ISF</vt:lpstr>
      <vt:lpstr>SWBC</vt:lpstr>
      <vt:lpstr>ALAS</vt:lpstr>
      <vt:lpstr>CRI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Antónia Fortes Duarte Ferreira</dc:creator>
  <cp:lastModifiedBy>Antónia Fortes Duarte Ferreira</cp:lastModifiedBy>
  <dcterms:created xsi:type="dcterms:W3CDTF">2026-07-21T12:31:58Z</dcterms:created>
  <dcterms:modified xsi:type="dcterms:W3CDTF">2026-07-21T16:55:51Z</dcterms:modified>
</cp:coreProperties>
</file>